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ISTÓRICO" sheetId="2" state="visible" r:id="rId2"/>
    <sheet name="PROYECCIÓN" sheetId="3" state="visible" r:id="rId3"/>
    <sheet name="PALANCAS" sheetId="4" state="visible" r:id="rId4"/>
    <sheet name="SENSIBILIDAD" sheetId="5" state="visible" r:id="rId5"/>
    <sheet name="FLUJO DE CAJA" sheetId="6" state="visible" r:id="rId6"/>
    <sheet name="KPIs SEGUIMI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 #,##0"/>
    <numFmt numFmtId="167" formatCode="0.0&quot;x&quot;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C00000"/>
      <sz val="10"/>
    </font>
    <font>
      <name val="Calibri"/>
      <i val="1"/>
      <color rgb="007F6000"/>
      <sz val="10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FFC000"/>
      <sz val="11"/>
    </font>
    <font>
      <name val="Calibri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375623"/>
      <sz val="10"/>
    </font>
    <font>
      <name val="Calibri"/>
      <color rgb="007F6000"/>
      <sz val="10"/>
    </font>
    <font>
      <name val="Calibri"/>
      <b val="1"/>
      <color rgb="00375623"/>
      <sz val="10"/>
    </font>
    <font>
      <name val="Calibri"/>
      <color rgb="001F3864"/>
      <sz val="10"/>
    </font>
    <font>
      <name val="Calibri"/>
      <b val="1"/>
      <color rgb="002E75B6"/>
      <sz val="10"/>
    </font>
    <font>
      <name val="Calibri"/>
      <b val="1"/>
      <color rgb="007F6000"/>
      <sz val="10"/>
    </font>
    <font>
      <name val="Calibri"/>
      <color rgb="002E75B6"/>
      <sz val="10"/>
    </font>
    <font>
      <name val="Calibri"/>
      <color rgb="00C00000"/>
      <sz val="10"/>
    </font>
    <font>
      <name val="Calibri"/>
      <b val="1"/>
      <color rgb="00C00000"/>
      <sz val="11"/>
    </font>
    <font>
      <name val="Calibri"/>
      <i val="1"/>
      <color rgb="00C00000"/>
      <sz val="8"/>
    </font>
    <font>
      <name val="Calibri"/>
      <i val="1"/>
      <color rgb="001F3864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DCDC"/>
      </patternFill>
    </fill>
  </fills>
  <borders count="4">
    <border>
      <left/>
      <right/>
      <top/>
      <bottom/>
      <diagonal/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2E75B6"/>
      </top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4" fillId="5" borderId="2" applyAlignment="1" pivotButton="0" quotePrefix="0" xfId="0">
      <alignment horizontal="left" vertical="center" wrapText="1"/>
    </xf>
    <xf numFmtId="164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6" fillId="4" borderId="2" applyAlignment="1" pivotButton="0" quotePrefix="0" xfId="0">
      <alignment horizontal="left" vertical="center" wrapText="1"/>
    </xf>
    <xf numFmtId="165" fontId="5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5" fontId="5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166" fontId="4" fillId="6" borderId="2" applyAlignment="1" pivotButton="0" quotePrefix="0" xfId="0">
      <alignment horizontal="right" vertical="center"/>
    </xf>
    <xf numFmtId="166" fontId="5" fillId="6" borderId="2" applyAlignment="1" pivotButton="0" quotePrefix="0" xfId="0">
      <alignment horizontal="right" vertical="center"/>
    </xf>
    <xf numFmtId="166" fontId="9" fillId="7" borderId="2" applyAlignment="1" pivotButton="0" quotePrefix="0" xfId="0">
      <alignment horizontal="right" vertical="center"/>
    </xf>
    <xf numFmtId="166" fontId="4" fillId="5" borderId="2" applyAlignment="1" pivotButton="0" quotePrefix="0" xfId="0">
      <alignment horizontal="right" vertical="center"/>
    </xf>
    <xf numFmtId="166" fontId="5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165" fontId="4" fillId="6" borderId="2" applyAlignment="1" pivotButton="0" quotePrefix="0" xfId="0">
      <alignment horizontal="right" vertical="center"/>
    </xf>
    <xf numFmtId="165" fontId="5" fillId="6" borderId="2" applyAlignment="1" pivotButton="0" quotePrefix="0" xfId="0">
      <alignment horizontal="right" vertical="center"/>
    </xf>
    <xf numFmtId="165" fontId="10" fillId="8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167" fontId="5" fillId="5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left" vertical="center" wrapText="1"/>
    </xf>
    <xf numFmtId="166" fontId="13" fillId="4" borderId="2" applyAlignment="1" pivotButton="0" quotePrefix="0" xfId="0">
      <alignment horizontal="right" vertical="center"/>
    </xf>
    <xf numFmtId="166" fontId="13" fillId="9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 wrapText="1"/>
    </xf>
    <xf numFmtId="166" fontId="14" fillId="5" borderId="2" applyAlignment="1" pivotButton="0" quotePrefix="0" xfId="0">
      <alignment horizontal="right" vertical="center"/>
    </xf>
    <xf numFmtId="166" fontId="13" fillId="5" borderId="2" applyAlignment="1" pivotButton="0" quotePrefix="0" xfId="0">
      <alignment horizontal="right" vertical="center"/>
    </xf>
    <xf numFmtId="0" fontId="14" fillId="6" borderId="2" applyAlignment="1" pivotButton="0" quotePrefix="0" xfId="0">
      <alignment horizontal="left" vertical="center" wrapText="1"/>
    </xf>
    <xf numFmtId="166" fontId="14" fillId="6" borderId="2" applyAlignment="1" pivotButton="0" quotePrefix="0" xfId="0">
      <alignment horizontal="right" vertical="center"/>
    </xf>
    <xf numFmtId="166" fontId="13" fillId="6" borderId="2" applyAlignment="1" pivotButton="0" quotePrefix="0" xfId="0">
      <alignment horizontal="right" vertical="center"/>
    </xf>
    <xf numFmtId="166" fontId="6" fillId="10" borderId="2" applyAlignment="1" pivotButton="0" quotePrefix="0" xfId="0">
      <alignment horizontal="right" vertical="center"/>
    </xf>
    <xf numFmtId="165" fontId="13" fillId="4" borderId="2" applyAlignment="1" pivotButton="0" quotePrefix="0" xfId="0">
      <alignment horizontal="right" vertical="center"/>
    </xf>
    <xf numFmtId="165" fontId="6" fillId="10" borderId="2" applyAlignment="1" pivotButton="0" quotePrefix="0" xfId="0">
      <alignment horizontal="right" vertical="center"/>
    </xf>
    <xf numFmtId="0" fontId="13" fillId="10" borderId="2" applyAlignment="1" pivotButton="0" quotePrefix="0" xfId="0">
      <alignment horizontal="left" vertical="center" wrapText="1"/>
    </xf>
    <xf numFmtId="166" fontId="13" fillId="10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left" vertical="center" wrapText="1"/>
    </xf>
    <xf numFmtId="166" fontId="13" fillId="7" borderId="2" applyAlignment="1" pivotButton="0" quotePrefix="0" xfId="0">
      <alignment horizontal="right" vertical="center"/>
    </xf>
    <xf numFmtId="0" fontId="14" fillId="5" borderId="3" applyAlignment="1" pivotButton="0" quotePrefix="0" xfId="0">
      <alignment horizontal="left" vertical="center" wrapText="1"/>
    </xf>
    <xf numFmtId="166" fontId="14" fillId="5" borderId="3" applyAlignment="1" pivotButton="0" quotePrefix="0" xfId="0">
      <alignment horizontal="right" vertical="center"/>
    </xf>
    <xf numFmtId="166" fontId="13" fillId="5" borderId="3" applyAlignment="1" pivotButton="0" quotePrefix="0" xfId="0">
      <alignment horizontal="right" vertical="center"/>
    </xf>
    <xf numFmtId="165" fontId="14" fillId="6" borderId="2" applyAlignment="1" pivotButton="0" quotePrefix="0" xfId="0">
      <alignment horizontal="right" vertical="center"/>
    </xf>
    <xf numFmtId="165" fontId="13" fillId="6" borderId="2" applyAlignment="1" pivotButton="0" quotePrefix="0" xfId="0">
      <alignment horizontal="right" vertical="center"/>
    </xf>
    <xf numFmtId="165" fontId="14" fillId="5" borderId="2" applyAlignment="1" pivotButton="0" quotePrefix="0" xfId="0">
      <alignment horizontal="right" vertical="center"/>
    </xf>
    <xf numFmtId="165" fontId="13" fillId="5" borderId="2" applyAlignment="1" pivotButton="0" quotePrefix="0" xfId="0">
      <alignment horizontal="right" vertical="center"/>
    </xf>
    <xf numFmtId="0" fontId="14" fillId="7" borderId="2" applyAlignment="1" pivotButton="0" quotePrefix="0" xfId="0">
      <alignment horizontal="left" vertical="center" wrapText="1"/>
    </xf>
    <xf numFmtId="166" fontId="14" fillId="7" borderId="2" applyAlignment="1" pivotButton="0" quotePrefix="0" xfId="0">
      <alignment horizontal="right" vertical="center"/>
    </xf>
    <xf numFmtId="0" fontId="15" fillId="7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left" vertical="center" wrapText="1"/>
    </xf>
    <xf numFmtId="166" fontId="17" fillId="9" borderId="2" applyAlignment="1" pivotButton="0" quotePrefix="0" xfId="0">
      <alignment horizontal="right" vertical="center"/>
    </xf>
    <xf numFmtId="0" fontId="18" fillId="9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5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167" fontId="9" fillId="7" borderId="2" applyAlignment="1" pivotButton="0" quotePrefix="0" xfId="0">
      <alignment horizontal="right" vertical="center"/>
    </xf>
    <xf numFmtId="0" fontId="17" fillId="7" borderId="0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left" vertical="center" wrapText="1"/>
    </xf>
    <xf numFmtId="0" fontId="20" fillId="8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166" fontId="15" fillId="7" borderId="2" applyAlignment="1" pivotButton="0" quotePrefix="0" xfId="0">
      <alignment horizontal="right" vertical="center"/>
    </xf>
    <xf numFmtId="166" fontId="17" fillId="7" borderId="2" applyAlignment="1" pivotButton="0" quotePrefix="0" xfId="0">
      <alignment horizontal="right" vertical="center"/>
    </xf>
    <xf numFmtId="0" fontId="21" fillId="4" borderId="2" applyAlignment="1" pivotButton="0" quotePrefix="0" xfId="0">
      <alignment horizontal="left" vertical="center" wrapText="1"/>
    </xf>
    <xf numFmtId="166" fontId="21" fillId="4" borderId="2" applyAlignment="1" pivotButton="0" quotePrefix="0" xfId="0">
      <alignment horizontal="right" vertical="center"/>
    </xf>
    <xf numFmtId="166" fontId="19" fillId="4" borderId="2" applyAlignment="1" pivotButton="0" quotePrefix="0" xfId="0">
      <alignment horizontal="right" vertical="center"/>
    </xf>
    <xf numFmtId="0" fontId="16" fillId="8" borderId="2" applyAlignment="1" pivotButton="0" quotePrefix="0" xfId="0">
      <alignment horizontal="left" vertical="center" wrapText="1"/>
    </xf>
    <xf numFmtId="166" fontId="16" fillId="8" borderId="2" applyAlignment="1" pivotButton="0" quotePrefix="0" xfId="0">
      <alignment horizontal="right" vertical="center"/>
    </xf>
    <xf numFmtId="166" fontId="20" fillId="8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left" vertical="center" wrapText="1"/>
    </xf>
    <xf numFmtId="166" fontId="22" fillId="10" borderId="2" applyAlignment="1" pivotButton="0" quotePrefix="0" xfId="0">
      <alignment horizontal="right" vertical="center"/>
    </xf>
    <xf numFmtId="0" fontId="17" fillId="7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166" fontId="5" fillId="10" borderId="2" applyAlignment="1" pivotButton="0" quotePrefix="0" xfId="0">
      <alignment horizontal="right" vertical="center"/>
    </xf>
    <xf numFmtId="166" fontId="9" fillId="9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 wrapText="1"/>
    </xf>
    <xf numFmtId="166" fontId="9" fillId="4" borderId="2" applyAlignment="1" pivotButton="0" quotePrefix="0" xfId="0">
      <alignment horizontal="right" vertical="center"/>
    </xf>
    <xf numFmtId="166" fontId="23" fillId="10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166" fontId="11" fillId="4" borderId="2" applyAlignment="1" pivotButton="0" quotePrefix="0" xfId="0">
      <alignment horizontal="right" vertical="center"/>
    </xf>
    <xf numFmtId="165" fontId="11" fillId="4" borderId="2" applyAlignment="1" pivotButton="0" quotePrefix="0" xfId="0">
      <alignment horizontal="right" vertical="center"/>
    </xf>
    <xf numFmtId="0" fontId="14" fillId="6" borderId="2" applyAlignment="1" pivotButton="0" quotePrefix="0" xfId="0">
      <alignment horizontal="right" vertical="center"/>
    </xf>
    <xf numFmtId="1" fontId="11" fillId="4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right" vertical="center"/>
    </xf>
    <xf numFmtId="0" fontId="2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Costo Mensual: Sin Plan vs. Con Plan vs. Presupuesto</a:t>
            </a:r>
          </a:p>
        </rich>
      </tx>
    </title>
    <plotArea>
      <barChart>
        <barDir val="col"/>
        <grouping val="clustered"/>
        <ser>
          <idx val="0"/>
          <order val="0"/>
          <tx>
            <v>Sin Plan</v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'PROYECCIÓN'!$C$2:$J$2</f>
            </numRef>
          </cat>
          <val>
            <numRef>
              <f>'PROYECCIÓN'!$C$4:$J$4</f>
            </numRef>
          </val>
        </ser>
        <ser>
          <idx val="1"/>
          <order val="1"/>
          <tx>
            <v>Con Plan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'PROYECCIÓN'!$C$2:$J$2</f>
            </numRef>
          </cat>
          <val>
            <numRef>
              <f>'PROYECCIÓN'!$C$5:$J$5</f>
            </numRef>
          </val>
        </ser>
        <ser>
          <idx val="2"/>
          <order val="2"/>
          <tx>
            <v>Presupuesto</v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'PROYECCIÓN'!$C$2:$J$2</f>
            </numRef>
          </cat>
          <val>
            <numRef>
              <f>'PROYECCIÓN'!$C$7:$J$7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COP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Neto Acumulado del Plan (COP)</a:t>
            </a:r>
          </a:p>
        </rich>
      </tx>
    </title>
    <plotArea>
      <lineChart>
        <grouping val="standard"/>
        <ser>
          <idx val="0"/>
          <order val="0"/>
          <tx>
            <v>Flujo Acumulado</v>
          </tx>
          <spPr>
            <a:ln w="2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CAJA'!$C$2:$J$2</f>
            </numRef>
          </cat>
          <val>
            <numRef>
              <f>'FLUJO DE CAJA'!$C$6:$J$6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COP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1" ht="36" customHeight="1">
      <c r="B1" s="1" t="inlineStr">
        <is>
          <t>MODELO FINANCIERO — MANTENIMIENTO 2026</t>
        </is>
      </c>
    </row>
    <row r="2" ht="20" customHeight="1">
      <c r="B2" s="2" t="inlineStr">
        <is>
          <t>Proyección Mayo–Diciembre 2026 | Trayectoria Sin Plan vs. Con Plan | Corte: 30 Abril 2026</t>
        </is>
      </c>
    </row>
    <row r="4" ht="22" customHeight="1">
      <c r="B4" s="3" t="inlineStr">
        <is>
          <t>ESTADO DE PARTIDA — Enero a Abril 2026 (Real)</t>
        </is>
      </c>
    </row>
    <row r="5" ht="20" customHeight="1">
      <c r="B5" s="4" t="inlineStr">
        <is>
          <t>Costo real Ene-Abr 2026</t>
        </is>
      </c>
      <c r="C5" s="5" t="n">
        <v>299723600</v>
      </c>
      <c r="D5" s="6" t="n"/>
      <c r="E5" s="6" t="n"/>
      <c r="F5" s="6" t="n"/>
    </row>
    <row r="6" ht="20" customHeight="1">
      <c r="B6" s="7" t="inlineStr">
        <is>
          <t>Presupuesto Ene-Abr 2026</t>
        </is>
      </c>
      <c r="C6" s="8" t="n">
        <v>185000000</v>
      </c>
      <c r="D6" s="9" t="n"/>
      <c r="E6" s="9" t="n"/>
      <c r="F6" s="9" t="n"/>
    </row>
    <row r="7" ht="20" customHeight="1">
      <c r="B7" s="4" t="inlineStr">
        <is>
          <t>Sobrejecución Ene-Abr</t>
        </is>
      </c>
      <c r="C7" s="5" t="n">
        <v>114723600</v>
      </c>
      <c r="D7" s="10" t="inlineStr">
        <is>
          <t>⚠ Por encima de meta</t>
        </is>
      </c>
      <c r="E7" s="6" t="n"/>
      <c r="F7" s="6" t="n"/>
    </row>
    <row r="8" ht="20" customHeight="1">
      <c r="B8" s="7" t="inlineStr">
        <is>
          <t>% Desviación vs. ppto</t>
        </is>
      </c>
      <c r="C8" s="11" t="n">
        <v>0.62</v>
      </c>
      <c r="D8" s="12" t="inlineStr">
        <is>
          <t>⚠ Por encima de meta</t>
        </is>
      </c>
      <c r="E8" s="9" t="n"/>
      <c r="F8" s="9" t="n"/>
    </row>
    <row r="9" ht="20" customHeight="1">
      <c r="B9" s="4" t="inlineStr">
        <is>
          <t>KPI Costo/Ventas (acum.)</t>
        </is>
      </c>
      <c r="C9" s="13" t="n">
        <v>0.0389</v>
      </c>
      <c r="D9" s="10" t="inlineStr">
        <is>
          <t>⚠ Por encima de meta</t>
        </is>
      </c>
      <c r="E9" s="6" t="n"/>
      <c r="F9" s="6" t="n"/>
    </row>
    <row r="10" ht="20" customHeight="1">
      <c r="B10" s="7" t="inlineStr">
        <is>
          <t>% Mant. Preventivo actual</t>
        </is>
      </c>
      <c r="C10" s="11" t="n">
        <v>0.3</v>
      </c>
      <c r="D10" s="14" t="inlineStr">
        <is>
          <t>→ Meta: ≥ 60% en Dic 2026</t>
        </is>
      </c>
      <c r="E10" s="9" t="n"/>
      <c r="F10" s="9" t="n"/>
    </row>
    <row r="12" ht="22" customHeight="1">
      <c r="B12" s="3" t="inlineStr">
        <is>
          <t>PROYECCIÓN MAYO–DICIEMBRE 2026</t>
        </is>
      </c>
    </row>
    <row r="13" ht="22" customHeight="1">
      <c r="B13" s="15" t="inlineStr">
        <is>
          <t>Concepto</t>
        </is>
      </c>
      <c r="C13" s="15" t="inlineStr">
        <is>
          <t>Sin Plan</t>
        </is>
      </c>
      <c r="D13" s="15" t="inlineStr">
        <is>
          <t>Con Plan (Base)</t>
        </is>
      </c>
      <c r="E13" s="15" t="inlineStr">
        <is>
          <t>Con Plan (Opt.)</t>
        </is>
      </c>
      <c r="F13" s="15" t="inlineStr">
        <is>
          <t>Diferencia Plan</t>
        </is>
      </c>
    </row>
    <row r="14" ht="20" customHeight="1">
      <c r="B14" s="16" t="inlineStr">
        <is>
          <t>Costo May-Dic 2026</t>
        </is>
      </c>
      <c r="C14" s="17" t="n">
        <v>693810000</v>
      </c>
      <c r="D14" s="18" t="n">
        <v>580310000</v>
      </c>
      <c r="E14" s="17" t="n">
        <v>553770000</v>
      </c>
      <c r="F14" s="19" t="n">
        <v>-113500000</v>
      </c>
    </row>
    <row r="15" ht="20" customHeight="1">
      <c r="B15" s="7" t="inlineStr">
        <is>
          <t>Costo Total 2026</t>
        </is>
      </c>
      <c r="C15" s="20" t="n">
        <v>993533600</v>
      </c>
      <c r="D15" s="21" t="n">
        <v>880033600</v>
      </c>
      <c r="E15" s="20" t="n">
        <v>853500000</v>
      </c>
      <c r="F15" s="19" t="n">
        <v>-113500000</v>
      </c>
    </row>
    <row r="16" ht="20" customHeight="1">
      <c r="B16" s="16" t="inlineStr">
        <is>
          <t>Ahorro vs. Sin Plan</t>
        </is>
      </c>
      <c r="C16" s="22" t="n">
        <v>0</v>
      </c>
      <c r="D16" s="18" t="n">
        <v>113500000</v>
      </c>
      <c r="E16" s="17" t="n">
        <v>140030000</v>
      </c>
    </row>
    <row r="17" ht="20" customHeight="1">
      <c r="B17" s="7" t="inlineStr">
        <is>
          <t>KPI Costo/Ventas Dic</t>
        </is>
      </c>
      <c r="C17" s="23" t="n">
        <v>0.038</v>
      </c>
      <c r="D17" s="11" t="n">
        <v>0.029</v>
      </c>
      <c r="E17" s="23" t="n">
        <v>0.028</v>
      </c>
      <c r="F17" s="24" t="n">
        <v>-0.008999999999999998</v>
      </c>
    </row>
    <row r="18" ht="20" customHeight="1">
      <c r="B18" s="16" t="inlineStr">
        <is>
          <t>% Preventivo Dic</t>
        </is>
      </c>
      <c r="C18" s="25" t="n">
        <v>0.3</v>
      </c>
      <c r="D18" s="26" t="n">
        <v>0.6</v>
      </c>
      <c r="E18" s="25" t="n">
        <v>0.65</v>
      </c>
      <c r="F18" s="27" t="n">
        <v>0.3</v>
      </c>
    </row>
    <row r="19" ht="20" customHeight="1">
      <c r="B19" s="7" t="inlineStr">
        <is>
          <t>ROI del Plan</t>
        </is>
      </c>
      <c r="C19" s="28" t="n"/>
      <c r="D19" s="29" t="n">
        <v>2.97</v>
      </c>
      <c r="E19" s="28" t="n"/>
      <c r="F19" s="30" t="inlineStr">
        <is>
          <t>Payback: Oct 2026</t>
        </is>
      </c>
    </row>
    <row r="24" ht="18" customHeight="1">
      <c r="B24" s="31" t="inlineStr">
        <is>
          <t>Fuente: Datos reales Ene-Abr 2026 | Informe de Costos CIF + Ejecución de Gastos | Ver hojas: HISTÓRICO · PROYECCIÓN · PALANCAS · SENSIBILIDAD · FLUJO</t>
        </is>
      </c>
    </row>
  </sheetData>
  <mergeCells count="5">
    <mergeCell ref="B4:F4"/>
    <mergeCell ref="B12:F12"/>
    <mergeCell ref="B24:F24"/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H21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" customWidth="1" min="10" max="10"/>
  </cols>
  <sheetData>
    <row r="1" ht="32" customHeight="1">
      <c r="B1" s="32" t="inlineStr">
        <is>
          <t>HISTÓRICO DE COSTOS — ENERO A ABRIL 2026</t>
        </is>
      </c>
    </row>
    <row r="2" ht="24" customHeight="1">
      <c r="B2" s="33" t="inlineStr">
        <is>
          <t>Concepto</t>
        </is>
      </c>
      <c r="C2" s="33" t="inlineStr">
        <is>
          <t>Enero 2026</t>
        </is>
      </c>
      <c r="D2" s="33" t="inlineStr">
        <is>
          <t>Febrero 2026</t>
        </is>
      </c>
      <c r="E2" s="33" t="inlineStr">
        <is>
          <t>Marzo 2026</t>
        </is>
      </c>
      <c r="F2" s="33" t="inlineStr">
        <is>
          <t>Abril 2026</t>
        </is>
      </c>
      <c r="G2" s="33" t="inlineStr">
        <is>
          <t>TOTAL Ene-Abr</t>
        </is>
      </c>
    </row>
    <row r="3" ht="18" customHeight="1">
      <c r="B3" s="34" t="inlineStr">
        <is>
          <t>CIF MANTENIMIENTO TOTAL</t>
        </is>
      </c>
      <c r="C3" s="35" t="n">
        <v>53882400</v>
      </c>
      <c r="D3" s="35" t="n">
        <v>56912700</v>
      </c>
      <c r="E3" s="35" t="n">
        <v>85124600</v>
      </c>
      <c r="F3" s="35" t="n">
        <v>103803900</v>
      </c>
      <c r="G3" s="36" t="n">
        <v>299723600</v>
      </c>
    </row>
    <row r="4" ht="18" customHeight="1">
      <c r="B4" s="37" t="inlineStr">
        <is>
          <t xml:space="preserve">  — Mant. Metalmecánica</t>
        </is>
      </c>
      <c r="C4" s="38" t="n">
        <v>22000000</v>
      </c>
      <c r="D4" s="38" t="n">
        <v>23000000</v>
      </c>
      <c r="E4" s="38" t="n">
        <v>30000000</v>
      </c>
      <c r="F4" s="38" t="n">
        <v>38000000</v>
      </c>
      <c r="G4" s="39" t="n">
        <v>113000000</v>
      </c>
    </row>
    <row r="5" ht="18" customHeight="1">
      <c r="B5" s="40" t="inlineStr">
        <is>
          <t xml:space="preserve">  — Mant. Inyección</t>
        </is>
      </c>
      <c r="C5" s="41" t="n">
        <v>15000000</v>
      </c>
      <c r="D5" s="41" t="n">
        <v>17000000</v>
      </c>
      <c r="E5" s="41" t="n">
        <v>42000000</v>
      </c>
      <c r="F5" s="41" t="n">
        <v>32000000</v>
      </c>
      <c r="G5" s="42" t="n">
        <v>106000000</v>
      </c>
    </row>
    <row r="6" ht="18" customHeight="1">
      <c r="B6" s="37" t="inlineStr">
        <is>
          <t xml:space="preserve">  — Eléctrico / Instrumentación</t>
        </is>
      </c>
      <c r="C6" s="38" t="n">
        <v>8000000</v>
      </c>
      <c r="D6" s="38" t="n">
        <v>9000000</v>
      </c>
      <c r="E6" s="38" t="n">
        <v>6000000</v>
      </c>
      <c r="F6" s="38" t="n">
        <v>16000000</v>
      </c>
      <c r="G6" s="39" t="n">
        <v>39000000</v>
      </c>
    </row>
    <row r="7" ht="18" customHeight="1">
      <c r="B7" s="40" t="inlineStr">
        <is>
          <t xml:space="preserve">  — Mant. Locativo</t>
        </is>
      </c>
      <c r="C7" s="41" t="n">
        <v>5882400</v>
      </c>
      <c r="D7" s="41" t="n">
        <v>4912700</v>
      </c>
      <c r="E7" s="41" t="n">
        <v>4124600</v>
      </c>
      <c r="F7" s="41" t="n">
        <v>10803900</v>
      </c>
      <c r="G7" s="42" t="n">
        <v>25723600</v>
      </c>
    </row>
    <row r="8" ht="18" customHeight="1">
      <c r="B8" s="37" t="inlineStr">
        <is>
          <t xml:space="preserve">  — Otros CIF Mant.</t>
        </is>
      </c>
      <c r="C8" s="38" t="n">
        <v>3000000</v>
      </c>
      <c r="D8" s="38" t="n">
        <v>3000000</v>
      </c>
      <c r="E8" s="38" t="n">
        <v>3000000</v>
      </c>
      <c r="F8" s="38" t="n">
        <v>7000000</v>
      </c>
      <c r="G8" s="39" t="n">
        <v>16000000</v>
      </c>
    </row>
    <row r="9" ht="18" customHeight="1">
      <c r="B9" s="34" t="inlineStr">
        <is>
          <t>PRESUPUESTO CIF MANT.</t>
        </is>
      </c>
      <c r="C9" s="35" t="n">
        <v>40000000</v>
      </c>
      <c r="D9" s="35" t="n">
        <v>45000000</v>
      </c>
      <c r="E9" s="35" t="n">
        <v>50000000</v>
      </c>
      <c r="F9" s="35" t="n">
        <v>50000000</v>
      </c>
      <c r="G9" s="36" t="n">
        <v>185000000</v>
      </c>
    </row>
    <row r="10" ht="18" customHeight="1">
      <c r="B10" s="37" t="inlineStr">
        <is>
          <t>DESVIACIÓN vs. PPTO</t>
        </is>
      </c>
      <c r="C10" s="43" t="n">
        <v>13882400</v>
      </c>
      <c r="D10" s="43" t="n">
        <v>11912700</v>
      </c>
      <c r="E10" s="43" t="n">
        <v>35124600</v>
      </c>
      <c r="F10" s="43" t="n">
        <v>53803900</v>
      </c>
      <c r="G10" s="39" t="n">
        <v>114723600</v>
      </c>
    </row>
    <row r="11" ht="18" customHeight="1">
      <c r="B11" s="34" t="inlineStr">
        <is>
          <t>% DESVIACIÓN</t>
        </is>
      </c>
      <c r="C11" s="44" t="n">
        <v>0.347</v>
      </c>
      <c r="D11" s="44" t="n">
        <v>0.265</v>
      </c>
      <c r="E11" s="45" t="n">
        <v>0.703</v>
      </c>
      <c r="F11" s="45" t="n">
        <v>1.076</v>
      </c>
    </row>
    <row r="12" ht="18" customHeight="1"/>
    <row r="13" ht="18" customHeight="1">
      <c r="B13" s="34" t="inlineStr">
        <is>
          <t>PERSONAL FIJO — MANT.</t>
        </is>
      </c>
      <c r="C13" s="35" t="n">
        <v>10200000</v>
      </c>
      <c r="D13" s="35" t="n">
        <v>10200000</v>
      </c>
      <c r="E13" s="35" t="n">
        <v>10200000</v>
      </c>
      <c r="F13" s="35" t="n">
        <v>10200000</v>
      </c>
      <c r="G13" s="36" t="n">
        <v>40800000</v>
      </c>
    </row>
    <row r="14" ht="18" customHeight="1">
      <c r="B14" s="34" t="inlineStr">
        <is>
          <t>PERSONAL TEMPORAL — MANT.</t>
        </is>
      </c>
      <c r="C14" s="35" t="n">
        <v>11800000</v>
      </c>
      <c r="D14" s="35" t="n">
        <v>12900000</v>
      </c>
      <c r="E14" s="35" t="n">
        <v>14300000</v>
      </c>
      <c r="F14" s="35" t="n">
        <v>15200000</v>
      </c>
      <c r="G14" s="36" t="n">
        <v>54200000</v>
      </c>
    </row>
    <row r="15" ht="18" customHeight="1">
      <c r="B15" s="40" t="inlineStr">
        <is>
          <t xml:space="preserve">  — S.A.I TEMP</t>
        </is>
      </c>
      <c r="C15" s="41" t="n">
        <v>4500000</v>
      </c>
      <c r="D15" s="41" t="n">
        <v>5000000</v>
      </c>
      <c r="E15" s="41" t="n">
        <v>5500000</v>
      </c>
      <c r="F15" s="41" t="n">
        <v>5800000</v>
      </c>
      <c r="G15" s="42" t="n">
        <v>20800000</v>
      </c>
    </row>
    <row r="16" ht="18" customHeight="1">
      <c r="B16" s="37" t="inlineStr">
        <is>
          <t xml:space="preserve">  — VINCULAMOS</t>
        </is>
      </c>
      <c r="C16" s="38" t="n">
        <v>4300000</v>
      </c>
      <c r="D16" s="38" t="n">
        <v>4600000</v>
      </c>
      <c r="E16" s="38" t="n">
        <v>5200000</v>
      </c>
      <c r="F16" s="38" t="n">
        <v>5700000</v>
      </c>
      <c r="G16" s="39" t="n">
        <v>19800000</v>
      </c>
    </row>
    <row r="17" ht="18" customHeight="1">
      <c r="B17" s="40" t="inlineStr">
        <is>
          <t xml:space="preserve">  — GESTIÓN Y COMPROMISO</t>
        </is>
      </c>
      <c r="C17" s="41" t="n">
        <v>3000000</v>
      </c>
      <c r="D17" s="41" t="n">
        <v>3300000</v>
      </c>
      <c r="E17" s="41" t="n">
        <v>3600000</v>
      </c>
      <c r="F17" s="41" t="n">
        <v>3700000</v>
      </c>
      <c r="G17" s="42" t="n">
        <v>13600000</v>
      </c>
    </row>
    <row r="18" ht="18" customHeight="1">
      <c r="B18" s="34" t="inlineStr">
        <is>
          <t>TOTAL PERSONAL MANT.</t>
        </is>
      </c>
      <c r="C18" s="35" t="n">
        <v>22000000</v>
      </c>
      <c r="D18" s="35" t="n">
        <v>23100000</v>
      </c>
      <c r="E18" s="35" t="n">
        <v>24500000</v>
      </c>
      <c r="F18" s="35" t="n">
        <v>25400000</v>
      </c>
      <c r="G18" s="36" t="n">
        <v>95000000</v>
      </c>
    </row>
    <row r="19" ht="18" customHeight="1"/>
    <row r="20" ht="18" customHeight="1">
      <c r="B20" s="34" t="inlineStr">
        <is>
          <t>KPI COSTO / VENTAS</t>
        </is>
      </c>
      <c r="C20" s="44" t="n">
        <v>0.0294</v>
      </c>
      <c r="D20" s="44" t="n">
        <v>0.0337</v>
      </c>
      <c r="E20" s="44" t="n">
        <v>0.0491</v>
      </c>
      <c r="F20" s="44" t="n">
        <v>0.0515</v>
      </c>
    </row>
    <row r="21" ht="18" customHeight="1">
      <c r="B21" s="34" t="inlineStr">
        <is>
          <t>VENTAS NETAS (REFERENCIA)</t>
        </is>
      </c>
      <c r="C21" s="35" t="n">
        <v>1833412000</v>
      </c>
      <c r="D21" s="35" t="n">
        <v>1688892000</v>
      </c>
      <c r="E21" s="35" t="n">
        <v>1733680000</v>
      </c>
      <c r="F21" s="35" t="n">
        <v>2015480000</v>
      </c>
      <c r="G21" s="36" t="n">
        <v>7271464000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1:K13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" customWidth="1" min="12" max="12"/>
  </cols>
  <sheetData>
    <row r="1" ht="30" customHeight="1">
      <c r="B1" s="32" t="inlineStr">
        <is>
          <t>PROYECCIÓN MENSUAL MAYO–DICIEMBRE 2026</t>
        </is>
      </c>
    </row>
    <row r="2" ht="22" customHeight="1">
      <c r="B2" s="33" t="inlineStr">
        <is>
          <t>Concepto</t>
        </is>
      </c>
      <c r="C2" s="33" t="inlineStr">
        <is>
          <t>Mayo</t>
        </is>
      </c>
      <c r="D2" s="33" t="inlineStr">
        <is>
          <t>Junio</t>
        </is>
      </c>
      <c r="E2" s="33" t="inlineStr">
        <is>
          <t>Julio</t>
        </is>
      </c>
      <c r="F2" s="33" t="inlineStr">
        <is>
          <t>Agosto</t>
        </is>
      </c>
      <c r="G2" s="33" t="inlineStr">
        <is>
          <t>Sep.</t>
        </is>
      </c>
      <c r="H2" s="33" t="inlineStr">
        <is>
          <t>Oct.</t>
        </is>
      </c>
      <c r="I2" s="33" t="inlineStr">
        <is>
          <t>Nov.</t>
        </is>
      </c>
      <c r="J2" s="33" t="inlineStr">
        <is>
          <t>Dic.</t>
        </is>
      </c>
      <c r="K2" s="33" t="inlineStr">
        <is>
          <t>TOTAL May-Dic</t>
        </is>
      </c>
    </row>
    <row r="3" ht="20" customHeight="1">
      <c r="B3" s="40" t="inlineStr">
        <is>
          <t>BASE 2025 (Referencia)</t>
        </is>
      </c>
      <c r="C3" s="41" t="n">
        <v>62400000</v>
      </c>
      <c r="D3" s="41" t="n">
        <v>58200000</v>
      </c>
      <c r="E3" s="41" t="n">
        <v>71300000</v>
      </c>
      <c r="F3" s="41" t="n">
        <v>68900000</v>
      </c>
      <c r="G3" s="41" t="n">
        <v>65100000</v>
      </c>
      <c r="H3" s="41" t="n">
        <v>60400000</v>
      </c>
      <c r="I3" s="41" t="n">
        <v>72800000</v>
      </c>
      <c r="J3" s="41" t="n">
        <v>74600000</v>
      </c>
      <c r="K3" s="42" t="n">
        <v>533700000</v>
      </c>
    </row>
    <row r="4" ht="20" customHeight="1">
      <c r="B4" s="46" t="inlineStr">
        <is>
          <t>SIN PLAN — Tendencia +30%</t>
        </is>
      </c>
      <c r="C4" s="47" t="n">
        <v>81120000</v>
      </c>
      <c r="D4" s="47" t="n">
        <v>75660000</v>
      </c>
      <c r="E4" s="47" t="n">
        <v>92690000</v>
      </c>
      <c r="F4" s="47" t="n">
        <v>89570000</v>
      </c>
      <c r="G4" s="47" t="n">
        <v>84630000</v>
      </c>
      <c r="H4" s="47" t="n">
        <v>78520000</v>
      </c>
      <c r="I4" s="47" t="n">
        <v>94640000</v>
      </c>
      <c r="J4" s="47" t="n">
        <v>96980000</v>
      </c>
      <c r="K4" s="36" t="n">
        <v>693810000</v>
      </c>
    </row>
    <row r="5" ht="20" customHeight="1">
      <c r="B5" s="48" t="inlineStr">
        <is>
          <t>CON PLAN — Escenario Base</t>
        </is>
      </c>
      <c r="C5" s="49" t="n">
        <v>74420000</v>
      </c>
      <c r="D5" s="49" t="n">
        <v>68960000</v>
      </c>
      <c r="E5" s="49" t="n">
        <v>85990000</v>
      </c>
      <c r="F5" s="49" t="n">
        <v>79170000</v>
      </c>
      <c r="G5" s="49" t="n">
        <v>66980000</v>
      </c>
      <c r="H5" s="49" t="n">
        <v>59070000</v>
      </c>
      <c r="I5" s="49" t="n">
        <v>71690000</v>
      </c>
      <c r="J5" s="49" t="n">
        <v>74030000</v>
      </c>
      <c r="K5" s="36" t="n">
        <v>580310000</v>
      </c>
    </row>
    <row r="6" ht="20" customHeight="1">
      <c r="B6" s="50" t="inlineStr">
        <is>
          <t>CON PLAN — Escenario Optimista</t>
        </is>
      </c>
      <c r="C6" s="51" t="n">
        <v>73060000</v>
      </c>
      <c r="D6" s="51" t="n">
        <v>67610000</v>
      </c>
      <c r="E6" s="51" t="n">
        <v>84640000</v>
      </c>
      <c r="F6" s="51" t="n">
        <v>76690000</v>
      </c>
      <c r="G6" s="51" t="n">
        <v>62840000</v>
      </c>
      <c r="H6" s="51" t="n">
        <v>54790000</v>
      </c>
      <c r="I6" s="51" t="n">
        <v>65900000</v>
      </c>
      <c r="J6" s="51" t="n">
        <v>68240000</v>
      </c>
      <c r="K6" s="52" t="n">
        <v>553770000</v>
      </c>
    </row>
    <row r="7" ht="20" customHeight="1">
      <c r="B7" s="40" t="inlineStr">
        <is>
          <t>PRESUPUESTO APROBADO 2026</t>
        </is>
      </c>
      <c r="C7" s="41" t="n">
        <v>47000000</v>
      </c>
      <c r="D7" s="41" t="n">
        <v>44000000</v>
      </c>
      <c r="E7" s="41" t="n">
        <v>52000000</v>
      </c>
      <c r="F7" s="41" t="n">
        <v>51000000</v>
      </c>
      <c r="G7" s="41" t="n">
        <v>49000000</v>
      </c>
      <c r="H7" s="41" t="n">
        <v>46000000</v>
      </c>
      <c r="I7" s="41" t="n">
        <v>53000000</v>
      </c>
      <c r="J7" s="41" t="n">
        <v>54000000</v>
      </c>
      <c r="K7" s="42" t="n">
        <v>396000000</v>
      </c>
    </row>
    <row r="8" ht="20" customHeight="1">
      <c r="B8" s="48" t="inlineStr">
        <is>
          <t>AHORRO: Sin Plan vs. Con Plan</t>
        </is>
      </c>
      <c r="C8" s="49" t="n">
        <v>6700000</v>
      </c>
      <c r="D8" s="49" t="n">
        <v>6700000</v>
      </c>
      <c r="E8" s="49" t="n">
        <v>6700000</v>
      </c>
      <c r="F8" s="49" t="n">
        <v>10400000</v>
      </c>
      <c r="G8" s="49" t="n">
        <v>17650000</v>
      </c>
      <c r="H8" s="49" t="n">
        <v>19450000</v>
      </c>
      <c r="I8" s="49" t="n">
        <v>22950000</v>
      </c>
      <c r="J8" s="49" t="n">
        <v>22950000</v>
      </c>
      <c r="K8" s="36" t="n">
        <v>113500000</v>
      </c>
    </row>
    <row r="9" ht="20" customHeight="1">
      <c r="B9" s="40" t="inlineStr">
        <is>
          <t>% AHORRO</t>
        </is>
      </c>
      <c r="C9" s="53" t="n">
        <v>0.08259368836291914</v>
      </c>
      <c r="D9" s="53" t="n">
        <v>0.08855405762622258</v>
      </c>
      <c r="E9" s="53" t="n">
        <v>0.07228395727694466</v>
      </c>
      <c r="F9" s="53" t="n">
        <v>0.1161103047895501</v>
      </c>
      <c r="G9" s="53" t="n">
        <v>0.2085548859742408</v>
      </c>
      <c r="H9" s="53" t="n">
        <v>0.2477075904228222</v>
      </c>
      <c r="I9" s="53" t="n">
        <v>0.242497886728656</v>
      </c>
      <c r="J9" s="53" t="n">
        <v>0.236646731284801</v>
      </c>
      <c r="K9" s="54" t="n">
        <v>1.294949102466157</v>
      </c>
    </row>
    <row r="10" ht="20" customHeight="1">
      <c r="B10" s="37" t="inlineStr">
        <is>
          <t>DESVIACIÓN Sin Plan vs. Ppto</t>
        </is>
      </c>
      <c r="C10" s="38" t="n">
        <v>34120000</v>
      </c>
      <c r="D10" s="38" t="n">
        <v>31660000</v>
      </c>
      <c r="E10" s="38" t="n">
        <v>40690000</v>
      </c>
      <c r="F10" s="38" t="n">
        <v>38570000</v>
      </c>
      <c r="G10" s="38" t="n">
        <v>35630000</v>
      </c>
      <c r="H10" s="38" t="n">
        <v>32520000</v>
      </c>
      <c r="I10" s="38" t="n">
        <v>41640000</v>
      </c>
      <c r="J10" s="38" t="n">
        <v>42980000</v>
      </c>
      <c r="K10" s="39" t="n">
        <v>297810000</v>
      </c>
    </row>
    <row r="11" ht="20" customHeight="1">
      <c r="B11" s="40" t="inlineStr">
        <is>
          <t>DESVIACIÓN Con Plan vs. Ppto</t>
        </is>
      </c>
      <c r="C11" s="41" t="n">
        <v>27420000</v>
      </c>
      <c r="D11" s="41" t="n">
        <v>24960000</v>
      </c>
      <c r="E11" s="41" t="n">
        <v>33990000</v>
      </c>
      <c r="F11" s="41" t="n">
        <v>28170000</v>
      </c>
      <c r="G11" s="41" t="n">
        <v>17980000</v>
      </c>
      <c r="H11" s="41" t="n">
        <v>13070000</v>
      </c>
      <c r="I11" s="41" t="n">
        <v>18690000</v>
      </c>
      <c r="J11" s="41" t="n">
        <v>20030000</v>
      </c>
      <c r="K11" s="42" t="n">
        <v>184310000</v>
      </c>
    </row>
    <row r="12" ht="20" customHeight="1">
      <c r="B12" s="37" t="inlineStr">
        <is>
          <t>KPI SIN PLAN (Costo/Ventas)</t>
        </is>
      </c>
      <c r="C12" s="55" t="n">
        <v>0.04056</v>
      </c>
      <c r="D12" s="55" t="n">
        <v>0.03783</v>
      </c>
      <c r="E12" s="55" t="n">
        <v>0.046345</v>
      </c>
      <c r="F12" s="55" t="n">
        <v>0.044785</v>
      </c>
      <c r="G12" s="55" t="n">
        <v>0.042315</v>
      </c>
      <c r="H12" s="55" t="n">
        <v>0.03926</v>
      </c>
      <c r="I12" s="55" t="n">
        <v>0.04732</v>
      </c>
      <c r="J12" s="55" t="n">
        <v>0.04849</v>
      </c>
      <c r="K12" s="56" t="n">
        <v>0.346905</v>
      </c>
    </row>
    <row r="13" ht="20" customHeight="1">
      <c r="B13" s="40" t="inlineStr">
        <is>
          <t>KPI CON PLAN (Costo/Ventas)</t>
        </is>
      </c>
      <c r="C13" s="53" t="n">
        <v>0.03721</v>
      </c>
      <c r="D13" s="53" t="n">
        <v>0.03448</v>
      </c>
      <c r="E13" s="53" t="n">
        <v>0.042995</v>
      </c>
      <c r="F13" s="53" t="n">
        <v>0.039585</v>
      </c>
      <c r="G13" s="53" t="n">
        <v>0.03349</v>
      </c>
      <c r="H13" s="53" t="n">
        <v>0.029535</v>
      </c>
      <c r="I13" s="53" t="n">
        <v>0.035845</v>
      </c>
      <c r="J13" s="53" t="n">
        <v>0.037015</v>
      </c>
      <c r="K13" s="54" t="n">
        <v>0.2901550000000001</v>
      </c>
    </row>
  </sheetData>
  <mergeCells count="1">
    <mergeCell ref="B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B1:L1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</cols>
  <sheetData>
    <row r="1" ht="30" customHeight="1">
      <c r="B1" s="32" t="inlineStr">
        <is>
          <t>PALANCAS DE AHORRO — DETALLE MENSUAL (COP)</t>
        </is>
      </c>
    </row>
    <row r="2" ht="22" customHeight="1">
      <c r="B2" s="33" t="inlineStr">
        <is>
          <t>Palanca de Ahorro</t>
        </is>
      </c>
      <c r="C2" s="33" t="inlineStr">
        <is>
          <t>Mayo</t>
        </is>
      </c>
      <c r="D2" s="33" t="inlineStr">
        <is>
          <t>Junio</t>
        </is>
      </c>
      <c r="E2" s="33" t="inlineStr">
        <is>
          <t>Julio</t>
        </is>
      </c>
      <c r="F2" s="33" t="inlineStr">
        <is>
          <t>Agosto</t>
        </is>
      </c>
      <c r="G2" s="33" t="inlineStr">
        <is>
          <t>Sep.</t>
        </is>
      </c>
      <c r="H2" s="33" t="inlineStr">
        <is>
          <t>Oct.</t>
        </is>
      </c>
      <c r="I2" s="33" t="inlineStr">
        <is>
          <t>Nov.</t>
        </is>
      </c>
      <c r="J2" s="33" t="inlineStr">
        <is>
          <t>Dic.</t>
        </is>
      </c>
      <c r="K2" s="33" t="inlineStr">
        <is>
          <t>TOTAL</t>
        </is>
      </c>
      <c r="L2" s="33" t="inlineStr">
        <is>
          <t>Certeza</t>
        </is>
      </c>
    </row>
    <row r="3" ht="20" customHeight="1">
      <c r="B3" s="57" t="inlineStr">
        <is>
          <t>1 — Control OT (gasto no autorizado)</t>
        </is>
      </c>
      <c r="C3" s="58" t="n">
        <v>4000000</v>
      </c>
      <c r="D3" s="58" t="n">
        <v>4000000</v>
      </c>
      <c r="E3" s="58" t="n">
        <v>4000000</v>
      </c>
      <c r="F3" s="58" t="n">
        <v>4000000</v>
      </c>
      <c r="G3" s="58" t="n">
        <v>4000000</v>
      </c>
      <c r="H3" s="58" t="n">
        <v>4000000</v>
      </c>
      <c r="I3" s="58" t="n">
        <v>4000000</v>
      </c>
      <c r="J3" s="58" t="n">
        <v>4000000</v>
      </c>
      <c r="K3" s="49" t="n">
        <v>32000000</v>
      </c>
      <c r="L3" s="59" t="inlineStr">
        <is>
          <t>Alta</t>
        </is>
      </c>
    </row>
    <row r="4" ht="20" customHeight="1">
      <c r="B4" s="57" t="inlineStr">
        <is>
          <t>2 — Reducción Personal Temporal (-25%)</t>
        </is>
      </c>
      <c r="C4" s="58" t="n">
        <v>2700000</v>
      </c>
      <c r="D4" s="58" t="n">
        <v>2700000</v>
      </c>
      <c r="E4" s="58" t="n">
        <v>2700000</v>
      </c>
      <c r="F4" s="58" t="n">
        <v>4200000</v>
      </c>
      <c r="G4" s="58" t="n">
        <v>4200000</v>
      </c>
      <c r="H4" s="58" t="n">
        <v>4200000</v>
      </c>
      <c r="I4" s="58" t="n">
        <v>4200000</v>
      </c>
      <c r="J4" s="58" t="n">
        <v>4200000</v>
      </c>
      <c r="K4" s="49" t="n">
        <v>29100000</v>
      </c>
      <c r="L4" s="59" t="inlineStr">
        <is>
          <t>Alta</t>
        </is>
      </c>
    </row>
    <row r="5" ht="20" customHeight="1">
      <c r="B5" s="57" t="inlineStr">
        <is>
          <t>3 — Contratos Proveedores (1a ronda -12%)</t>
        </is>
      </c>
      <c r="C5" s="58" t="n"/>
      <c r="D5" s="58" t="n"/>
      <c r="E5" s="58" t="n"/>
      <c r="F5" s="58" t="n">
        <v>2200000</v>
      </c>
      <c r="G5" s="58" t="n">
        <v>2200000</v>
      </c>
      <c r="H5" s="58" t="n"/>
      <c r="I5" s="58" t="n"/>
      <c r="J5" s="58" t="n"/>
      <c r="K5" s="49" t="n">
        <v>4400000</v>
      </c>
      <c r="L5" s="60" t="inlineStr">
        <is>
          <t>Media-Alta</t>
        </is>
      </c>
    </row>
    <row r="6" ht="20" customHeight="1">
      <c r="B6" s="57" t="inlineStr">
        <is>
          <t>4 — Contratos Proveedores (2a ronda -18%)</t>
        </is>
      </c>
      <c r="C6" s="58" t="n"/>
      <c r="D6" s="58" t="n"/>
      <c r="E6" s="58" t="n"/>
      <c r="F6" s="58" t="n"/>
      <c r="G6" s="58" t="n"/>
      <c r="H6" s="58" t="n">
        <v>4000000</v>
      </c>
      <c r="I6" s="58" t="n">
        <v>4000000</v>
      </c>
      <c r="J6" s="58" t="n">
        <v>4000000</v>
      </c>
      <c r="K6" s="49" t="n">
        <v>12000000</v>
      </c>
      <c r="L6" s="60" t="inlineStr">
        <is>
          <t>Media-Alta</t>
        </is>
      </c>
    </row>
    <row r="7" ht="20" customHeight="1">
      <c r="B7" s="57" t="inlineStr">
        <is>
          <t>5 — Stock Repuestos (elimina recargo 30%)</t>
        </is>
      </c>
      <c r="C7" s="58" t="n"/>
      <c r="D7" s="58" t="n"/>
      <c r="E7" s="58" t="n"/>
      <c r="F7" s="58" t="n"/>
      <c r="G7" s="58" t="n">
        <v>2250000</v>
      </c>
      <c r="H7" s="58" t="n">
        <v>2250000</v>
      </c>
      <c r="I7" s="58" t="n">
        <v>2250000</v>
      </c>
      <c r="J7" s="58" t="n">
        <v>2250000</v>
      </c>
      <c r="K7" s="49" t="n">
        <v>9000000</v>
      </c>
      <c r="L7" s="59" t="inlineStr">
        <is>
          <t>Alta</t>
        </is>
      </c>
    </row>
    <row r="8" ht="20" customHeight="1">
      <c r="B8" s="57" t="inlineStr">
        <is>
          <t>6 — Plan Preventivo — Correctivos evitados</t>
        </is>
      </c>
      <c r="C8" s="58" t="n"/>
      <c r="D8" s="58" t="n"/>
      <c r="E8" s="58" t="n"/>
      <c r="F8" s="58" t="n"/>
      <c r="G8" s="58" t="n">
        <v>5000000</v>
      </c>
      <c r="H8" s="58" t="n">
        <v>5000000</v>
      </c>
      <c r="I8" s="58" t="n">
        <v>8500000</v>
      </c>
      <c r="J8" s="58" t="n">
        <v>8500000</v>
      </c>
      <c r="K8" s="49" t="n">
        <v>27000000</v>
      </c>
      <c r="L8" s="60" t="inlineStr">
        <is>
          <t>Media</t>
        </is>
      </c>
    </row>
    <row r="9" ht="20" customHeight="1">
      <c r="B9" s="61" t="inlineStr">
        <is>
          <t>TOTAL AHORRO MENSUAL</t>
        </is>
      </c>
      <c r="C9" s="36" t="n">
        <v>6700000</v>
      </c>
      <c r="D9" s="36" t="n">
        <v>6700000</v>
      </c>
      <c r="E9" s="36" t="n">
        <v>6700000</v>
      </c>
      <c r="F9" s="36" t="n">
        <v>10400000</v>
      </c>
      <c r="G9" s="36" t="n">
        <v>17650000</v>
      </c>
      <c r="H9" s="36" t="n">
        <v>19450000</v>
      </c>
      <c r="I9" s="36" t="n">
        <v>22950000</v>
      </c>
      <c r="J9" s="36" t="n">
        <v>22950000</v>
      </c>
      <c r="K9" s="62" t="n">
        <v>113500000</v>
      </c>
      <c r="L9" s="63" t="inlineStr"/>
    </row>
    <row r="10" ht="20" customHeight="1">
      <c r="B10" s="34" t="inlineStr">
        <is>
          <t>ACUMULADO AL MES</t>
        </is>
      </c>
      <c r="C10" s="35" t="n">
        <v>6700000</v>
      </c>
      <c r="D10" s="35" t="n">
        <v>13400000</v>
      </c>
      <c r="E10" s="35" t="n">
        <v>20100000</v>
      </c>
      <c r="F10" s="35" t="n">
        <v>30500000</v>
      </c>
      <c r="G10" s="35" t="n">
        <v>48150000</v>
      </c>
      <c r="H10" s="35" t="n">
        <v>67600000</v>
      </c>
      <c r="I10" s="35" t="n">
        <v>90550000</v>
      </c>
      <c r="J10" s="35" t="n">
        <v>113500000</v>
      </c>
      <c r="K10" s="62" t="n">
        <v>390500000</v>
      </c>
      <c r="L10" s="63" t="inlineStr"/>
    </row>
    <row r="13" ht="22" customHeight="1">
      <c r="B13" s="3" t="inlineStr">
        <is>
          <t>RESUMEN FINANCIERO DEL PLAN</t>
        </is>
      </c>
    </row>
    <row r="14" ht="20" customHeight="1">
      <c r="B14" s="16" t="inlineStr">
        <is>
          <t>Total ahorros/costos evitados May-Dic 2026</t>
        </is>
      </c>
      <c r="C14" s="17" t="n">
        <v>113450000</v>
      </c>
      <c r="D14" s="64" t="n"/>
      <c r="E14" s="64" t="n"/>
      <c r="F14" s="64" t="n"/>
      <c r="G14" s="64" t="n"/>
      <c r="H14" s="64" t="n"/>
      <c r="I14" s="64" t="n"/>
      <c r="J14" s="64" t="n"/>
      <c r="K14" s="64" t="n"/>
    </row>
    <row r="15" ht="20" customHeight="1">
      <c r="B15" s="7" t="inlineStr">
        <is>
          <t>Inversión total requerida (stock + CMMS + capacitación)</t>
        </is>
      </c>
      <c r="C15" s="20" t="n">
        <v>-53000000</v>
      </c>
      <c r="D15" s="9" t="n"/>
      <c r="E15" s="9" t="n"/>
      <c r="F15" s="9" t="n"/>
      <c r="G15" s="9" t="n"/>
      <c r="H15" s="9" t="n"/>
      <c r="I15" s="9" t="n"/>
      <c r="J15" s="9" t="n"/>
      <c r="K15" s="9" t="n"/>
    </row>
    <row r="16" ht="20" customHeight="1">
      <c r="B16" s="65" t="inlineStr">
        <is>
          <t>BENEFICIO NETO 2026</t>
        </is>
      </c>
      <c r="C16" s="19" t="n">
        <v>60450000</v>
      </c>
      <c r="D16" s="66" t="n"/>
      <c r="E16" s="66" t="n"/>
      <c r="F16" s="66" t="n"/>
      <c r="G16" s="66" t="n"/>
      <c r="H16" s="66" t="n"/>
      <c r="I16" s="66" t="n"/>
      <c r="J16" s="66" t="n"/>
      <c r="K16" s="66" t="n"/>
    </row>
    <row r="17" ht="20" customHeight="1">
      <c r="B17" s="65" t="inlineStr">
        <is>
          <t>ROI del Plan (May-Dic 2026)</t>
        </is>
      </c>
      <c r="C17" s="67" t="n">
        <v>2.97</v>
      </c>
      <c r="D17" s="66" t="n"/>
      <c r="E17" s="66" t="n"/>
      <c r="F17" s="66" t="n"/>
      <c r="G17" s="66" t="n"/>
      <c r="H17" s="66" t="n"/>
      <c r="I17" s="66" t="n"/>
      <c r="J17" s="66" t="n"/>
      <c r="K17" s="66" t="n"/>
    </row>
    <row r="18" ht="20" customHeight="1">
      <c r="B18" s="16" t="inlineStr">
        <is>
          <t>Payback de la inversión</t>
        </is>
      </c>
      <c r="C18" s="22" t="inlineStr">
        <is>
          <t>Octubre 2026</t>
        </is>
      </c>
      <c r="D18" s="64" t="n"/>
      <c r="E18" s="64" t="n"/>
      <c r="F18" s="64" t="n"/>
      <c r="G18" s="64" t="n"/>
      <c r="H18" s="64" t="n"/>
      <c r="I18" s="64" t="n"/>
      <c r="J18" s="64" t="n"/>
      <c r="K18" s="64" t="n"/>
    </row>
  </sheetData>
  <mergeCells count="2">
    <mergeCell ref="B13:L13"/>
    <mergeCell ref="B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B1:K1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</cols>
  <sheetData>
    <row r="1" ht="30" customHeight="1">
      <c r="B1" s="32" t="inlineStr">
        <is>
          <t>ANÁLISIS DE SENSIBILIDAD — 3 ESCENARIOS</t>
        </is>
      </c>
    </row>
    <row r="2" ht="18" customHeight="1">
      <c r="B2" s="68" t="inlineStr">
        <is>
          <t>ESCENARIO OPTIMISTA: Todas las palancas al 120% de efectividad. Plan ejecutado sin retrasos.</t>
        </is>
      </c>
    </row>
    <row r="4" ht="18" customHeight="1">
      <c r="B4" s="69" t="inlineStr">
        <is>
          <t>ESCENARIO BASE: Plan ejecutado según cronograma. Efectividad promedio proyectada.</t>
        </is>
      </c>
    </row>
    <row r="6" ht="18" customHeight="1">
      <c r="B6" s="70" t="inlineStr">
        <is>
          <t>ESCENARIO CONSERVADOR: Fases 2 y 3 con retraso de 2 meses. Efectividad al 70%.</t>
        </is>
      </c>
    </row>
    <row r="8" ht="18" customHeight="1">
      <c r="B8" s="71" t="inlineStr">
        <is>
          <t>SIN PLAN (Referencia): No se ejecuta ninguna acción. Tendencia actual sostenida.</t>
        </is>
      </c>
    </row>
    <row r="11" ht="22" customHeight="1">
      <c r="B11" s="33" t="inlineStr">
        <is>
          <t>Escenario</t>
        </is>
      </c>
      <c r="C11" s="33" t="inlineStr">
        <is>
          <t>Mayo</t>
        </is>
      </c>
      <c r="D11" s="33" t="inlineStr">
        <is>
          <t>Junio</t>
        </is>
      </c>
      <c r="E11" s="33" t="inlineStr">
        <is>
          <t>Julio</t>
        </is>
      </c>
      <c r="F11" s="33" t="inlineStr">
        <is>
          <t>Agosto</t>
        </is>
      </c>
      <c r="G11" s="33" t="inlineStr">
        <is>
          <t>Sep.</t>
        </is>
      </c>
      <c r="H11" s="33" t="inlineStr">
        <is>
          <t>Oct.</t>
        </is>
      </c>
      <c r="I11" s="33" t="inlineStr">
        <is>
          <t>Nov.</t>
        </is>
      </c>
      <c r="J11" s="33" t="inlineStr">
        <is>
          <t>Dic.</t>
        </is>
      </c>
      <c r="K11" s="33" t="inlineStr">
        <is>
          <t>TOTAL May-Dic</t>
        </is>
      </c>
    </row>
    <row r="12" ht="20" customHeight="1">
      <c r="B12" s="72" t="inlineStr">
        <is>
          <t>Optimista (+20% efectividad)</t>
        </is>
      </c>
      <c r="C12" s="73" t="n">
        <v>73060000</v>
      </c>
      <c r="D12" s="73" t="n">
        <v>67610000</v>
      </c>
      <c r="E12" s="73" t="n">
        <v>84640000</v>
      </c>
      <c r="F12" s="73" t="n">
        <v>76690000</v>
      </c>
      <c r="G12" s="73" t="n">
        <v>62840000</v>
      </c>
      <c r="H12" s="73" t="n">
        <v>54790000</v>
      </c>
      <c r="I12" s="73" t="n">
        <v>65900000</v>
      </c>
      <c r="J12" s="73" t="n">
        <v>68240000</v>
      </c>
      <c r="K12" s="74" t="n">
        <v>553770000</v>
      </c>
    </row>
    <row r="13" ht="20" customHeight="1">
      <c r="B13" s="75" t="inlineStr">
        <is>
          <t>Base (cronograma normal)</t>
        </is>
      </c>
      <c r="C13" s="76" t="n">
        <v>74420000</v>
      </c>
      <c r="D13" s="76" t="n">
        <v>68960000</v>
      </c>
      <c r="E13" s="76" t="n">
        <v>85990000</v>
      </c>
      <c r="F13" s="76" t="n">
        <v>79170000</v>
      </c>
      <c r="G13" s="76" t="n">
        <v>66980000</v>
      </c>
      <c r="H13" s="76" t="n">
        <v>59070000</v>
      </c>
      <c r="I13" s="76" t="n">
        <v>71690000</v>
      </c>
      <c r="J13" s="76" t="n">
        <v>74030000</v>
      </c>
      <c r="K13" s="77" t="n">
        <v>580310000</v>
      </c>
    </row>
    <row r="14" ht="20" customHeight="1">
      <c r="B14" s="78" t="inlineStr">
        <is>
          <t>Conservador (retraso 2 meses)</t>
        </is>
      </c>
      <c r="C14" s="79" t="n">
        <v>74420000</v>
      </c>
      <c r="D14" s="79" t="n">
        <v>68960000</v>
      </c>
      <c r="E14" s="79" t="n">
        <v>85990000</v>
      </c>
      <c r="F14" s="79" t="n">
        <v>86870000</v>
      </c>
      <c r="G14" s="79" t="n">
        <v>78430000</v>
      </c>
      <c r="H14" s="79" t="n">
        <v>71330000</v>
      </c>
      <c r="I14" s="79" t="n">
        <v>77240000</v>
      </c>
      <c r="J14" s="79" t="n">
        <v>77980000</v>
      </c>
      <c r="K14" s="80" t="n">
        <v>621220000</v>
      </c>
    </row>
    <row r="15" ht="20" customHeight="1">
      <c r="B15" s="81" t="inlineStr">
        <is>
          <t>Sin Plan (tendencia actual)</t>
        </is>
      </c>
      <c r="C15" s="82" t="n">
        <v>81120000</v>
      </c>
      <c r="D15" s="82" t="n">
        <v>75660000</v>
      </c>
      <c r="E15" s="82" t="n">
        <v>92690000</v>
      </c>
      <c r="F15" s="82" t="n">
        <v>89570000</v>
      </c>
      <c r="G15" s="82" t="n">
        <v>84630000</v>
      </c>
      <c r="H15" s="82" t="n">
        <v>78520000</v>
      </c>
      <c r="I15" s="82" t="n">
        <v>94640000</v>
      </c>
      <c r="J15" s="82" t="n">
        <v>96980000</v>
      </c>
      <c r="K15" s="43" t="n">
        <v>693810000</v>
      </c>
    </row>
    <row r="16" ht="20" customHeight="1"/>
    <row r="17" ht="20" customHeight="1">
      <c r="B17" s="83" t="inlineStr">
        <is>
          <t>Ahorro Optimista vs. Sin Plan</t>
        </is>
      </c>
      <c r="C17" s="73" t="n">
        <v>8060000</v>
      </c>
      <c r="D17" s="73" t="n">
        <v>8050000</v>
      </c>
      <c r="E17" s="73" t="n">
        <v>8050000</v>
      </c>
      <c r="F17" s="73" t="n">
        <v>12880000</v>
      </c>
      <c r="G17" s="73" t="n">
        <v>21790000</v>
      </c>
      <c r="H17" s="73" t="n">
        <v>23730000</v>
      </c>
      <c r="I17" s="73" t="n">
        <v>28740000</v>
      </c>
      <c r="J17" s="73" t="n">
        <v>28740000</v>
      </c>
      <c r="K17" s="62" t="n">
        <v>140040000</v>
      </c>
    </row>
    <row r="18" ht="20" customHeight="1">
      <c r="B18" s="83" t="inlineStr">
        <is>
          <t>Ahorro Base vs. Sin Plan</t>
        </is>
      </c>
      <c r="C18" s="73" t="n">
        <v>6700000</v>
      </c>
      <c r="D18" s="73" t="n">
        <v>6700000</v>
      </c>
      <c r="E18" s="73" t="n">
        <v>6700000</v>
      </c>
      <c r="F18" s="73" t="n">
        <v>10400000</v>
      </c>
      <c r="G18" s="73" t="n">
        <v>17650000</v>
      </c>
      <c r="H18" s="73" t="n">
        <v>19450000</v>
      </c>
      <c r="I18" s="73" t="n">
        <v>22950000</v>
      </c>
      <c r="J18" s="73" t="n">
        <v>22950000</v>
      </c>
      <c r="K18" s="62" t="n">
        <v>113500000</v>
      </c>
    </row>
    <row r="19" ht="20" customHeight="1">
      <c r="B19" s="84" t="inlineStr">
        <is>
          <t>Ahorro Conservador vs. Sin Plan</t>
        </is>
      </c>
      <c r="C19" s="79" t="n">
        <v>6700000</v>
      </c>
      <c r="D19" s="79" t="n">
        <v>6700000</v>
      </c>
      <c r="E19" s="79" t="n">
        <v>6700000</v>
      </c>
      <c r="F19" s="79" t="n">
        <v>2700000</v>
      </c>
      <c r="G19" s="79" t="n">
        <v>6200000</v>
      </c>
      <c r="H19" s="79" t="n">
        <v>7190000</v>
      </c>
      <c r="I19" s="79" t="n">
        <v>17400000</v>
      </c>
      <c r="J19" s="79" t="n">
        <v>19000000</v>
      </c>
      <c r="K19" s="62" t="n">
        <v>72590000</v>
      </c>
    </row>
  </sheetData>
  <mergeCells count="5">
    <mergeCell ref="B1:K1"/>
    <mergeCell ref="B8:K8"/>
    <mergeCell ref="B4:K4"/>
    <mergeCell ref="B6:K6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B1:K10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 ht="30" customHeight="1">
      <c r="B1" s="32" t="inlineStr">
        <is>
          <t>FLUJO DE INVERSIÓN vs. AHORRO — MAYO A DICIEMBRE 2026</t>
        </is>
      </c>
    </row>
    <row r="2" ht="22" customHeight="1">
      <c r="B2" s="33" t="inlineStr">
        <is>
          <t>Concepto</t>
        </is>
      </c>
      <c r="C2" s="33" t="inlineStr">
        <is>
          <t>Mayo</t>
        </is>
      </c>
      <c r="D2" s="33" t="inlineStr">
        <is>
          <t>Junio</t>
        </is>
      </c>
      <c r="E2" s="33" t="inlineStr">
        <is>
          <t>Julio</t>
        </is>
      </c>
      <c r="F2" s="33" t="inlineStr">
        <is>
          <t>Agosto</t>
        </is>
      </c>
      <c r="G2" s="33" t="inlineStr">
        <is>
          <t>Sep.</t>
        </is>
      </c>
      <c r="H2" s="33" t="inlineStr">
        <is>
          <t>Oct.</t>
        </is>
      </c>
      <c r="I2" s="33" t="inlineStr">
        <is>
          <t>Nov.</t>
        </is>
      </c>
      <c r="J2" s="33" t="inlineStr">
        <is>
          <t>Dic.</t>
        </is>
      </c>
      <c r="K2" s="33" t="inlineStr">
        <is>
          <t>TOTAL</t>
        </is>
      </c>
    </row>
    <row r="3" ht="22" customHeight="1">
      <c r="B3" s="85" t="inlineStr">
        <is>
          <t>INVERSIÓN MENSUAL (desembolso)</t>
        </is>
      </c>
      <c r="C3" s="86" t="n"/>
      <c r="D3" s="86" t="n">
        <v>5000000</v>
      </c>
      <c r="E3" s="86" t="n">
        <v>3000000</v>
      </c>
      <c r="F3" s="86" t="n">
        <v>30000000</v>
      </c>
      <c r="G3" s="86" t="n">
        <v>15000000</v>
      </c>
      <c r="H3" s="86" t="n"/>
      <c r="I3" s="86" t="n"/>
      <c r="J3" s="86" t="n"/>
      <c r="K3" s="87" t="n">
        <v>53000000</v>
      </c>
    </row>
    <row r="4" ht="22" customHeight="1">
      <c r="B4" s="65" t="inlineStr">
        <is>
          <t>AHORRO / COSTO EVITADO MENSUAL</t>
        </is>
      </c>
      <c r="C4" s="88" t="n">
        <v>6700000</v>
      </c>
      <c r="D4" s="88" t="n">
        <v>6700000</v>
      </c>
      <c r="E4" s="88" t="n">
        <v>6700000</v>
      </c>
      <c r="F4" s="88" t="n">
        <v>10400000</v>
      </c>
      <c r="G4" s="88" t="n">
        <v>17650000</v>
      </c>
      <c r="H4" s="88" t="n">
        <v>19450000</v>
      </c>
      <c r="I4" s="88" t="n">
        <v>22950000</v>
      </c>
      <c r="J4" s="88" t="n">
        <v>22950000</v>
      </c>
      <c r="K4" s="19" t="n">
        <v>113500000</v>
      </c>
    </row>
    <row r="5" ht="22" customHeight="1">
      <c r="B5" s="89" t="inlineStr">
        <is>
          <t>FLUJO NETO MENSUAL</t>
        </is>
      </c>
      <c r="C5" s="90" t="n">
        <v>6700000</v>
      </c>
      <c r="D5" s="90" t="n">
        <v>1700000</v>
      </c>
      <c r="E5" s="90" t="n">
        <v>3700000</v>
      </c>
      <c r="F5" s="91" t="n">
        <v>-19600000</v>
      </c>
      <c r="G5" s="90" t="n">
        <v>2650000</v>
      </c>
      <c r="H5" s="90" t="n">
        <v>19450000</v>
      </c>
      <c r="I5" s="90" t="n">
        <v>22950000</v>
      </c>
      <c r="J5" s="90" t="n">
        <v>22950000</v>
      </c>
      <c r="K5" s="19" t="n">
        <v>60500000</v>
      </c>
    </row>
    <row r="6" ht="22" customHeight="1">
      <c r="B6" s="92" t="inlineStr">
        <is>
          <t>FLUJO NETO ACUMULADO</t>
        </is>
      </c>
      <c r="C6" s="87" t="n">
        <v>6700000</v>
      </c>
      <c r="D6" s="87" t="n">
        <v>8400000</v>
      </c>
      <c r="E6" s="87" t="n">
        <v>12100000</v>
      </c>
      <c r="F6" s="91" t="n">
        <v>-7500000</v>
      </c>
      <c r="G6" s="91" t="n">
        <v>-4850000</v>
      </c>
      <c r="H6" s="87" t="n">
        <v>14600000</v>
      </c>
      <c r="I6" s="87" t="n">
        <v>37550000</v>
      </c>
      <c r="J6" s="87" t="n">
        <v>60500000</v>
      </c>
      <c r="K6" s="19" t="n">
        <v>127500000</v>
      </c>
    </row>
    <row r="8" ht="14" customHeight="1">
      <c r="D8" s="93" t="inlineStr">
        <is>
          <t>↑ CMMS inicio</t>
        </is>
      </c>
      <c r="E8" s="93" t="inlineStr">
        <is>
          <t>↑ Capacitación RCM</t>
        </is>
      </c>
      <c r="F8" s="93" t="inlineStr">
        <is>
          <t>↑ Stock repuestos (67%)</t>
        </is>
      </c>
      <c r="G8" s="93" t="inlineStr">
        <is>
          <t>↑ Stock repuestos (33%)</t>
        </is>
      </c>
    </row>
    <row r="10" ht="22" customHeight="1">
      <c r="B10" s="94" t="inlineStr">
        <is>
          <t>PAYBACK: La inversión total de $53,000,000 queda recuperada en OCTUBRE 2026 (mes 6 del plan).</t>
        </is>
      </c>
    </row>
  </sheetData>
  <mergeCells count="2">
    <mergeCell ref="B10:K10"/>
    <mergeCell ref="B1:K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B1:L1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6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" customWidth="1" min="13" max="13"/>
  </cols>
  <sheetData>
    <row r="1" ht="30" customHeight="1">
      <c r="B1" s="32" t="inlineStr">
        <is>
          <t>TABLERO DE KPIs — SEGUIMIENTO MENSUAL</t>
        </is>
      </c>
    </row>
    <row r="2" ht="22" customHeight="1">
      <c r="B2" s="33" t="inlineStr">
        <is>
          <t>KPI</t>
        </is>
      </c>
      <c r="C2" s="33" t="inlineStr">
        <is>
          <t>Meta Dic 2026</t>
        </is>
      </c>
      <c r="D2" s="33" t="inlineStr">
        <is>
          <t>Real Abr 2026</t>
        </is>
      </c>
      <c r="E2" s="33" t="inlineStr">
        <is>
          <t>Mayo</t>
        </is>
      </c>
      <c r="F2" s="33" t="inlineStr">
        <is>
          <t>Junio</t>
        </is>
      </c>
      <c r="G2" s="33" t="inlineStr">
        <is>
          <t>Julio</t>
        </is>
      </c>
      <c r="H2" s="33" t="inlineStr">
        <is>
          <t>Agosto</t>
        </is>
      </c>
      <c r="I2" s="33" t="inlineStr">
        <is>
          <t>Sep.</t>
        </is>
      </c>
      <c r="J2" s="33" t="inlineStr">
        <is>
          <t>Oct.</t>
        </is>
      </c>
      <c r="K2" s="33" t="inlineStr">
        <is>
          <t>Nov.</t>
        </is>
      </c>
      <c r="L2" s="33" t="inlineStr">
        <is>
          <t>Dic.</t>
        </is>
      </c>
    </row>
    <row r="3" ht="20" customHeight="1">
      <c r="B3" s="40" t="inlineStr">
        <is>
          <t>Costo total mant. mensual (COP)</t>
        </is>
      </c>
      <c r="C3" s="95" t="inlineStr">
        <is>
          <t>≤ $85,000,000</t>
        </is>
      </c>
      <c r="D3" s="43" t="n">
        <v>103803900</v>
      </c>
      <c r="E3" s="96" t="n">
        <v>130000000</v>
      </c>
      <c r="F3" s="96" t="n">
        <v>110000000</v>
      </c>
      <c r="G3" s="96" t="n">
        <v>105000000</v>
      </c>
      <c r="H3" s="96" t="n">
        <v>100000000</v>
      </c>
      <c r="I3" s="96" t="n">
        <v>95000000</v>
      </c>
      <c r="J3" s="96" t="n">
        <v>90000000</v>
      </c>
      <c r="K3" s="96" t="n">
        <v>90000000</v>
      </c>
      <c r="L3" s="96" t="n">
        <v>85000000</v>
      </c>
    </row>
    <row r="4" ht="20" customHeight="1">
      <c r="B4" s="37" t="inlineStr">
        <is>
          <t>% Ejecución vs. presupuesto</t>
        </is>
      </c>
      <c r="C4" s="95" t="inlineStr">
        <is>
          <t>≤ 100%</t>
        </is>
      </c>
      <c r="D4" s="45" t="n">
        <v>2.076</v>
      </c>
      <c r="E4" s="97" t="n">
        <v>1.1</v>
      </c>
      <c r="F4" s="97" t="n">
        <v>1.05</v>
      </c>
      <c r="G4" s="97" t="n">
        <v>1.05</v>
      </c>
      <c r="H4" s="97" t="n">
        <v>1</v>
      </c>
      <c r="I4" s="97" t="n">
        <v>1</v>
      </c>
      <c r="J4" s="97" t="n">
        <v>1</v>
      </c>
      <c r="K4" s="97" t="n">
        <v>1</v>
      </c>
      <c r="L4" s="97" t="n">
        <v>1</v>
      </c>
    </row>
    <row r="5" ht="20" customHeight="1">
      <c r="B5" s="40" t="inlineStr">
        <is>
          <t>% Mantenimiento Preventivo</t>
        </is>
      </c>
      <c r="C5" s="95" t="inlineStr">
        <is>
          <t>≥ 60%</t>
        </is>
      </c>
      <c r="D5" s="45" t="n">
        <v>0.3</v>
      </c>
      <c r="E5" s="97" t="n">
        <v>0.35</v>
      </c>
      <c r="F5" s="97" t="n">
        <v>0.4</v>
      </c>
      <c r="G5" s="97" t="n">
        <v>0.45</v>
      </c>
      <c r="H5" s="97" t="n">
        <v>0.48</v>
      </c>
      <c r="I5" s="97" t="n">
        <v>0.52</v>
      </c>
      <c r="J5" s="97" t="n">
        <v>0.55</v>
      </c>
      <c r="K5" s="97" t="n">
        <v>0.58</v>
      </c>
      <c r="L5" s="97" t="n">
        <v>0.6</v>
      </c>
    </row>
    <row r="6" ht="20" customHeight="1">
      <c r="B6" s="37" t="inlineStr">
        <is>
          <t>Costo personal temporal (COP)</t>
        </is>
      </c>
      <c r="C6" s="95" t="inlineStr">
        <is>
          <t>≤ $7,500,000</t>
        </is>
      </c>
      <c r="D6" s="43" t="n">
        <v>15200000</v>
      </c>
      <c r="E6" s="96" t="n">
        <v>10500000</v>
      </c>
      <c r="F6" s="96" t="n">
        <v>9000000</v>
      </c>
      <c r="G6" s="96" t="n">
        <v>8500000</v>
      </c>
      <c r="H6" s="96" t="n">
        <v>8000000</v>
      </c>
      <c r="I6" s="96" t="n">
        <v>8000000</v>
      </c>
      <c r="J6" s="96" t="n">
        <v>8000000</v>
      </c>
      <c r="K6" s="96" t="n">
        <v>7500000</v>
      </c>
      <c r="L6" s="96" t="n">
        <v>7500000</v>
      </c>
    </row>
    <row r="7" ht="20" customHeight="1">
      <c r="B7" s="40" t="inlineStr">
        <is>
          <t>Nro. proveedores con contrato</t>
        </is>
      </c>
      <c r="C7" s="95" t="inlineStr">
        <is>
          <t>5</t>
        </is>
      </c>
      <c r="D7" s="98" t="n">
        <v>0</v>
      </c>
      <c r="E7" s="99" t="n"/>
      <c r="F7" s="99" t="n">
        <v>1</v>
      </c>
      <c r="G7" s="99" t="n">
        <v>2</v>
      </c>
      <c r="H7" s="99" t="n">
        <v>3</v>
      </c>
      <c r="I7" s="99" t="n">
        <v>5</v>
      </c>
      <c r="J7" s="99" t="n">
        <v>5</v>
      </c>
      <c r="K7" s="99" t="n">
        <v>5</v>
      </c>
      <c r="L7" s="99" t="n">
        <v>5</v>
      </c>
    </row>
    <row r="8" ht="20" customHeight="1">
      <c r="B8" s="37" t="inlineStr">
        <is>
          <t>% OT con aprobación previa</t>
        </is>
      </c>
      <c r="C8" s="95" t="inlineStr">
        <is>
          <t>100%</t>
        </is>
      </c>
      <c r="D8" s="45" t="n">
        <v>0.3</v>
      </c>
      <c r="E8" s="97" t="n">
        <v>0.6</v>
      </c>
      <c r="F8" s="97" t="n">
        <v>0.9</v>
      </c>
      <c r="G8" s="97" t="n">
        <v>0.95</v>
      </c>
      <c r="H8" s="97" t="n">
        <v>0.98</v>
      </c>
      <c r="I8" s="97" t="n">
        <v>1</v>
      </c>
      <c r="J8" s="97" t="n">
        <v>1</v>
      </c>
      <c r="K8" s="97" t="n">
        <v>1</v>
      </c>
      <c r="L8" s="97" t="n">
        <v>1</v>
      </c>
    </row>
    <row r="9" ht="20" customHeight="1">
      <c r="B9" s="40" t="inlineStr">
        <is>
          <t>KPI Costo/Ventas (mensual)</t>
        </is>
      </c>
      <c r="C9" s="95" t="inlineStr">
        <is>
          <t>≤ 2.5%</t>
        </is>
      </c>
      <c r="D9" s="45" t="n">
        <v>0.0515</v>
      </c>
      <c r="E9" s="97" t="n">
        <v>0.035</v>
      </c>
      <c r="F9" s="97" t="n">
        <v>0.032</v>
      </c>
      <c r="G9" s="97" t="n">
        <v>0.03</v>
      </c>
      <c r="H9" s="97" t="n">
        <v>0.028</v>
      </c>
      <c r="I9" s="97" t="n">
        <v>0.027</v>
      </c>
      <c r="J9" s="97" t="n">
        <v>0.026</v>
      </c>
      <c r="K9" s="97" t="n">
        <v>0.0255</v>
      </c>
      <c r="L9" s="97" t="n">
        <v>0.025</v>
      </c>
    </row>
    <row r="10" ht="20" customHeight="1">
      <c r="B10" s="37" t="inlineStr">
        <is>
          <t>Paros por falta de repuesto</t>
        </is>
      </c>
      <c r="C10" s="95" t="inlineStr">
        <is>
          <t>0</t>
        </is>
      </c>
      <c r="D10" s="100" t="n"/>
      <c r="E10" s="99" t="n"/>
      <c r="F10" s="99" t="n"/>
      <c r="G10" s="99" t="n"/>
      <c r="H10" s="99" t="n"/>
      <c r="I10" s="99" t="n"/>
      <c r="J10" s="99" t="n"/>
      <c r="K10" s="99" t="n"/>
      <c r="L10" s="99" t="n"/>
    </row>
    <row r="11" ht="20" customHeight="1">
      <c r="B11" s="40" t="inlineStr">
        <is>
          <t>MTBF equipos críticos (horas)</t>
        </is>
      </c>
      <c r="C11" s="95" t="inlineStr">
        <is>
          <t>Mejorar</t>
        </is>
      </c>
      <c r="D11" s="98" t="n"/>
      <c r="E11" s="99" t="n"/>
      <c r="F11" s="99" t="n"/>
      <c r="G11" s="99" t="n"/>
      <c r="H11" s="99" t="n"/>
      <c r="I11" s="99" t="n"/>
      <c r="J11" s="99" t="n"/>
      <c r="K11" s="99" t="n"/>
      <c r="L11" s="99" t="n"/>
    </row>
    <row r="14" ht="18" customHeight="1">
      <c r="B14" s="101" t="inlineStr">
        <is>
          <t>INSTRUCCIÓN: Reemplace las celdas en AZUL con los valores reales mensuales al cierre de cada período. Las celdas en VERDE son metas fijas.</t>
        </is>
      </c>
    </row>
  </sheetData>
  <mergeCells count="2">
    <mergeCell ref="B14:L14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2026-05-28T15:18:56Z</dcterms:created>
  <dcterms:modified xsi:type="dcterms:W3CDTF">2026-05-28T15:18:57Z</dcterms:modified>
</cp:coreProperties>
</file>