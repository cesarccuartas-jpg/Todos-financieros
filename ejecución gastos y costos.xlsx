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rcol585-my.sharepoint.com/personal/cesar_cuartas_tercol_com_co/Documents/Escritorio/"/>
    </mc:Choice>
  </mc:AlternateContent>
  <xr:revisionPtr revIDLastSave="2" documentId="8_{079AB17D-F2B9-4C89-804C-B39EBEA8A5B1}" xr6:coauthVersionLast="47" xr6:coauthVersionMax="47" xr10:uidLastSave="{8775C812-F679-4D86-89A6-1DDD9D1EB1A8}"/>
  <bookViews>
    <workbookView xWindow="-108" yWindow="-108" windowWidth="23256" windowHeight="13896" activeTab="2" xr2:uid="{00000000-000D-0000-FFFF-FFFF00000000}"/>
  </bookViews>
  <sheets>
    <sheet name="Laboral" sheetId="5" r:id="rId1"/>
    <sheet name="Otros costos y gastos" sheetId="3" r:id="rId2"/>
    <sheet name="Maestra CCostos" sheetId="4" r:id="rId3"/>
  </sheets>
  <definedNames>
    <definedName name="_xlnm._FilterDatabase" localSheetId="0" hidden="1">Laboral!$A$1:$H$4457</definedName>
    <definedName name="_xlnm._FilterDatabase" localSheetId="2" hidden="1">'Maestra CCostos'!$A$1:$B$90</definedName>
    <definedName name="_xlnm._FilterDatabase" localSheetId="1" hidden="1">'Otros costos y gastos'!$A$1:$I$3802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4" l="1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2541" i="3"/>
  <c r="G7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" i="3"/>
</calcChain>
</file>

<file path=xl/sharedStrings.xml><?xml version="1.0" encoding="utf-8"?>
<sst xmlns="http://schemas.openxmlformats.org/spreadsheetml/2006/main" count="16713" uniqueCount="257">
  <si>
    <t>CCosto</t>
  </si>
  <si>
    <t>Descripcion</t>
  </si>
  <si>
    <t>Mes</t>
  </si>
  <si>
    <t>Ppto</t>
  </si>
  <si>
    <t>Valor</t>
  </si>
  <si>
    <t>Dif</t>
  </si>
  <si>
    <t>Cump</t>
  </si>
  <si>
    <t>ADMINISTRACION</t>
  </si>
  <si>
    <t>REVISORIA FISCAL</t>
  </si>
  <si>
    <t>AUDITORIA EXTERNA</t>
  </si>
  <si>
    <t>ASESORIA JURIDICA</t>
  </si>
  <si>
    <t>OTROS HONORARIOS</t>
  </si>
  <si>
    <t>SEGURO FLOTA Y EQUIPO DE TRANSPORTE</t>
  </si>
  <si>
    <t>SEGURO OBLIGATORIO</t>
  </si>
  <si>
    <t>SERVICIO DE ASEO Y VIGILANCIA</t>
  </si>
  <si>
    <t>TELEFONO</t>
  </si>
  <si>
    <t>TRANSPORTES, FLETES Y ACARREOS</t>
  </si>
  <si>
    <t>CELULARES</t>
  </si>
  <si>
    <t>NOTARIALES</t>
  </si>
  <si>
    <t>TRAMITES Y LICENCIAS</t>
  </si>
  <si>
    <t>CUOTA DE MONETIZACION SENA</t>
  </si>
  <si>
    <t>MANTENIM.EQUIPO DE OFICINA</t>
  </si>
  <si>
    <t>REPARACIONES LOCATIVAS</t>
  </si>
  <si>
    <t>DEPREC.CONSTRUCCIONES Y EDIFICACIONES</t>
  </si>
  <si>
    <t>DEPREC.EQUIPO DE OFICINA</t>
  </si>
  <si>
    <t>DEPREC.FLOTA Y EQUIPO DE TRANSPORTE</t>
  </si>
  <si>
    <t>GASTOS DE REPRESENTACION</t>
  </si>
  <si>
    <t>ELEMENTOS DE ASEO Y CAFETERIA</t>
  </si>
  <si>
    <t>UTILES, PAPELERIA Y OTROS MATERIALES</t>
  </si>
  <si>
    <t>CASINO Y RESTAURANTE</t>
  </si>
  <si>
    <t>ELEMENTOS PROTOCOLO COVID 19</t>
  </si>
  <si>
    <t>GASTOS BANCARIOS</t>
  </si>
  <si>
    <t>INTERESES</t>
  </si>
  <si>
    <t>DIFERENCIA EN CAMBIO</t>
  </si>
  <si>
    <t>VENTA DE INVERSIONES</t>
  </si>
  <si>
    <t>IMPUESTOS ASUMIDOS</t>
  </si>
  <si>
    <t>GASTOS NO DEDUCIBLES</t>
  </si>
  <si>
    <t>IMPUESTO 4X1000</t>
  </si>
  <si>
    <t>MANTENIM.PREVENTIVO METALMECANICA</t>
  </si>
  <si>
    <t>DEPRE. MAQUINARIA Y EQUIPO</t>
  </si>
  <si>
    <t>ASISTENCIA TECNICA</t>
  </si>
  <si>
    <t>OTROS MANTENIMIENTOS OTROS EQUIPOS</t>
  </si>
  <si>
    <t>DEPRE. EQUIPO DE COMPUTO</t>
  </si>
  <si>
    <t>COMERCIAL</t>
  </si>
  <si>
    <t>POLIZA DE CARTERA</t>
  </si>
  <si>
    <t>ESTUDIO DE CLIENTES ASEGURADORA</t>
  </si>
  <si>
    <t>ALOJAMIENTO Y MANUTENCION</t>
  </si>
  <si>
    <t>PASAJES AEREOS</t>
  </si>
  <si>
    <t>PASAJES TERRESTRES</t>
  </si>
  <si>
    <t>BONOS COMERCIALES</t>
  </si>
  <si>
    <t>OBSEQUIOS CLIENTES</t>
  </si>
  <si>
    <t>PRORRATEO DE IVA</t>
  </si>
  <si>
    <t>COMBUSTIBLES Y LUBRICANTES</t>
  </si>
  <si>
    <t>SERVICIOS DE PRODUCCION</t>
  </si>
  <si>
    <t>MANTENIM.CORRECTIVO METALMECANICA</t>
  </si>
  <si>
    <t>MANTENIM.CORRECTIVO INYECCION</t>
  </si>
  <si>
    <t>FAMILIA</t>
  </si>
  <si>
    <t>AFILIACIONES Y SOSTENIMIENTO</t>
  </si>
  <si>
    <t>HERRAMIENTAS</t>
  </si>
  <si>
    <t>INSUMOS MANTEMIMIENTO</t>
  </si>
  <si>
    <t>FORMULACION DE PROYECTOS</t>
  </si>
  <si>
    <t>PROYECTOS MEJORA CONTINUA</t>
  </si>
  <si>
    <t>MANTENIM.EQUIPO DE COMPUTO</t>
  </si>
  <si>
    <t>MANTENIM.PREVENTIVO INYECCION</t>
  </si>
  <si>
    <t>INYECCION MOI</t>
  </si>
  <si>
    <t>LEASING DE LA BODEGA</t>
  </si>
  <si>
    <t>IMPUESTO DE TIMBRE BODEGA LEASING</t>
  </si>
  <si>
    <t>LOGISTICA-ENTRADA</t>
  </si>
  <si>
    <t>LOGISTICA-SALIDA</t>
  </si>
  <si>
    <t>COSTOS DE IMPORTACION</t>
  </si>
  <si>
    <t>ALQUILER DE BODEGAS</t>
  </si>
  <si>
    <t>SEGURO BODEGA Y EQUIPOS</t>
  </si>
  <si>
    <t>ACUEDUCTO Y ALCANTARILLADO</t>
  </si>
  <si>
    <t>ENERGIA ELECTRICA</t>
  </si>
  <si>
    <t>GAS</t>
  </si>
  <si>
    <t>MANTENIMIENTO</t>
  </si>
  <si>
    <t>CIF</t>
  </si>
  <si>
    <t>CALIDAD</t>
  </si>
  <si>
    <t>LOGISTICA</t>
  </si>
  <si>
    <t>INNOVACION</t>
  </si>
  <si>
    <t>CCOSTO</t>
  </si>
  <si>
    <t>AREA</t>
  </si>
  <si>
    <t>AMBIENTAL</t>
  </si>
  <si>
    <t>SP</t>
  </si>
  <si>
    <t>COMISIONES BANCARIAS</t>
  </si>
  <si>
    <t>CONSUMO DE INTERNET</t>
  </si>
  <si>
    <t>REGISTRO MERCANTIL</t>
  </si>
  <si>
    <t>AMBIENTAL- INSUMOS AMBIENTAL</t>
  </si>
  <si>
    <t>AMBIENTAL- MEDICIONES AMBIENTALES</t>
  </si>
  <si>
    <t>AMBIENTAL- RECOLEC RESIDUOS PELIGROSOS</t>
  </si>
  <si>
    <t>CALIDAD - ANALISIS O PRUEBAS DE CALIDAD</t>
  </si>
  <si>
    <t>CALIDAD - AUDITORIAS RETIE</t>
  </si>
  <si>
    <t>CALIDAD - CALIBRACION Y VERIFICACION</t>
  </si>
  <si>
    <t>CALIDAD - COSTOS DE PERSONAL</t>
  </si>
  <si>
    <t>ADQUISICION DE SOFTWARE-LICENCIAS</t>
  </si>
  <si>
    <t>CALIDAD - EQUIPOS DE MEDICION Y CONTROL</t>
  </si>
  <si>
    <t>CALIDAD - INSUMOS DE CALIDAD</t>
  </si>
  <si>
    <t>DISEÑO GRAFICO CATALOGO</t>
  </si>
  <si>
    <t>IMPUESTO INDUSTRIA Y COMERCIO</t>
  </si>
  <si>
    <t>COMERCIAL-EXPORTACIONES</t>
  </si>
  <si>
    <t>HONORARIOS ASESORES EXTRANJEROS</t>
  </si>
  <si>
    <t>COSTOS INDIRECTOS DE FABRICACION</t>
  </si>
  <si>
    <t>OTROS SEGUROS</t>
  </si>
  <si>
    <t>GERENCIA DE OPERACIONES</t>
  </si>
  <si>
    <t>INNOVACION - COSTOS DE PERSONAL</t>
  </si>
  <si>
    <t>INNOVACION - DESARROLLO PRODUCTO</t>
  </si>
  <si>
    <t>PROYECTOS NUEVOS PRODUCTOS</t>
  </si>
  <si>
    <t>INNOVACION - MEJORA CONTINUA</t>
  </si>
  <si>
    <t>INNOVACION - SERVIDOR SIT</t>
  </si>
  <si>
    <t>IMPUESTO PREDIAL</t>
  </si>
  <si>
    <t>MANT - AIRE ACONDICIONADO</t>
  </si>
  <si>
    <t>MANT - ALARMAS</t>
  </si>
  <si>
    <t>MANT - COMPRESORES</t>
  </si>
  <si>
    <t xml:space="preserve">MANT - COSTOS DE PERSONAL  </t>
  </si>
  <si>
    <t>MANT - ELEVADORES MALACATES</t>
  </si>
  <si>
    <t>MANT - HERRAMIENTAS - INY Y MT</t>
  </si>
  <si>
    <t>MANT - INY - INYECTORA #1</t>
  </si>
  <si>
    <t>MANT - INY - INYECTORA #2</t>
  </si>
  <si>
    <t>MANT - INY - INYECTORA #3</t>
  </si>
  <si>
    <t>MANT - INY - INYECTORA #4</t>
  </si>
  <si>
    <t>MANT - INY - INYECTORA #5</t>
  </si>
  <si>
    <t>MANT - INY - INYECTORA #6</t>
  </si>
  <si>
    <t>MANT - INY - INYECTORA #7</t>
  </si>
  <si>
    <t>MANT - INY - MOLDES</t>
  </si>
  <si>
    <t>MANT - INY - MOLINO</t>
  </si>
  <si>
    <t>MANT - INY - SUBCIONADORES</t>
  </si>
  <si>
    <t>MANT - INY-ATEMPERADOR</t>
  </si>
  <si>
    <t>MANT - INY-DESHUMIFICADORES</t>
  </si>
  <si>
    <t>MANT - INY-ENSAMBLE DE ADAPTADOR 1/2 Y 3/4</t>
  </si>
  <si>
    <t>MANT - LOCATIVOS</t>
  </si>
  <si>
    <t>INSUMOS LOCATIVOS</t>
  </si>
  <si>
    <t>MANT - LUBRICANTES</t>
  </si>
  <si>
    <t>MANT - MT -  DOBLADORAS</t>
  </si>
  <si>
    <t>MANT - MT - ATORNILLADORES</t>
  </si>
  <si>
    <t>MANT - MT - ENSAMBLE INTERIORES</t>
  </si>
  <si>
    <t>MANT - MT - ENSAMBLE PT</t>
  </si>
  <si>
    <t>MANT - MT - HORNO</t>
  </si>
  <si>
    <t>MANT - MT - LAVADO</t>
  </si>
  <si>
    <t>MANT - MT - PINTURA</t>
  </si>
  <si>
    <t>MANT - MT - PUNZONADORAS</t>
  </si>
  <si>
    <t>MANT - MT - SOLDADOR DE PUNTO</t>
  </si>
  <si>
    <t>MANT - MT - SOLDADOR MIG</t>
  </si>
  <si>
    <t>MANT - MT - TROQUELADORAS</t>
  </si>
  <si>
    <t>MANT - MT - TROQUELES</t>
  </si>
  <si>
    <t>MANT - MT - ZUNCHADORAS</t>
  </si>
  <si>
    <t>MANT - MT-MANTENIMIENTO</t>
  </si>
  <si>
    <t>PLANTA INYECCION</t>
  </si>
  <si>
    <t>PLANTA METALMECANICA</t>
  </si>
  <si>
    <t>EMPASTADA DE LIBROS</t>
  </si>
  <si>
    <t>IMPUESTO DE VEHICULOS</t>
  </si>
  <si>
    <t>SOBRETASA BOMBERIL</t>
  </si>
  <si>
    <t>AMBIENTAL- ANALISIS O PRUEBAS</t>
  </si>
  <si>
    <t>AMBIENTAL- OTROS</t>
  </si>
  <si>
    <t>PUBLICIDAD, PROPAGANDA Y PROMOCION</t>
  </si>
  <si>
    <t>MANT - INY - REFRIGERACION</t>
  </si>
  <si>
    <t>OTROS GASTOS</t>
  </si>
  <si>
    <t>ENVIOS POR CORREO</t>
  </si>
  <si>
    <t>CALIDAD - AUDITORIA EXTERNA</t>
  </si>
  <si>
    <t>CALIDAD - AUDITORIA INTERNA</t>
  </si>
  <si>
    <t>AUDITORIA DE RECERTIFICACION</t>
  </si>
  <si>
    <t>COSTOS DE EXPORTACION</t>
  </si>
  <si>
    <t>TRANSPORTE TERRESTRE EN VIAJES</t>
  </si>
  <si>
    <t>IMPLEMENTACION SAGRILAFT</t>
  </si>
  <si>
    <t>PLANEACION ESTRATEGICA</t>
  </si>
  <si>
    <t>PROCESAMIENTO DE DATOS</t>
  </si>
  <si>
    <t>DIFERENCIA EN CAMBIO CDC PANAMA USD</t>
  </si>
  <si>
    <t>OTROS</t>
  </si>
  <si>
    <t>MANT - INY - PIGMENTADOR</t>
  </si>
  <si>
    <t>ASESORIA EN COMERCIO EXTERIOR</t>
  </si>
  <si>
    <t>TASA ESPECIAL SEGURIDAD</t>
  </si>
  <si>
    <t>SUSCRIPCION CON BUK PARA NOMINA</t>
  </si>
  <si>
    <t>MANTENIM.FLOTA Y EQUIPO DE TRANSPORTE</t>
  </si>
  <si>
    <t>Tipo</t>
  </si>
  <si>
    <t>COMERCIAL-EXP</t>
  </si>
  <si>
    <t>ASESORIA TRIBUTARIA</t>
  </si>
  <si>
    <t>MANT - MT-CIZALLAS</t>
  </si>
  <si>
    <t>Ccosto</t>
  </si>
  <si>
    <t>SUELDOS</t>
  </si>
  <si>
    <t>CONTRATOS DE APRENDIZAJE</t>
  </si>
  <si>
    <t>INCAPACIDADES</t>
  </si>
  <si>
    <t>AUXILIO DE TRANSPORTE</t>
  </si>
  <si>
    <t>CESANTIAS</t>
  </si>
  <si>
    <t>INTERESES SOBRE CESANTIAS</t>
  </si>
  <si>
    <t>PRIMA DE SERVICIOS</t>
  </si>
  <si>
    <t>VACACIONES</t>
  </si>
  <si>
    <t>AJUSTE VACACIONES</t>
  </si>
  <si>
    <t>AUXILIOS ALIMENTACION Y TRANSPORTE</t>
  </si>
  <si>
    <t>AGUINALDO ANUAL</t>
  </si>
  <si>
    <t>DOTACION PERSONAL-UNIFORME Y CALZADO</t>
  </si>
  <si>
    <t>DOTACION PERSONAL-ELEMENTOS EPP</t>
  </si>
  <si>
    <t>INDEMNIZACIONES</t>
  </si>
  <si>
    <t>CAPACITACION AL PERSONAL</t>
  </si>
  <si>
    <t>APORTES A ARL</t>
  </si>
  <si>
    <t>APORTES A EPS</t>
  </si>
  <si>
    <t>APORTES A FONDOS DE PENSIONES</t>
  </si>
  <si>
    <t>APORTES A CAJAS DE COMPENSACION</t>
  </si>
  <si>
    <t>APORTES ICBF</t>
  </si>
  <si>
    <t>APORTES SENA</t>
  </si>
  <si>
    <t>GASTOS MEDICOS Y DROGAS</t>
  </si>
  <si>
    <t>EXAMENES MEDICOS</t>
  </si>
  <si>
    <t>PERSONAL TEMPORAL</t>
  </si>
  <si>
    <t>AUXILIOS TEMPORALES</t>
  </si>
  <si>
    <t>AGUINALDOS TEMPORALES</t>
  </si>
  <si>
    <t>SERVICIO DE POLIGRAFIA</t>
  </si>
  <si>
    <t>APORTES A PENSION VOLUNTARIA</t>
  </si>
  <si>
    <t>HORAS EXTRAS Y RECARGOS</t>
  </si>
  <si>
    <t>SUBSIDIO DE TRANSPORTE</t>
  </si>
  <si>
    <t>AUXILIOS</t>
  </si>
  <si>
    <t>DOTACION PERSONAL TEMPORAL</t>
  </si>
  <si>
    <t>COMISIONES</t>
  </si>
  <si>
    <t>APRENDIZ</t>
  </si>
  <si>
    <t>CAPACITACIONES PERSONAL DE PRODUCCION</t>
  </si>
  <si>
    <t>BONIFICACIONES</t>
  </si>
  <si>
    <t>PROCESO DE SELECCION</t>
  </si>
  <si>
    <t>SERVICIO LAVADO DOTACION</t>
  </si>
  <si>
    <t>ALQUILER MAQUINARIA Y EQUIPO</t>
  </si>
  <si>
    <t>PARTICIPACION EN FERIAS</t>
  </si>
  <si>
    <t>BONOS DE RECONOCIMIENTO</t>
  </si>
  <si>
    <t>PROVISION ESTUDIOS Y OTROS</t>
  </si>
  <si>
    <t>BODEGA ALQUILADA</t>
  </si>
  <si>
    <t>SERVICIO DE FOTOCOPIAS E IMPRESIONES</t>
  </si>
  <si>
    <t>SERVICIO DE TOMA DE MUESTRAS Y LABORATORIO</t>
  </si>
  <si>
    <t xml:space="preserve">MANT - TORNO </t>
  </si>
  <si>
    <t>BODEGA CARTOPLAST</t>
  </si>
  <si>
    <t>PARQUEADEROS</t>
  </si>
  <si>
    <t>RETIRO DE OTROS ACTIVOS</t>
  </si>
  <si>
    <t>AMBIENTAL- AGUAS</t>
  </si>
  <si>
    <t>IMPUESTO A LA SEGURIDAD</t>
  </si>
  <si>
    <t>COMISIONES AGENCIA</t>
  </si>
  <si>
    <t>CALIDAD - CERTIFICACIONES RETIE</t>
  </si>
  <si>
    <t>CALIDAD - EQUIPOS DE MEDICÓN Y CALIBRACIÓN</t>
  </si>
  <si>
    <t>CALIDAD - LABORATORIO PRUEBAS E INSUMOS</t>
  </si>
  <si>
    <t>IVA DESCONTABLE</t>
  </si>
  <si>
    <t>DETERIORO DEUDORES</t>
  </si>
  <si>
    <t>IMPUESTOS DESCONTABLES</t>
  </si>
  <si>
    <t>SEGURO DE SOBREVIVENCIA</t>
  </si>
  <si>
    <t>VENTA DE PROPIEDADES, PLANTA Y EQUIPO</t>
  </si>
  <si>
    <t>INNOVACION - TI</t>
  </si>
  <si>
    <t>Año</t>
  </si>
  <si>
    <t>BONOS DE SODEXHO</t>
  </si>
  <si>
    <t>AMBIENTAL- COSTOS DE PERSONAL</t>
  </si>
  <si>
    <t>AMBIENTAL- SUELOS</t>
  </si>
  <si>
    <t>BODEGA CARTOPLAS</t>
  </si>
  <si>
    <t>CALIDAD - EQUIPOS DE MEDICIÓN Y CALIBRACIÓN</t>
  </si>
  <si>
    <t>CALIDAD - INSUMOS CALIDAD</t>
  </si>
  <si>
    <t>CALIDAD - ISO 9001</t>
  </si>
  <si>
    <t>CALIDAD - LABORATORIO PRUEBAS EXTERNAS</t>
  </si>
  <si>
    <t>MUESTRAS COMERCIALES</t>
  </si>
  <si>
    <t>GESTION HUMANA-OTROS GASTOS</t>
  </si>
  <si>
    <t>IMPUESTO AL PLASTICO DE UN SOLO USO</t>
  </si>
  <si>
    <t>MANT - INY - POLIPASTOS</t>
  </si>
  <si>
    <t xml:space="preserve">MANT - RECTIFICADORA </t>
  </si>
  <si>
    <t>GESTION HUMANA</t>
  </si>
  <si>
    <t>DIRECTOR DE PRODUCCIÓN-SUPERVISORES-ASISTENTE-PROGRAMACION</t>
  </si>
  <si>
    <t>AUDITORIAS EXTERNAS</t>
  </si>
  <si>
    <t xml:space="preserve">MANT - FRESADORA </t>
  </si>
  <si>
    <t>IMPUESTO ALPATRIMONIO SOCIEDADES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</si>
</sst>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#,##0.00\ %"/>
    <numFmt numFmtId="167" formatCode="0.0%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7EC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28">
    <xf numFmtId="0" fontId="0" fillId="0" borderId="0" xfId="0"/>
    <xf numFmtId="49" fontId="3" fillId="2" borderId="4" xfId="0" applyNumberFormat="1" applyFont="1" applyFill="1" applyBorder="1" applyAlignment="1">
      <alignment horizontal="left" vertical="center" readingOrder="1"/>
    </xf>
    <xf numFmtId="49" fontId="4" fillId="3" borderId="5" xfId="0" applyNumberFormat="1" applyFont="1" applyFill="1" applyBorder="1" applyAlignment="1">
      <alignment horizontal="left" vertical="center" readingOrder="1"/>
    </xf>
    <xf numFmtId="49" fontId="1" fillId="3" borderId="5" xfId="0" applyNumberFormat="1" applyFont="1" applyFill="1" applyBorder="1" applyAlignment="1">
      <alignment horizontal="left" vertical="center" readingOrder="1"/>
    </xf>
    <xf numFmtId="49" fontId="1" fillId="2" borderId="3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165" fontId="2" fillId="2" borderId="1" xfId="1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right" vertical="center" readingOrder="1"/>
    </xf>
    <xf numFmtId="0" fontId="6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49" fontId="7" fillId="3" borderId="5" xfId="0" applyNumberFormat="1" applyFont="1" applyFill="1" applyBorder="1" applyAlignment="1">
      <alignment horizontal="left" vertical="center" readingOrder="1"/>
    </xf>
    <xf numFmtId="49" fontId="4" fillId="3" borderId="6" xfId="0" applyNumberFormat="1" applyFont="1" applyFill="1" applyBorder="1" applyAlignment="1">
      <alignment horizontal="left" vertical="center" readingOrder="1"/>
    </xf>
    <xf numFmtId="49" fontId="7" fillId="2" borderId="5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9" fontId="1" fillId="2" borderId="2" xfId="0" applyNumberFormat="1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166" fontId="1" fillId="4" borderId="1" xfId="0" applyNumberFormat="1" applyFont="1" applyFill="1" applyBorder="1" applyAlignment="1">
      <alignment horizontal="right" vertical="center" readingOrder="1"/>
    </xf>
    <xf numFmtId="0" fontId="1" fillId="4" borderId="7" xfId="0" applyFont="1" applyFill="1" applyBorder="1" applyAlignment="1">
      <alignment horizontal="center" vertical="center" readingOrder="1"/>
    </xf>
    <xf numFmtId="0" fontId="7" fillId="2" borderId="8" xfId="1" applyNumberFormat="1" applyFont="1" applyFill="1" applyBorder="1" applyAlignment="1">
      <alignment horizontal="center" vertical="center" readingOrder="1"/>
    </xf>
    <xf numFmtId="49" fontId="7" fillId="2" borderId="1" xfId="0" applyNumberFormat="1" applyFont="1" applyFill="1" applyBorder="1" applyAlignment="1">
      <alignment horizontal="left" vertical="center" readingOrder="1"/>
    </xf>
    <xf numFmtId="0" fontId="7" fillId="2" borderId="1" xfId="0" applyFont="1" applyFill="1" applyBorder="1" applyAlignment="1">
      <alignment horizontal="left" vertical="center" readingOrder="1"/>
    </xf>
    <xf numFmtId="49" fontId="7" fillId="2" borderId="2" xfId="0" applyNumberFormat="1" applyFont="1" applyFill="1" applyBorder="1" applyAlignment="1">
      <alignment horizontal="left" vertical="center" readingOrder="1"/>
    </xf>
    <xf numFmtId="49" fontId="7" fillId="2" borderId="3" xfId="0" applyNumberFormat="1" applyFont="1" applyFill="1" applyBorder="1" applyAlignment="1">
      <alignment horizontal="left" vertical="center" readingOrder="1"/>
    </xf>
    <xf numFmtId="164" fontId="7" fillId="2" borderId="1" xfId="1" applyFont="1" applyFill="1" applyBorder="1" applyAlignment="1">
      <alignment horizontal="left" vertical="center" readingOrder="1"/>
    </xf>
    <xf numFmtId="167" fontId="7" fillId="2" borderId="1" xfId="2" applyNumberFormat="1" applyFont="1" applyFill="1" applyBorder="1" applyAlignment="1">
      <alignment horizontal="right" vertical="center" readingOrder="1"/>
    </xf>
    <xf numFmtId="49" fontId="7" fillId="2" borderId="9" xfId="0" applyNumberFormat="1" applyFont="1" applyFill="1" applyBorder="1" applyAlignment="1">
      <alignment horizontal="left" vertical="center" readingOrder="1"/>
    </xf>
  </cellXfs>
  <cellStyles count="4">
    <cellStyle name="Millares" xfId="1" builtinId="3"/>
    <cellStyle name="Millares 2" xfId="3" xr:uid="{C309CE9C-EF8B-4922-9D2C-EFD0CF3B08F6}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231D-A8ED-4301-BFD9-010CEBDED17F}">
  <sheetPr filterMode="1"/>
  <dimension ref="A1:H4457"/>
  <sheetViews>
    <sheetView workbookViewId="0">
      <pane ySplit="1" topLeftCell="A4359" activePane="bottomLeft" state="frozen"/>
      <selection pane="bottomLeft" activeCell="D3183" sqref="D3183"/>
    </sheetView>
  </sheetViews>
  <sheetFormatPr baseColWidth="10" defaultRowHeight="14.4" x14ac:dyDescent="0.3"/>
  <cols>
    <col min="1" max="1" width="35.5546875" bestFit="1" customWidth="1"/>
    <col min="2" max="2" width="39.88671875" bestFit="1" customWidth="1"/>
    <col min="3" max="3" width="3.6640625" bestFit="1" customWidth="1"/>
    <col min="4" max="6" width="12.109375" bestFit="1" customWidth="1"/>
    <col min="7" max="7" width="10.109375" bestFit="1" customWidth="1"/>
    <col min="8" max="8" width="5.33203125" style="11" customWidth="1"/>
  </cols>
  <sheetData>
    <row r="1" spans="1:8" s="8" customFormat="1" x14ac:dyDescent="0.3">
      <c r="A1" s="5" t="s">
        <v>176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9" t="s">
        <v>238</v>
      </c>
    </row>
    <row r="2" spans="1:8" hidden="1" x14ac:dyDescent="0.3">
      <c r="A2" s="16" t="s">
        <v>7</v>
      </c>
      <c r="B2" s="16" t="s">
        <v>177</v>
      </c>
      <c r="C2" s="15">
        <v>1</v>
      </c>
      <c r="D2" s="17">
        <v>45100000</v>
      </c>
      <c r="E2" s="17">
        <v>48425167</v>
      </c>
      <c r="F2" s="17">
        <v>3325167</v>
      </c>
      <c r="G2" s="18">
        <v>1.0737287583148558</v>
      </c>
      <c r="H2" s="10">
        <v>2025</v>
      </c>
    </row>
    <row r="3" spans="1:8" hidden="1" x14ac:dyDescent="0.3">
      <c r="A3" s="4" t="s">
        <v>7</v>
      </c>
      <c r="B3" s="4" t="s">
        <v>177</v>
      </c>
      <c r="C3" s="15">
        <v>2</v>
      </c>
      <c r="D3" s="17">
        <v>56601400</v>
      </c>
      <c r="E3" s="17">
        <v>55047800</v>
      </c>
      <c r="F3" s="17">
        <v>-1553600</v>
      </c>
      <c r="G3" s="18">
        <v>0.97255191567699739</v>
      </c>
      <c r="H3" s="10">
        <v>2025</v>
      </c>
    </row>
    <row r="4" spans="1:8" hidden="1" x14ac:dyDescent="0.3">
      <c r="A4" s="4" t="s">
        <v>7</v>
      </c>
      <c r="B4" s="4" t="s">
        <v>177</v>
      </c>
      <c r="C4" s="15">
        <v>3</v>
      </c>
      <c r="D4" s="17">
        <v>56801400</v>
      </c>
      <c r="E4" s="17">
        <v>58482240</v>
      </c>
      <c r="F4" s="17">
        <v>1680840</v>
      </c>
      <c r="G4" s="18">
        <v>1.0295915241525737</v>
      </c>
      <c r="H4" s="10">
        <v>2025</v>
      </c>
    </row>
    <row r="5" spans="1:8" hidden="1" x14ac:dyDescent="0.3">
      <c r="A5" s="4" t="s">
        <v>7</v>
      </c>
      <c r="B5" s="4" t="s">
        <v>177</v>
      </c>
      <c r="C5" s="15">
        <v>4</v>
      </c>
      <c r="D5" s="17">
        <v>56801400</v>
      </c>
      <c r="E5" s="17">
        <v>55004232</v>
      </c>
      <c r="F5" s="17">
        <v>-1797168</v>
      </c>
      <c r="G5" s="18">
        <v>0.96836049815673564</v>
      </c>
      <c r="H5" s="10">
        <v>2025</v>
      </c>
    </row>
    <row r="6" spans="1:8" hidden="1" x14ac:dyDescent="0.3">
      <c r="A6" s="4" t="s">
        <v>7</v>
      </c>
      <c r="B6" s="4" t="s">
        <v>177</v>
      </c>
      <c r="C6" s="15">
        <v>5</v>
      </c>
      <c r="D6" s="17">
        <v>56801400</v>
      </c>
      <c r="E6" s="17">
        <v>53576332</v>
      </c>
      <c r="F6" s="17">
        <v>-3225068</v>
      </c>
      <c r="G6" s="18">
        <v>0.94322203325974363</v>
      </c>
      <c r="H6" s="10">
        <v>2025</v>
      </c>
    </row>
    <row r="7" spans="1:8" hidden="1" x14ac:dyDescent="0.3">
      <c r="A7" s="4" t="s">
        <v>7</v>
      </c>
      <c r="B7" s="4" t="s">
        <v>177</v>
      </c>
      <c r="C7" s="15">
        <v>6</v>
      </c>
      <c r="D7" s="17">
        <v>56801400</v>
      </c>
      <c r="E7" s="17">
        <v>53036400</v>
      </c>
      <c r="F7" s="17">
        <v>-3765000</v>
      </c>
      <c r="G7" s="18">
        <v>0.93371642248254449</v>
      </c>
      <c r="H7" s="10">
        <v>2025</v>
      </c>
    </row>
    <row r="8" spans="1:8" hidden="1" x14ac:dyDescent="0.3">
      <c r="A8" s="4" t="s">
        <v>7</v>
      </c>
      <c r="B8" s="4" t="s">
        <v>177</v>
      </c>
      <c r="C8" s="15">
        <v>7</v>
      </c>
      <c r="D8" s="17">
        <v>56801400</v>
      </c>
      <c r="E8" s="17">
        <v>56801500</v>
      </c>
      <c r="F8" s="17">
        <v>100</v>
      </c>
      <c r="G8" s="18">
        <v>1.0000017605199871</v>
      </c>
      <c r="H8" s="10">
        <v>2025</v>
      </c>
    </row>
    <row r="9" spans="1:8" hidden="1" x14ac:dyDescent="0.3">
      <c r="A9" s="4" t="s">
        <v>7</v>
      </c>
      <c r="B9" s="4" t="s">
        <v>177</v>
      </c>
      <c r="C9" s="15">
        <v>8</v>
      </c>
      <c r="D9" s="17">
        <v>56801400</v>
      </c>
      <c r="E9" s="17">
        <v>51597833</v>
      </c>
      <c r="F9" s="17">
        <v>-5203567</v>
      </c>
      <c r="G9" s="18">
        <v>0.90839016291851971</v>
      </c>
      <c r="H9" s="10">
        <v>2025</v>
      </c>
    </row>
    <row r="10" spans="1:8" hidden="1" x14ac:dyDescent="0.3">
      <c r="A10" s="16" t="s">
        <v>7</v>
      </c>
      <c r="B10" s="16" t="s">
        <v>177</v>
      </c>
      <c r="C10" s="15">
        <v>9</v>
      </c>
      <c r="D10" s="17">
        <v>56801400</v>
      </c>
      <c r="E10" s="17">
        <v>56801500</v>
      </c>
      <c r="F10" s="17">
        <v>100</v>
      </c>
      <c r="G10" s="18">
        <v>1.0000017605199871</v>
      </c>
      <c r="H10" s="10">
        <v>2025</v>
      </c>
    </row>
    <row r="11" spans="1:8" hidden="1" x14ac:dyDescent="0.3">
      <c r="A11" s="4" t="s">
        <v>7</v>
      </c>
      <c r="B11" s="4" t="s">
        <v>177</v>
      </c>
      <c r="C11" s="15">
        <v>10</v>
      </c>
      <c r="D11" s="17">
        <v>56801400</v>
      </c>
      <c r="E11" s="17">
        <v>55276733</v>
      </c>
      <c r="F11" s="17">
        <v>-1524667</v>
      </c>
      <c r="G11" s="18">
        <v>0.97315793272701034</v>
      </c>
      <c r="H11" s="10">
        <v>2025</v>
      </c>
    </row>
    <row r="12" spans="1:8" hidden="1" x14ac:dyDescent="0.3">
      <c r="A12" s="4" t="s">
        <v>7</v>
      </c>
      <c r="B12" s="4" t="s">
        <v>178</v>
      </c>
      <c r="C12" s="15">
        <v>1</v>
      </c>
      <c r="D12" s="17">
        <v>1423500</v>
      </c>
      <c r="E12" s="17">
        <v>1423500</v>
      </c>
      <c r="F12" s="17">
        <v>0</v>
      </c>
      <c r="G12" s="18">
        <v>1</v>
      </c>
      <c r="H12" s="10">
        <v>2025</v>
      </c>
    </row>
    <row r="13" spans="1:8" hidden="1" x14ac:dyDescent="0.3">
      <c r="A13" s="4" t="s">
        <v>7</v>
      </c>
      <c r="B13" s="4" t="s">
        <v>178</v>
      </c>
      <c r="C13" s="15">
        <v>2</v>
      </c>
      <c r="D13" s="17">
        <v>1423500</v>
      </c>
      <c r="E13" s="17">
        <v>1423500</v>
      </c>
      <c r="F13" s="17">
        <v>0</v>
      </c>
      <c r="G13" s="18">
        <v>1</v>
      </c>
      <c r="H13" s="10">
        <v>2025</v>
      </c>
    </row>
    <row r="14" spans="1:8" hidden="1" x14ac:dyDescent="0.3">
      <c r="A14" s="4" t="s">
        <v>7</v>
      </c>
      <c r="B14" s="4" t="s">
        <v>178</v>
      </c>
      <c r="C14" s="15">
        <v>3</v>
      </c>
      <c r="D14" s="17">
        <v>2135250</v>
      </c>
      <c r="E14" s="17">
        <v>2135250</v>
      </c>
      <c r="F14" s="17">
        <v>0</v>
      </c>
      <c r="G14" s="18">
        <v>1</v>
      </c>
      <c r="H14" s="10">
        <v>2025</v>
      </c>
    </row>
    <row r="15" spans="1:8" hidden="1" x14ac:dyDescent="0.3">
      <c r="A15" s="4" t="s">
        <v>7</v>
      </c>
      <c r="B15" s="4" t="s">
        <v>178</v>
      </c>
      <c r="C15" s="15">
        <v>4</v>
      </c>
      <c r="D15" s="17">
        <v>2135250</v>
      </c>
      <c r="E15" s="17">
        <v>2206425</v>
      </c>
      <c r="F15" s="17">
        <v>71175</v>
      </c>
      <c r="G15" s="18">
        <v>1.0333333333333334</v>
      </c>
      <c r="H15" s="10">
        <v>2025</v>
      </c>
    </row>
    <row r="16" spans="1:8" hidden="1" x14ac:dyDescent="0.3">
      <c r="A16" s="4" t="s">
        <v>7</v>
      </c>
      <c r="B16" s="4" t="s">
        <v>178</v>
      </c>
      <c r="C16" s="15">
        <v>5</v>
      </c>
      <c r="D16" s="17">
        <v>2870725</v>
      </c>
      <c r="E16" s="17">
        <v>2847002</v>
      </c>
      <c r="F16" s="17">
        <v>-23723</v>
      </c>
      <c r="G16" s="18">
        <v>0.99173623387820153</v>
      </c>
      <c r="H16" s="10">
        <v>2025</v>
      </c>
    </row>
    <row r="17" spans="1:8" hidden="1" x14ac:dyDescent="0.3">
      <c r="A17" s="4" t="s">
        <v>7</v>
      </c>
      <c r="B17" s="4" t="s">
        <v>178</v>
      </c>
      <c r="C17" s="15">
        <v>6</v>
      </c>
      <c r="D17" s="17">
        <v>3558750</v>
      </c>
      <c r="E17" s="17">
        <v>2847000</v>
      </c>
      <c r="F17" s="17">
        <v>-711750</v>
      </c>
      <c r="G17" s="18">
        <v>0.8</v>
      </c>
      <c r="H17" s="10">
        <v>2025</v>
      </c>
    </row>
    <row r="18" spans="1:8" hidden="1" x14ac:dyDescent="0.3">
      <c r="A18" s="16" t="s">
        <v>7</v>
      </c>
      <c r="B18" s="16" t="s">
        <v>178</v>
      </c>
      <c r="C18" s="15">
        <v>7</v>
      </c>
      <c r="D18" s="17">
        <v>4270500</v>
      </c>
      <c r="E18" s="17">
        <v>3558752</v>
      </c>
      <c r="F18" s="17">
        <v>-711748</v>
      </c>
      <c r="G18" s="18">
        <v>0.83333380166256887</v>
      </c>
      <c r="H18" s="10">
        <v>2025</v>
      </c>
    </row>
    <row r="19" spans="1:8" hidden="1" x14ac:dyDescent="0.3">
      <c r="A19" s="4" t="s">
        <v>7</v>
      </c>
      <c r="B19" s="4" t="s">
        <v>178</v>
      </c>
      <c r="C19" s="15">
        <v>8</v>
      </c>
      <c r="D19" s="17">
        <v>2847000</v>
      </c>
      <c r="E19" s="17">
        <v>3558751</v>
      </c>
      <c r="F19" s="17">
        <v>711751</v>
      </c>
      <c r="G19" s="18">
        <v>1.2500003512469267</v>
      </c>
      <c r="H19" s="10">
        <v>2025</v>
      </c>
    </row>
    <row r="20" spans="1:8" hidden="1" x14ac:dyDescent="0.3">
      <c r="A20" s="4" t="s">
        <v>7</v>
      </c>
      <c r="B20" s="4" t="s">
        <v>178</v>
      </c>
      <c r="C20" s="15">
        <v>9</v>
      </c>
      <c r="D20" s="17">
        <v>4958525</v>
      </c>
      <c r="E20" s="17">
        <v>3677376</v>
      </c>
      <c r="F20" s="17">
        <v>-1281149</v>
      </c>
      <c r="G20" s="18">
        <v>0.7416269959312497</v>
      </c>
      <c r="H20" s="10">
        <v>2025</v>
      </c>
    </row>
    <row r="21" spans="1:8" hidden="1" x14ac:dyDescent="0.3">
      <c r="A21" s="4" t="s">
        <v>7</v>
      </c>
      <c r="B21" s="4" t="s">
        <v>178</v>
      </c>
      <c r="C21" s="15">
        <v>10</v>
      </c>
      <c r="D21" s="17">
        <v>4982250</v>
      </c>
      <c r="E21" s="17">
        <v>3724826</v>
      </c>
      <c r="F21" s="17">
        <v>-1257424</v>
      </c>
      <c r="G21" s="18">
        <v>0.74761924833157711</v>
      </c>
      <c r="H21" s="10">
        <v>2025</v>
      </c>
    </row>
    <row r="22" spans="1:8" hidden="1" x14ac:dyDescent="0.3">
      <c r="A22" s="4" t="s">
        <v>7</v>
      </c>
      <c r="B22" s="4" t="s">
        <v>179</v>
      </c>
      <c r="C22" s="15">
        <v>1</v>
      </c>
      <c r="D22" s="17">
        <v>0</v>
      </c>
      <c r="E22" s="17">
        <v>112333</v>
      </c>
      <c r="F22" s="17">
        <v>112333</v>
      </c>
      <c r="G22" s="18">
        <v>0</v>
      </c>
      <c r="H22" s="10">
        <v>2025</v>
      </c>
    </row>
    <row r="23" spans="1:8" hidden="1" x14ac:dyDescent="0.3">
      <c r="A23" s="4" t="s">
        <v>7</v>
      </c>
      <c r="B23" s="4" t="s">
        <v>179</v>
      </c>
      <c r="C23" s="15">
        <v>4</v>
      </c>
      <c r="D23" s="17">
        <v>0</v>
      </c>
      <c r="E23" s="17">
        <v>453333</v>
      </c>
      <c r="F23" s="17">
        <v>453333</v>
      </c>
      <c r="G23" s="18">
        <v>0</v>
      </c>
      <c r="H23" s="10">
        <v>2025</v>
      </c>
    </row>
    <row r="24" spans="1:8" hidden="1" x14ac:dyDescent="0.3">
      <c r="A24" s="4" t="s">
        <v>7</v>
      </c>
      <c r="B24" s="4" t="s">
        <v>179</v>
      </c>
      <c r="C24" s="15">
        <v>6</v>
      </c>
      <c r="D24" s="17">
        <v>0</v>
      </c>
      <c r="E24" s="17">
        <v>94900</v>
      </c>
      <c r="F24" s="17">
        <v>94900</v>
      </c>
      <c r="G24" s="18">
        <v>0</v>
      </c>
      <c r="H24" s="10">
        <v>2025</v>
      </c>
    </row>
    <row r="25" spans="1:8" hidden="1" x14ac:dyDescent="0.3">
      <c r="A25" s="4" t="s">
        <v>7</v>
      </c>
      <c r="B25" s="4" t="s">
        <v>179</v>
      </c>
      <c r="C25" s="15">
        <v>8</v>
      </c>
      <c r="D25" s="17">
        <v>0</v>
      </c>
      <c r="E25" s="17">
        <v>272322</v>
      </c>
      <c r="F25" s="17">
        <v>272322</v>
      </c>
      <c r="G25" s="18">
        <v>0</v>
      </c>
      <c r="H25" s="10">
        <v>2025</v>
      </c>
    </row>
    <row r="26" spans="1:8" hidden="1" x14ac:dyDescent="0.3">
      <c r="A26" s="16" t="s">
        <v>7</v>
      </c>
      <c r="B26" s="16" t="s">
        <v>179</v>
      </c>
      <c r="C26" s="15">
        <v>9</v>
      </c>
      <c r="D26" s="17">
        <v>0</v>
      </c>
      <c r="E26" s="17">
        <v>237250</v>
      </c>
      <c r="F26" s="17">
        <v>237250</v>
      </c>
      <c r="G26" s="18">
        <v>0</v>
      </c>
      <c r="H26" s="10">
        <v>2025</v>
      </c>
    </row>
    <row r="27" spans="1:8" hidden="1" x14ac:dyDescent="0.3">
      <c r="A27" s="4" t="s">
        <v>7</v>
      </c>
      <c r="B27" s="4" t="s">
        <v>179</v>
      </c>
      <c r="C27" s="15">
        <v>10</v>
      </c>
      <c r="D27" s="17">
        <v>0</v>
      </c>
      <c r="E27" s="17">
        <v>83182</v>
      </c>
      <c r="F27" s="17">
        <v>83182</v>
      </c>
      <c r="G27" s="18">
        <v>0</v>
      </c>
      <c r="H27" s="10">
        <v>2025</v>
      </c>
    </row>
    <row r="28" spans="1:8" hidden="1" x14ac:dyDescent="0.3">
      <c r="A28" s="4" t="s">
        <v>7</v>
      </c>
      <c r="B28" s="4" t="s">
        <v>180</v>
      </c>
      <c r="C28" s="15">
        <v>1</v>
      </c>
      <c r="D28" s="17">
        <v>800000</v>
      </c>
      <c r="E28" s="17">
        <v>586667</v>
      </c>
      <c r="F28" s="17">
        <v>-213333</v>
      </c>
      <c r="G28" s="18">
        <v>0.73333375000000001</v>
      </c>
      <c r="H28" s="10">
        <v>2025</v>
      </c>
    </row>
    <row r="29" spans="1:8" hidden="1" x14ac:dyDescent="0.3">
      <c r="A29" s="4" t="s">
        <v>7</v>
      </c>
      <c r="B29" s="4" t="s">
        <v>180</v>
      </c>
      <c r="C29" s="15">
        <v>2</v>
      </c>
      <c r="D29" s="17">
        <v>800000</v>
      </c>
      <c r="E29" s="17">
        <v>586667</v>
      </c>
      <c r="F29" s="17">
        <v>-213333</v>
      </c>
      <c r="G29" s="18">
        <v>0.73333375000000001</v>
      </c>
      <c r="H29" s="10">
        <v>2025</v>
      </c>
    </row>
    <row r="30" spans="1:8" hidden="1" x14ac:dyDescent="0.3">
      <c r="A30" s="4" t="s">
        <v>7</v>
      </c>
      <c r="B30" s="4" t="s">
        <v>180</v>
      </c>
      <c r="C30" s="15">
        <v>3</v>
      </c>
      <c r="D30" s="17">
        <v>600000</v>
      </c>
      <c r="E30" s="17">
        <v>600000</v>
      </c>
      <c r="F30" s="17">
        <v>0</v>
      </c>
      <c r="G30" s="18">
        <v>1</v>
      </c>
      <c r="H30" s="10">
        <v>2025</v>
      </c>
    </row>
    <row r="31" spans="1:8" hidden="1" x14ac:dyDescent="0.3">
      <c r="A31" s="4" t="s">
        <v>7</v>
      </c>
      <c r="B31" s="4" t="s">
        <v>180</v>
      </c>
      <c r="C31" s="15">
        <v>4</v>
      </c>
      <c r="D31" s="17">
        <v>600000</v>
      </c>
      <c r="E31" s="17">
        <v>600000</v>
      </c>
      <c r="F31" s="17">
        <v>0</v>
      </c>
      <c r="G31" s="18">
        <v>1</v>
      </c>
      <c r="H31" s="10">
        <v>2025</v>
      </c>
    </row>
    <row r="32" spans="1:8" hidden="1" x14ac:dyDescent="0.3">
      <c r="A32" s="4" t="s">
        <v>7</v>
      </c>
      <c r="B32" s="4" t="s">
        <v>180</v>
      </c>
      <c r="C32" s="15">
        <v>5</v>
      </c>
      <c r="D32" s="17">
        <v>600000</v>
      </c>
      <c r="E32" s="17">
        <v>593333</v>
      </c>
      <c r="F32" s="17">
        <v>-6667</v>
      </c>
      <c r="G32" s="18">
        <v>0.98888833333333337</v>
      </c>
      <c r="H32" s="10">
        <v>2025</v>
      </c>
    </row>
    <row r="33" spans="1:8" hidden="1" x14ac:dyDescent="0.3">
      <c r="A33" s="4" t="s">
        <v>7</v>
      </c>
      <c r="B33" s="4" t="s">
        <v>180</v>
      </c>
      <c r="C33" s="15">
        <v>6</v>
      </c>
      <c r="D33" s="17">
        <v>600000</v>
      </c>
      <c r="E33" s="17">
        <v>586667</v>
      </c>
      <c r="F33" s="17">
        <v>-13333</v>
      </c>
      <c r="G33" s="18">
        <v>0.97777833333333342</v>
      </c>
      <c r="H33" s="10">
        <v>2025</v>
      </c>
    </row>
    <row r="34" spans="1:8" hidden="1" x14ac:dyDescent="0.3">
      <c r="A34" s="16" t="s">
        <v>7</v>
      </c>
      <c r="B34" s="16" t="s">
        <v>180</v>
      </c>
      <c r="C34" s="15">
        <v>7</v>
      </c>
      <c r="D34" s="17">
        <v>600000</v>
      </c>
      <c r="E34" s="17">
        <v>600000</v>
      </c>
      <c r="F34" s="17">
        <v>0</v>
      </c>
      <c r="G34" s="18">
        <v>1</v>
      </c>
      <c r="H34" s="10">
        <v>2025</v>
      </c>
    </row>
    <row r="35" spans="1:8" hidden="1" x14ac:dyDescent="0.3">
      <c r="A35" s="4" t="s">
        <v>7</v>
      </c>
      <c r="B35" s="4" t="s">
        <v>180</v>
      </c>
      <c r="C35" s="15">
        <v>8</v>
      </c>
      <c r="D35" s="17">
        <v>600000</v>
      </c>
      <c r="E35" s="17">
        <v>953333</v>
      </c>
      <c r="F35" s="17">
        <v>353333</v>
      </c>
      <c r="G35" s="18">
        <v>1.5888883333333335</v>
      </c>
      <c r="H35" s="10">
        <v>2025</v>
      </c>
    </row>
    <row r="36" spans="1:8" hidden="1" x14ac:dyDescent="0.3">
      <c r="A36" s="4" t="s">
        <v>7</v>
      </c>
      <c r="B36" s="4" t="s">
        <v>180</v>
      </c>
      <c r="C36" s="15">
        <v>9</v>
      </c>
      <c r="D36" s="17">
        <v>600000</v>
      </c>
      <c r="E36" s="17">
        <v>766667</v>
      </c>
      <c r="F36" s="17">
        <v>166667</v>
      </c>
      <c r="G36" s="18">
        <v>1.2777783333333335</v>
      </c>
      <c r="H36" s="10">
        <v>2025</v>
      </c>
    </row>
    <row r="37" spans="1:8" hidden="1" x14ac:dyDescent="0.3">
      <c r="A37" s="4" t="s">
        <v>7</v>
      </c>
      <c r="B37" s="4" t="s">
        <v>180</v>
      </c>
      <c r="C37" s="15">
        <v>10</v>
      </c>
      <c r="D37" s="17">
        <v>600000</v>
      </c>
      <c r="E37" s="17">
        <v>760000</v>
      </c>
      <c r="F37" s="17">
        <v>160000</v>
      </c>
      <c r="G37" s="18">
        <v>1.2666666666666668</v>
      </c>
      <c r="H37" s="10">
        <v>2025</v>
      </c>
    </row>
    <row r="38" spans="1:8" hidden="1" x14ac:dyDescent="0.3">
      <c r="A38" s="4" t="s">
        <v>7</v>
      </c>
      <c r="B38" s="4" t="s">
        <v>181</v>
      </c>
      <c r="C38" s="15">
        <v>1</v>
      </c>
      <c r="D38" s="17">
        <v>3823470</v>
      </c>
      <c r="E38" s="17">
        <v>4377173</v>
      </c>
      <c r="F38" s="17">
        <v>553703</v>
      </c>
      <c r="G38" s="18">
        <v>1.1448168810007664</v>
      </c>
      <c r="H38" s="10">
        <v>2025</v>
      </c>
    </row>
    <row r="39" spans="1:8" hidden="1" x14ac:dyDescent="0.3">
      <c r="A39" s="4" t="s">
        <v>7</v>
      </c>
      <c r="B39" s="4" t="s">
        <v>181</v>
      </c>
      <c r="C39" s="15">
        <v>2</v>
      </c>
      <c r="D39" s="17">
        <v>4781536</v>
      </c>
      <c r="E39" s="17">
        <v>4646586</v>
      </c>
      <c r="F39" s="17">
        <v>-134950</v>
      </c>
      <c r="G39" s="18">
        <v>0.97177685162257488</v>
      </c>
      <c r="H39" s="10">
        <v>2025</v>
      </c>
    </row>
    <row r="40" spans="1:8" hidden="1" x14ac:dyDescent="0.3">
      <c r="A40" s="4" t="s">
        <v>7</v>
      </c>
      <c r="B40" s="4" t="s">
        <v>181</v>
      </c>
      <c r="C40" s="15">
        <v>3</v>
      </c>
      <c r="D40" s="17">
        <v>4781536</v>
      </c>
      <c r="E40" s="17">
        <v>4921552</v>
      </c>
      <c r="F40" s="17">
        <v>140016</v>
      </c>
      <c r="G40" s="18">
        <v>1.0292826405573439</v>
      </c>
      <c r="H40" s="10">
        <v>2025</v>
      </c>
    </row>
    <row r="41" spans="1:8" hidden="1" x14ac:dyDescent="0.3">
      <c r="A41" s="16" t="s">
        <v>7</v>
      </c>
      <c r="B41" s="16" t="s">
        <v>181</v>
      </c>
      <c r="C41" s="15">
        <v>4</v>
      </c>
      <c r="D41" s="17">
        <v>4781536</v>
      </c>
      <c r="E41" s="17">
        <v>4669597</v>
      </c>
      <c r="F41" s="17">
        <v>-111939</v>
      </c>
      <c r="G41" s="18">
        <v>0.97658932192500492</v>
      </c>
      <c r="H41" s="10">
        <v>2025</v>
      </c>
    </row>
    <row r="42" spans="1:8" hidden="1" x14ac:dyDescent="0.3">
      <c r="A42" s="16" t="s">
        <v>7</v>
      </c>
      <c r="B42" s="16" t="s">
        <v>181</v>
      </c>
      <c r="C42" s="15">
        <v>5</v>
      </c>
      <c r="D42" s="17">
        <v>4781536</v>
      </c>
      <c r="E42" s="17">
        <v>5176587</v>
      </c>
      <c r="F42" s="17">
        <v>395051</v>
      </c>
      <c r="G42" s="18">
        <v>1.082620103665433</v>
      </c>
      <c r="H42" s="10">
        <v>2025</v>
      </c>
    </row>
    <row r="43" spans="1:8" hidden="1" x14ac:dyDescent="0.3">
      <c r="A43" s="16" t="s">
        <v>7</v>
      </c>
      <c r="B43" s="16" t="s">
        <v>181</v>
      </c>
      <c r="C43" s="15">
        <v>6</v>
      </c>
      <c r="D43" s="17">
        <v>4781536</v>
      </c>
      <c r="E43" s="17">
        <v>4523299</v>
      </c>
      <c r="F43" s="17">
        <v>-258237</v>
      </c>
      <c r="G43" s="18">
        <v>0.94599287760251105</v>
      </c>
      <c r="H43" s="10">
        <v>2025</v>
      </c>
    </row>
    <row r="44" spans="1:8" hidden="1" x14ac:dyDescent="0.3">
      <c r="A44" s="16" t="s">
        <v>7</v>
      </c>
      <c r="B44" s="16" t="s">
        <v>181</v>
      </c>
      <c r="C44" s="15">
        <v>7</v>
      </c>
      <c r="D44" s="17">
        <v>4781536</v>
      </c>
      <c r="E44" s="17">
        <v>4781546</v>
      </c>
      <c r="F44" s="17">
        <v>10</v>
      </c>
      <c r="G44" s="18">
        <v>1.000002091378168</v>
      </c>
      <c r="H44" s="10">
        <v>2025</v>
      </c>
    </row>
    <row r="45" spans="1:8" hidden="1" x14ac:dyDescent="0.3">
      <c r="A45" s="16" t="s">
        <v>7</v>
      </c>
      <c r="B45" s="16" t="s">
        <v>181</v>
      </c>
      <c r="C45" s="15">
        <v>8</v>
      </c>
      <c r="D45" s="17">
        <v>4781536</v>
      </c>
      <c r="E45" s="17">
        <v>4758927</v>
      </c>
      <c r="F45" s="17">
        <v>-22609</v>
      </c>
      <c r="G45" s="18">
        <v>0.99527160309992446</v>
      </c>
      <c r="H45" s="10">
        <v>2025</v>
      </c>
    </row>
    <row r="46" spans="1:8" hidden="1" x14ac:dyDescent="0.3">
      <c r="A46" s="16" t="s">
        <v>7</v>
      </c>
      <c r="B46" s="16" t="s">
        <v>181</v>
      </c>
      <c r="C46" s="15">
        <v>9</v>
      </c>
      <c r="D46" s="17">
        <v>4781536</v>
      </c>
      <c r="E46" s="17">
        <v>4815192</v>
      </c>
      <c r="F46" s="17">
        <v>33656</v>
      </c>
      <c r="G46" s="18">
        <v>1.0070387423622871</v>
      </c>
      <c r="H46" s="10">
        <v>2025</v>
      </c>
    </row>
    <row r="47" spans="1:8" hidden="1" x14ac:dyDescent="0.3">
      <c r="A47" s="16" t="s">
        <v>7</v>
      </c>
      <c r="B47" s="16" t="s">
        <v>181</v>
      </c>
      <c r="C47" s="15">
        <v>10</v>
      </c>
      <c r="D47" s="17">
        <v>4781536</v>
      </c>
      <c r="E47" s="17">
        <v>4846937</v>
      </c>
      <c r="F47" s="17">
        <v>65401</v>
      </c>
      <c r="G47" s="18">
        <v>1.0136778223566654</v>
      </c>
      <c r="H47" s="10">
        <v>2025</v>
      </c>
    </row>
    <row r="48" spans="1:8" hidden="1" x14ac:dyDescent="0.3">
      <c r="A48" s="16" t="s">
        <v>7</v>
      </c>
      <c r="B48" s="16" t="s">
        <v>182</v>
      </c>
      <c r="C48" s="15">
        <v>1</v>
      </c>
      <c r="D48" s="17">
        <v>458816</v>
      </c>
      <c r="E48" s="17">
        <v>525471</v>
      </c>
      <c r="F48" s="17">
        <v>66655</v>
      </c>
      <c r="G48" s="18">
        <v>1.1452761019668016</v>
      </c>
      <c r="H48" s="10">
        <v>2025</v>
      </c>
    </row>
    <row r="49" spans="1:8" hidden="1" x14ac:dyDescent="0.3">
      <c r="A49" s="16" t="s">
        <v>7</v>
      </c>
      <c r="B49" s="16" t="s">
        <v>182</v>
      </c>
      <c r="C49" s="15">
        <v>2</v>
      </c>
      <c r="D49" s="17">
        <v>573784</v>
      </c>
      <c r="E49" s="17">
        <v>557814</v>
      </c>
      <c r="F49" s="17">
        <v>-15970</v>
      </c>
      <c r="G49" s="18">
        <v>0.9721672266915774</v>
      </c>
      <c r="H49" s="10">
        <v>2025</v>
      </c>
    </row>
    <row r="50" spans="1:8" hidden="1" x14ac:dyDescent="0.3">
      <c r="A50" s="16" t="s">
        <v>7</v>
      </c>
      <c r="B50" s="16" t="s">
        <v>182</v>
      </c>
      <c r="C50" s="15">
        <v>3</v>
      </c>
      <c r="D50" s="17">
        <v>573784</v>
      </c>
      <c r="E50" s="17">
        <v>590822</v>
      </c>
      <c r="F50" s="17">
        <v>17038</v>
      </c>
      <c r="G50" s="18">
        <v>1.0296941009160241</v>
      </c>
      <c r="H50" s="10">
        <v>2025</v>
      </c>
    </row>
    <row r="51" spans="1:8" hidden="1" x14ac:dyDescent="0.3">
      <c r="A51" s="16" t="s">
        <v>7</v>
      </c>
      <c r="B51" s="16" t="s">
        <v>182</v>
      </c>
      <c r="C51" s="15">
        <v>4</v>
      </c>
      <c r="D51" s="17">
        <v>573784</v>
      </c>
      <c r="E51" s="17">
        <v>560575</v>
      </c>
      <c r="F51" s="17">
        <v>-13209</v>
      </c>
      <c r="G51" s="18">
        <v>0.97697914197677183</v>
      </c>
      <c r="H51" s="10">
        <v>2025</v>
      </c>
    </row>
    <row r="52" spans="1:8" hidden="1" x14ac:dyDescent="0.3">
      <c r="A52" s="16" t="s">
        <v>7</v>
      </c>
      <c r="B52" s="16" t="s">
        <v>182</v>
      </c>
      <c r="C52" s="15">
        <v>5</v>
      </c>
      <c r="D52" s="17">
        <v>573784</v>
      </c>
      <c r="E52" s="17">
        <v>621438</v>
      </c>
      <c r="F52" s="17">
        <v>47654</v>
      </c>
      <c r="G52" s="18">
        <v>1.0830521590005995</v>
      </c>
      <c r="H52" s="10">
        <v>2025</v>
      </c>
    </row>
    <row r="53" spans="1:8" hidden="1" x14ac:dyDescent="0.3">
      <c r="A53" s="16" t="s">
        <v>7</v>
      </c>
      <c r="B53" s="16" t="s">
        <v>182</v>
      </c>
      <c r="C53" s="15">
        <v>6</v>
      </c>
      <c r="D53" s="17">
        <v>573784</v>
      </c>
      <c r="E53" s="17">
        <v>543013</v>
      </c>
      <c r="F53" s="17">
        <v>-30771</v>
      </c>
      <c r="G53" s="18">
        <v>0.94637180541806676</v>
      </c>
      <c r="H53" s="10">
        <v>2025</v>
      </c>
    </row>
    <row r="54" spans="1:8" hidden="1" x14ac:dyDescent="0.3">
      <c r="A54" s="16" t="s">
        <v>7</v>
      </c>
      <c r="B54" s="16" t="s">
        <v>182</v>
      </c>
      <c r="C54" s="15">
        <v>7</v>
      </c>
      <c r="D54" s="17">
        <v>573784</v>
      </c>
      <c r="E54" s="17">
        <v>574015</v>
      </c>
      <c r="F54" s="17">
        <v>231</v>
      </c>
      <c r="G54" s="18">
        <v>1.0004025905218688</v>
      </c>
      <c r="H54" s="10">
        <v>2025</v>
      </c>
    </row>
    <row r="55" spans="1:8" hidden="1" x14ac:dyDescent="0.3">
      <c r="A55" s="16" t="s">
        <v>7</v>
      </c>
      <c r="B55" s="16" t="s">
        <v>182</v>
      </c>
      <c r="C55" s="15">
        <v>8</v>
      </c>
      <c r="D55" s="17">
        <v>573784</v>
      </c>
      <c r="E55" s="17">
        <v>571299</v>
      </c>
      <c r="F55" s="17">
        <v>-2485</v>
      </c>
      <c r="G55" s="18">
        <v>0.99566910196171388</v>
      </c>
      <c r="H55" s="10">
        <v>2025</v>
      </c>
    </row>
    <row r="56" spans="1:8" hidden="1" x14ac:dyDescent="0.3">
      <c r="A56" s="16" t="s">
        <v>7</v>
      </c>
      <c r="B56" s="16" t="s">
        <v>182</v>
      </c>
      <c r="C56" s="15">
        <v>9</v>
      </c>
      <c r="D56" s="17">
        <v>573784</v>
      </c>
      <c r="E56" s="17">
        <v>578054</v>
      </c>
      <c r="F56" s="17">
        <v>4270</v>
      </c>
      <c r="G56" s="18">
        <v>1.007441824798182</v>
      </c>
      <c r="H56" s="10">
        <v>2025</v>
      </c>
    </row>
    <row r="57" spans="1:8" hidden="1" x14ac:dyDescent="0.3">
      <c r="A57" s="16" t="s">
        <v>7</v>
      </c>
      <c r="B57" s="16" t="s">
        <v>182</v>
      </c>
      <c r="C57" s="15">
        <v>10</v>
      </c>
      <c r="D57" s="17">
        <v>573784</v>
      </c>
      <c r="E57" s="17">
        <v>581865</v>
      </c>
      <c r="F57" s="17">
        <v>8081</v>
      </c>
      <c r="G57" s="18">
        <v>1.0140836970009621</v>
      </c>
      <c r="H57" s="10">
        <v>2025</v>
      </c>
    </row>
    <row r="58" spans="1:8" hidden="1" x14ac:dyDescent="0.3">
      <c r="A58" s="16" t="s">
        <v>7</v>
      </c>
      <c r="B58" s="16" t="s">
        <v>183</v>
      </c>
      <c r="C58" s="15">
        <v>1</v>
      </c>
      <c r="D58" s="17">
        <v>3823470</v>
      </c>
      <c r="E58" s="17">
        <v>4377173</v>
      </c>
      <c r="F58" s="17">
        <v>553703</v>
      </c>
      <c r="G58" s="18">
        <v>1.1448168810007664</v>
      </c>
      <c r="H58" s="10">
        <v>2025</v>
      </c>
    </row>
    <row r="59" spans="1:8" hidden="1" x14ac:dyDescent="0.3">
      <c r="A59" s="16" t="s">
        <v>7</v>
      </c>
      <c r="B59" s="16" t="s">
        <v>183</v>
      </c>
      <c r="C59" s="15">
        <v>2</v>
      </c>
      <c r="D59" s="17">
        <v>4781536</v>
      </c>
      <c r="E59" s="17">
        <v>4646586</v>
      </c>
      <c r="F59" s="17">
        <v>-134950</v>
      </c>
      <c r="G59" s="18">
        <v>0.97177685162257488</v>
      </c>
      <c r="H59" s="10">
        <v>2025</v>
      </c>
    </row>
    <row r="60" spans="1:8" hidden="1" x14ac:dyDescent="0.3">
      <c r="A60" s="16" t="s">
        <v>7</v>
      </c>
      <c r="B60" s="16" t="s">
        <v>183</v>
      </c>
      <c r="C60" s="15">
        <v>3</v>
      </c>
      <c r="D60" s="17">
        <v>4781536</v>
      </c>
      <c r="E60" s="17">
        <v>4921552</v>
      </c>
      <c r="F60" s="17">
        <v>140016</v>
      </c>
      <c r="G60" s="18">
        <v>1.0292826405573439</v>
      </c>
      <c r="H60" s="10">
        <v>2025</v>
      </c>
    </row>
    <row r="61" spans="1:8" hidden="1" x14ac:dyDescent="0.3">
      <c r="A61" s="16" t="s">
        <v>7</v>
      </c>
      <c r="B61" s="16" t="s">
        <v>183</v>
      </c>
      <c r="C61" s="15">
        <v>4</v>
      </c>
      <c r="D61" s="17">
        <v>4781536</v>
      </c>
      <c r="E61" s="17">
        <v>4669597</v>
      </c>
      <c r="F61" s="17">
        <v>-111939</v>
      </c>
      <c r="G61" s="18">
        <v>0.97658932192500492</v>
      </c>
      <c r="H61" s="10">
        <v>2025</v>
      </c>
    </row>
    <row r="62" spans="1:8" hidden="1" x14ac:dyDescent="0.3">
      <c r="A62" s="16" t="s">
        <v>7</v>
      </c>
      <c r="B62" s="16" t="s">
        <v>183</v>
      </c>
      <c r="C62" s="15">
        <v>5</v>
      </c>
      <c r="D62" s="17">
        <v>4781536</v>
      </c>
      <c r="E62" s="17">
        <v>5176587</v>
      </c>
      <c r="F62" s="17">
        <v>395051</v>
      </c>
      <c r="G62" s="18">
        <v>1.082620103665433</v>
      </c>
      <c r="H62" s="10">
        <v>2025</v>
      </c>
    </row>
    <row r="63" spans="1:8" hidden="1" x14ac:dyDescent="0.3">
      <c r="A63" s="16" t="s">
        <v>7</v>
      </c>
      <c r="B63" s="16" t="s">
        <v>183</v>
      </c>
      <c r="C63" s="15">
        <v>6</v>
      </c>
      <c r="D63" s="17">
        <v>4781536</v>
      </c>
      <c r="E63" s="17">
        <v>4523299</v>
      </c>
      <c r="F63" s="17">
        <v>-258237</v>
      </c>
      <c r="G63" s="18">
        <v>0.94599287760251105</v>
      </c>
      <c r="H63" s="10">
        <v>2025</v>
      </c>
    </row>
    <row r="64" spans="1:8" hidden="1" x14ac:dyDescent="0.3">
      <c r="A64" s="16" t="s">
        <v>7</v>
      </c>
      <c r="B64" s="16" t="s">
        <v>183</v>
      </c>
      <c r="C64" s="15">
        <v>7</v>
      </c>
      <c r="D64" s="17">
        <v>4781536</v>
      </c>
      <c r="E64" s="17">
        <v>4781546</v>
      </c>
      <c r="F64" s="17">
        <v>10</v>
      </c>
      <c r="G64" s="18">
        <v>1.000002091378168</v>
      </c>
      <c r="H64" s="10">
        <v>2025</v>
      </c>
    </row>
    <row r="65" spans="1:8" hidden="1" x14ac:dyDescent="0.3">
      <c r="A65" s="16" t="s">
        <v>7</v>
      </c>
      <c r="B65" s="16" t="s">
        <v>183</v>
      </c>
      <c r="C65" s="15">
        <v>8</v>
      </c>
      <c r="D65" s="17">
        <v>4781536</v>
      </c>
      <c r="E65" s="17">
        <v>4758927</v>
      </c>
      <c r="F65" s="17">
        <v>-22609</v>
      </c>
      <c r="G65" s="18">
        <v>0.99527160309992446</v>
      </c>
      <c r="H65" s="10">
        <v>2025</v>
      </c>
    </row>
    <row r="66" spans="1:8" hidden="1" x14ac:dyDescent="0.3">
      <c r="A66" s="16" t="s">
        <v>7</v>
      </c>
      <c r="B66" s="16" t="s">
        <v>183</v>
      </c>
      <c r="C66" s="15">
        <v>9</v>
      </c>
      <c r="D66" s="17">
        <v>4781536</v>
      </c>
      <c r="E66" s="17">
        <v>4815192</v>
      </c>
      <c r="F66" s="17">
        <v>33656</v>
      </c>
      <c r="G66" s="18">
        <v>1.0070387423622871</v>
      </c>
      <c r="H66" s="10">
        <v>2025</v>
      </c>
    </row>
    <row r="67" spans="1:8" hidden="1" x14ac:dyDescent="0.3">
      <c r="A67" s="16" t="s">
        <v>7</v>
      </c>
      <c r="B67" s="16" t="s">
        <v>183</v>
      </c>
      <c r="C67" s="15">
        <v>10</v>
      </c>
      <c r="D67" s="17">
        <v>4781536</v>
      </c>
      <c r="E67" s="17">
        <v>4846937</v>
      </c>
      <c r="F67" s="17">
        <v>65401</v>
      </c>
      <c r="G67" s="18">
        <v>1.0136778223566654</v>
      </c>
      <c r="H67" s="10">
        <v>2025</v>
      </c>
    </row>
    <row r="68" spans="1:8" hidden="1" x14ac:dyDescent="0.3">
      <c r="A68" s="16" t="s">
        <v>7</v>
      </c>
      <c r="B68" s="16" t="s">
        <v>184</v>
      </c>
      <c r="C68" s="15">
        <v>1</v>
      </c>
      <c r="D68" s="17">
        <v>1880670</v>
      </c>
      <c r="E68" s="17">
        <v>2166750</v>
      </c>
      <c r="F68" s="17">
        <v>286080</v>
      </c>
      <c r="G68" s="18">
        <v>1.1521160012123339</v>
      </c>
      <c r="H68" s="10">
        <v>2025</v>
      </c>
    </row>
    <row r="69" spans="1:8" hidden="1" x14ac:dyDescent="0.3">
      <c r="A69" s="16" t="s">
        <v>7</v>
      </c>
      <c r="B69" s="16" t="s">
        <v>184</v>
      </c>
      <c r="C69" s="15">
        <v>2</v>
      </c>
      <c r="D69" s="17">
        <v>2360278</v>
      </c>
      <c r="E69" s="17">
        <v>2301619</v>
      </c>
      <c r="F69" s="17">
        <v>-58659</v>
      </c>
      <c r="G69" s="18">
        <v>0.97514741907521063</v>
      </c>
      <c r="H69" s="10">
        <v>2025</v>
      </c>
    </row>
    <row r="70" spans="1:8" hidden="1" x14ac:dyDescent="0.3">
      <c r="A70" s="16" t="s">
        <v>7</v>
      </c>
      <c r="B70" s="16" t="s">
        <v>184</v>
      </c>
      <c r="C70" s="15">
        <v>3</v>
      </c>
      <c r="D70" s="17">
        <v>2368618</v>
      </c>
      <c r="E70" s="17">
        <v>2438710</v>
      </c>
      <c r="F70" s="17">
        <v>70092</v>
      </c>
      <c r="G70" s="18">
        <v>1.0295919392658504</v>
      </c>
      <c r="H70" s="10">
        <v>2025</v>
      </c>
    </row>
    <row r="71" spans="1:8" hidden="1" x14ac:dyDescent="0.3">
      <c r="A71" s="16" t="s">
        <v>7</v>
      </c>
      <c r="B71" s="16" t="s">
        <v>184</v>
      </c>
      <c r="C71" s="15">
        <v>4</v>
      </c>
      <c r="D71" s="17">
        <v>2368618</v>
      </c>
      <c r="E71" s="17">
        <v>2312581</v>
      </c>
      <c r="F71" s="17">
        <v>-56037</v>
      </c>
      <c r="G71" s="18">
        <v>0.97634190063572945</v>
      </c>
      <c r="H71" s="10">
        <v>2025</v>
      </c>
    </row>
    <row r="72" spans="1:8" hidden="1" x14ac:dyDescent="0.3">
      <c r="A72" s="16" t="s">
        <v>7</v>
      </c>
      <c r="B72" s="16" t="s">
        <v>184</v>
      </c>
      <c r="C72" s="15">
        <v>5</v>
      </c>
      <c r="D72" s="17">
        <v>2368618</v>
      </c>
      <c r="E72" s="17">
        <v>2566659</v>
      </c>
      <c r="F72" s="17">
        <v>198041</v>
      </c>
      <c r="G72" s="18">
        <v>1.0836103584453045</v>
      </c>
      <c r="H72" s="10">
        <v>2025</v>
      </c>
    </row>
    <row r="73" spans="1:8" hidden="1" x14ac:dyDescent="0.3">
      <c r="A73" s="16" t="s">
        <v>7</v>
      </c>
      <c r="B73" s="16" t="s">
        <v>184</v>
      </c>
      <c r="C73" s="15">
        <v>6</v>
      </c>
      <c r="D73" s="17">
        <v>2368618</v>
      </c>
      <c r="E73" s="17">
        <v>2239900</v>
      </c>
      <c r="F73" s="17">
        <v>-128718</v>
      </c>
      <c r="G73" s="18">
        <v>0.94565691892909709</v>
      </c>
      <c r="H73" s="10">
        <v>2025</v>
      </c>
    </row>
    <row r="74" spans="1:8" hidden="1" x14ac:dyDescent="0.3">
      <c r="A74" s="16" t="s">
        <v>7</v>
      </c>
      <c r="B74" s="16" t="s">
        <v>184</v>
      </c>
      <c r="C74" s="15">
        <v>7</v>
      </c>
      <c r="D74" s="17">
        <v>2368618</v>
      </c>
      <c r="E74" s="17">
        <v>2368623</v>
      </c>
      <c r="F74" s="17">
        <v>5</v>
      </c>
      <c r="G74" s="18">
        <v>1.0000021109355752</v>
      </c>
      <c r="H74" s="10">
        <v>2025</v>
      </c>
    </row>
    <row r="75" spans="1:8" hidden="1" x14ac:dyDescent="0.3">
      <c r="A75" s="16" t="s">
        <v>7</v>
      </c>
      <c r="B75" s="16" t="s">
        <v>184</v>
      </c>
      <c r="C75" s="15">
        <v>8</v>
      </c>
      <c r="D75" s="17">
        <v>2368618</v>
      </c>
      <c r="E75" s="17">
        <v>2342567</v>
      </c>
      <c r="F75" s="17">
        <v>-26051</v>
      </c>
      <c r="G75" s="18">
        <v>0.98900160346666288</v>
      </c>
      <c r="H75" s="10">
        <v>2025</v>
      </c>
    </row>
    <row r="76" spans="1:8" hidden="1" x14ac:dyDescent="0.3">
      <c r="A76" s="16" t="s">
        <v>7</v>
      </c>
      <c r="B76" s="16" t="s">
        <v>184</v>
      </c>
      <c r="C76" s="15">
        <v>9</v>
      </c>
      <c r="D76" s="17">
        <v>2368618</v>
      </c>
      <c r="E76" s="17">
        <v>2378516</v>
      </c>
      <c r="F76" s="17">
        <v>9898</v>
      </c>
      <c r="G76" s="18">
        <v>1.0041788080644494</v>
      </c>
      <c r="H76" s="10">
        <v>2025</v>
      </c>
    </row>
    <row r="77" spans="1:8" hidden="1" x14ac:dyDescent="0.3">
      <c r="A77" s="16" t="s">
        <v>7</v>
      </c>
      <c r="B77" s="16" t="s">
        <v>184</v>
      </c>
      <c r="C77" s="15">
        <v>10</v>
      </c>
      <c r="D77" s="17">
        <v>2368618</v>
      </c>
      <c r="E77" s="17">
        <v>2394686</v>
      </c>
      <c r="F77" s="17">
        <v>26068</v>
      </c>
      <c r="G77" s="18">
        <v>1.0110055737142924</v>
      </c>
      <c r="H77" s="10">
        <v>2025</v>
      </c>
    </row>
    <row r="78" spans="1:8" hidden="1" x14ac:dyDescent="0.3">
      <c r="A78" s="16" t="s">
        <v>7</v>
      </c>
      <c r="B78" s="16" t="s">
        <v>185</v>
      </c>
      <c r="C78" s="15">
        <v>1</v>
      </c>
      <c r="D78" s="17">
        <v>622380</v>
      </c>
      <c r="E78" s="17">
        <v>717054</v>
      </c>
      <c r="F78" s="17">
        <v>94674</v>
      </c>
      <c r="G78" s="18">
        <v>1.1521160705678204</v>
      </c>
      <c r="H78" s="10">
        <v>2025</v>
      </c>
    </row>
    <row r="79" spans="1:8" hidden="1" x14ac:dyDescent="0.3">
      <c r="A79" s="16" t="s">
        <v>7</v>
      </c>
      <c r="B79" s="16" t="s">
        <v>185</v>
      </c>
      <c r="C79" s="15">
        <v>2</v>
      </c>
      <c r="D79" s="17">
        <v>781099</v>
      </c>
      <c r="E79" s="17">
        <v>761686</v>
      </c>
      <c r="F79" s="17">
        <v>-19413</v>
      </c>
      <c r="G79" s="18">
        <v>0.97514655632640679</v>
      </c>
      <c r="H79" s="10">
        <v>2025</v>
      </c>
    </row>
    <row r="80" spans="1:8" hidden="1" x14ac:dyDescent="0.3">
      <c r="A80" s="16" t="s">
        <v>7</v>
      </c>
      <c r="B80" s="16" t="s">
        <v>185</v>
      </c>
      <c r="C80" s="15">
        <v>3</v>
      </c>
      <c r="D80" s="17">
        <v>783859</v>
      </c>
      <c r="E80" s="17">
        <v>807053</v>
      </c>
      <c r="F80" s="17">
        <v>23194</v>
      </c>
      <c r="G80" s="18">
        <v>1.0295895052554094</v>
      </c>
      <c r="H80" s="10">
        <v>2025</v>
      </c>
    </row>
    <row r="81" spans="1:8" hidden="1" x14ac:dyDescent="0.3">
      <c r="A81" s="16" t="s">
        <v>7</v>
      </c>
      <c r="B81" s="16" t="s">
        <v>185</v>
      </c>
      <c r="C81" s="15">
        <v>4</v>
      </c>
      <c r="D81" s="17">
        <v>783859</v>
      </c>
      <c r="E81" s="17">
        <v>765314</v>
      </c>
      <c r="F81" s="17">
        <v>-18545</v>
      </c>
      <c r="G81" s="18">
        <v>0.97634140834002037</v>
      </c>
      <c r="H81" s="10">
        <v>2025</v>
      </c>
    </row>
    <row r="82" spans="1:8" hidden="1" x14ac:dyDescent="0.3">
      <c r="A82" s="16" t="s">
        <v>7</v>
      </c>
      <c r="B82" s="16" t="s">
        <v>185</v>
      </c>
      <c r="C82" s="15">
        <v>5</v>
      </c>
      <c r="D82" s="17">
        <v>783859</v>
      </c>
      <c r="E82" s="17">
        <v>849399</v>
      </c>
      <c r="F82" s="17">
        <v>65540</v>
      </c>
      <c r="G82" s="18">
        <v>1.0836119761334628</v>
      </c>
      <c r="H82" s="10">
        <v>2025</v>
      </c>
    </row>
    <row r="83" spans="1:8" hidden="1" x14ac:dyDescent="0.3">
      <c r="A83" s="16" t="s">
        <v>7</v>
      </c>
      <c r="B83" s="16" t="s">
        <v>185</v>
      </c>
      <c r="C83" s="15">
        <v>6</v>
      </c>
      <c r="D83" s="17">
        <v>783859</v>
      </c>
      <c r="E83" s="17">
        <v>741261</v>
      </c>
      <c r="F83" s="17">
        <v>-42598</v>
      </c>
      <c r="G83" s="18">
        <v>0.94565604273217507</v>
      </c>
      <c r="H83" s="10">
        <v>2025</v>
      </c>
    </row>
    <row r="84" spans="1:8" hidden="1" x14ac:dyDescent="0.3">
      <c r="A84" s="16" t="s">
        <v>7</v>
      </c>
      <c r="B84" s="16" t="s">
        <v>185</v>
      </c>
      <c r="C84" s="15">
        <v>7</v>
      </c>
      <c r="D84" s="17">
        <v>783859</v>
      </c>
      <c r="E84" s="17">
        <v>783859</v>
      </c>
      <c r="F84" s="17">
        <v>0</v>
      </c>
      <c r="G84" s="18">
        <v>1</v>
      </c>
      <c r="H84" s="10">
        <v>2025</v>
      </c>
    </row>
    <row r="85" spans="1:8" hidden="1" x14ac:dyDescent="0.3">
      <c r="A85" s="16" t="s">
        <v>7</v>
      </c>
      <c r="B85" s="16" t="s">
        <v>185</v>
      </c>
      <c r="C85" s="15">
        <v>8</v>
      </c>
      <c r="D85" s="17">
        <v>783859</v>
      </c>
      <c r="E85" s="17">
        <v>775237</v>
      </c>
      <c r="F85" s="17">
        <v>-8622</v>
      </c>
      <c r="G85" s="18">
        <v>0.9890005728070993</v>
      </c>
      <c r="H85" s="10">
        <v>2025</v>
      </c>
    </row>
    <row r="86" spans="1:8" hidden="1" x14ac:dyDescent="0.3">
      <c r="A86" s="16" t="s">
        <v>7</v>
      </c>
      <c r="B86" s="16" t="s">
        <v>185</v>
      </c>
      <c r="C86" s="15">
        <v>9</v>
      </c>
      <c r="D86" s="17">
        <v>783859</v>
      </c>
      <c r="E86" s="17">
        <v>787133</v>
      </c>
      <c r="F86" s="17">
        <v>3274</v>
      </c>
      <c r="G86" s="18">
        <v>1.0041767715877474</v>
      </c>
      <c r="H86" s="10">
        <v>2025</v>
      </c>
    </row>
    <row r="87" spans="1:8" hidden="1" x14ac:dyDescent="0.3">
      <c r="A87" s="16" t="s">
        <v>7</v>
      </c>
      <c r="B87" s="16" t="s">
        <v>185</v>
      </c>
      <c r="C87" s="15">
        <v>10</v>
      </c>
      <c r="D87" s="17">
        <v>783859</v>
      </c>
      <c r="E87" s="17">
        <v>792485</v>
      </c>
      <c r="F87" s="17">
        <v>8626</v>
      </c>
      <c r="G87" s="18">
        <v>1.0110045301514685</v>
      </c>
      <c r="H87" s="10">
        <v>2025</v>
      </c>
    </row>
    <row r="88" spans="1:8" hidden="1" x14ac:dyDescent="0.3">
      <c r="A88" s="16" t="s">
        <v>7</v>
      </c>
      <c r="B88" s="16" t="s">
        <v>186</v>
      </c>
      <c r="C88" s="15">
        <v>1</v>
      </c>
      <c r="D88" s="17">
        <v>14608500</v>
      </c>
      <c r="E88" s="17">
        <v>14608500</v>
      </c>
      <c r="F88" s="17">
        <v>0</v>
      </c>
      <c r="G88" s="18">
        <v>1</v>
      </c>
      <c r="H88" s="10">
        <v>2025</v>
      </c>
    </row>
    <row r="89" spans="1:8" hidden="1" x14ac:dyDescent="0.3">
      <c r="A89" s="16" t="s">
        <v>7</v>
      </c>
      <c r="B89" s="16" t="s">
        <v>186</v>
      </c>
      <c r="C89" s="15">
        <v>2</v>
      </c>
      <c r="D89" s="17">
        <v>7720430</v>
      </c>
      <c r="E89" s="17">
        <v>7528553</v>
      </c>
      <c r="F89" s="17">
        <v>-191877</v>
      </c>
      <c r="G89" s="18">
        <v>0.97514685062878625</v>
      </c>
      <c r="H89" s="10">
        <v>2025</v>
      </c>
    </row>
    <row r="90" spans="1:8" hidden="1" x14ac:dyDescent="0.3">
      <c r="A90" s="16" t="s">
        <v>7</v>
      </c>
      <c r="B90" s="16" t="s">
        <v>186</v>
      </c>
      <c r="C90" s="15">
        <v>3</v>
      </c>
      <c r="D90" s="17">
        <v>7747710</v>
      </c>
      <c r="E90" s="17">
        <v>7976977</v>
      </c>
      <c r="F90" s="17">
        <v>229267</v>
      </c>
      <c r="G90" s="18">
        <v>1.0295915825450359</v>
      </c>
      <c r="H90" s="10">
        <v>2025</v>
      </c>
    </row>
    <row r="91" spans="1:8" hidden="1" x14ac:dyDescent="0.3">
      <c r="A91" s="16" t="s">
        <v>7</v>
      </c>
      <c r="B91" s="16" t="s">
        <v>186</v>
      </c>
      <c r="C91" s="15">
        <v>4</v>
      </c>
      <c r="D91" s="17">
        <v>7747710</v>
      </c>
      <c r="E91" s="17">
        <v>7564411</v>
      </c>
      <c r="F91" s="17">
        <v>-183299</v>
      </c>
      <c r="G91" s="18">
        <v>0.97634152543138553</v>
      </c>
      <c r="H91" s="10">
        <v>2025</v>
      </c>
    </row>
    <row r="92" spans="1:8" hidden="1" x14ac:dyDescent="0.3">
      <c r="A92" s="16" t="s">
        <v>7</v>
      </c>
      <c r="B92" s="16" t="s">
        <v>186</v>
      </c>
      <c r="C92" s="15">
        <v>5</v>
      </c>
      <c r="D92" s="17">
        <v>7747710</v>
      </c>
      <c r="E92" s="17">
        <v>8395494</v>
      </c>
      <c r="F92" s="17">
        <v>647784</v>
      </c>
      <c r="G92" s="18">
        <v>1.0836097375869773</v>
      </c>
      <c r="H92" s="10">
        <v>2025</v>
      </c>
    </row>
    <row r="93" spans="1:8" hidden="1" x14ac:dyDescent="0.3">
      <c r="A93" s="16" t="s">
        <v>7</v>
      </c>
      <c r="B93" s="16" t="s">
        <v>186</v>
      </c>
      <c r="C93" s="15">
        <v>6</v>
      </c>
      <c r="D93" s="17">
        <v>7747710</v>
      </c>
      <c r="E93" s="17">
        <v>7326675</v>
      </c>
      <c r="F93" s="17">
        <v>-421035</v>
      </c>
      <c r="G93" s="18">
        <v>0.94565684570021336</v>
      </c>
      <c r="H93" s="10">
        <v>2025</v>
      </c>
    </row>
    <row r="94" spans="1:8" hidden="1" x14ac:dyDescent="0.3">
      <c r="A94" s="16" t="s">
        <v>7</v>
      </c>
      <c r="B94" s="16" t="s">
        <v>186</v>
      </c>
      <c r="C94" s="15">
        <v>7</v>
      </c>
      <c r="D94" s="17">
        <v>7747710</v>
      </c>
      <c r="E94" s="17">
        <v>-4948513</v>
      </c>
      <c r="F94" s="17">
        <v>-12696223</v>
      </c>
      <c r="G94" s="18">
        <v>-0.63870653393067112</v>
      </c>
      <c r="H94" s="10">
        <v>2025</v>
      </c>
    </row>
    <row r="95" spans="1:8" hidden="1" x14ac:dyDescent="0.3">
      <c r="A95" s="16" t="s">
        <v>7</v>
      </c>
      <c r="B95" s="16" t="s">
        <v>186</v>
      </c>
      <c r="C95" s="15">
        <v>8</v>
      </c>
      <c r="D95" s="17">
        <v>7747710</v>
      </c>
      <c r="E95" s="17">
        <v>7662493</v>
      </c>
      <c r="F95" s="17">
        <v>-85217</v>
      </c>
      <c r="G95" s="18">
        <v>0.98900100803979507</v>
      </c>
      <c r="H95" s="10">
        <v>2025</v>
      </c>
    </row>
    <row r="96" spans="1:8" hidden="1" x14ac:dyDescent="0.3">
      <c r="A96" s="16" t="s">
        <v>7</v>
      </c>
      <c r="B96" s="16" t="s">
        <v>186</v>
      </c>
      <c r="C96" s="15">
        <v>9</v>
      </c>
      <c r="D96" s="17">
        <v>7747710</v>
      </c>
      <c r="E96" s="17">
        <v>7780085</v>
      </c>
      <c r="F96" s="17">
        <v>32375</v>
      </c>
      <c r="G96" s="18">
        <v>1.0041786540797215</v>
      </c>
      <c r="H96" s="10">
        <v>2025</v>
      </c>
    </row>
    <row r="97" spans="1:8" hidden="1" x14ac:dyDescent="0.3">
      <c r="A97" s="16" t="s">
        <v>7</v>
      </c>
      <c r="B97" s="16" t="s">
        <v>186</v>
      </c>
      <c r="C97" s="15">
        <v>10</v>
      </c>
      <c r="D97" s="17">
        <v>7747710</v>
      </c>
      <c r="E97" s="17">
        <v>7832975</v>
      </c>
      <c r="F97" s="17">
        <v>85265</v>
      </c>
      <c r="G97" s="18">
        <v>1.0110051873392267</v>
      </c>
      <c r="H97" s="10">
        <v>2025</v>
      </c>
    </row>
    <row r="98" spans="1:8" hidden="1" x14ac:dyDescent="0.3">
      <c r="A98" s="16" t="s">
        <v>7</v>
      </c>
      <c r="B98" s="16" t="s">
        <v>187</v>
      </c>
      <c r="C98" s="15">
        <v>1</v>
      </c>
      <c r="D98" s="17">
        <v>1880670</v>
      </c>
      <c r="E98" s="17">
        <v>2166750</v>
      </c>
      <c r="F98" s="17">
        <v>286080</v>
      </c>
      <c r="G98" s="18">
        <v>1.1521160012123339</v>
      </c>
      <c r="H98" s="10">
        <v>2025</v>
      </c>
    </row>
    <row r="99" spans="1:8" hidden="1" x14ac:dyDescent="0.3">
      <c r="A99" s="16" t="s">
        <v>7</v>
      </c>
      <c r="B99" s="16" t="s">
        <v>187</v>
      </c>
      <c r="C99" s="15">
        <v>2</v>
      </c>
      <c r="D99" s="17">
        <v>2360278</v>
      </c>
      <c r="E99" s="17">
        <v>2301619</v>
      </c>
      <c r="F99" s="17">
        <v>-58659</v>
      </c>
      <c r="G99" s="18">
        <v>0.97514741907521063</v>
      </c>
      <c r="H99" s="10">
        <v>2025</v>
      </c>
    </row>
    <row r="100" spans="1:8" hidden="1" x14ac:dyDescent="0.3">
      <c r="A100" s="16" t="s">
        <v>7</v>
      </c>
      <c r="B100" s="16" t="s">
        <v>187</v>
      </c>
      <c r="C100" s="15">
        <v>3</v>
      </c>
      <c r="D100" s="17">
        <v>2368618</v>
      </c>
      <c r="E100" s="17">
        <v>2438710</v>
      </c>
      <c r="F100" s="17">
        <v>70092</v>
      </c>
      <c r="G100" s="18">
        <v>1.0295919392658504</v>
      </c>
      <c r="H100" s="10">
        <v>2025</v>
      </c>
    </row>
    <row r="101" spans="1:8" hidden="1" x14ac:dyDescent="0.3">
      <c r="A101" s="16" t="s">
        <v>7</v>
      </c>
      <c r="B101" s="16" t="s">
        <v>187</v>
      </c>
      <c r="C101" s="15">
        <v>4</v>
      </c>
      <c r="D101" s="17">
        <v>2368618</v>
      </c>
      <c r="E101" s="17">
        <v>2312581</v>
      </c>
      <c r="F101" s="17">
        <v>-56037</v>
      </c>
      <c r="G101" s="18">
        <v>0.97634190063572945</v>
      </c>
      <c r="H101" s="10">
        <v>2025</v>
      </c>
    </row>
    <row r="102" spans="1:8" hidden="1" x14ac:dyDescent="0.3">
      <c r="A102" s="16" t="s">
        <v>7</v>
      </c>
      <c r="B102" s="16" t="s">
        <v>187</v>
      </c>
      <c r="C102" s="15">
        <v>5</v>
      </c>
      <c r="D102" s="17">
        <v>2368618</v>
      </c>
      <c r="E102" s="17">
        <v>2566659</v>
      </c>
      <c r="F102" s="17">
        <v>198041</v>
      </c>
      <c r="G102" s="18">
        <v>1.0836103584453045</v>
      </c>
      <c r="H102" s="10">
        <v>2025</v>
      </c>
    </row>
    <row r="103" spans="1:8" hidden="1" x14ac:dyDescent="0.3">
      <c r="A103" s="16" t="s">
        <v>7</v>
      </c>
      <c r="B103" s="16" t="s">
        <v>187</v>
      </c>
      <c r="C103" s="15">
        <v>6</v>
      </c>
      <c r="D103" s="17">
        <v>2368618</v>
      </c>
      <c r="E103" s="17">
        <v>2239900</v>
      </c>
      <c r="F103" s="17">
        <v>-128718</v>
      </c>
      <c r="G103" s="18">
        <v>0.94565691892909709</v>
      </c>
      <c r="H103" s="10">
        <v>2025</v>
      </c>
    </row>
    <row r="104" spans="1:8" hidden="1" x14ac:dyDescent="0.3">
      <c r="A104" s="16" t="s">
        <v>7</v>
      </c>
      <c r="B104" s="16" t="s">
        <v>187</v>
      </c>
      <c r="C104" s="15">
        <v>7</v>
      </c>
      <c r="D104" s="17">
        <v>2368618</v>
      </c>
      <c r="E104" s="17">
        <v>2368623</v>
      </c>
      <c r="F104" s="17">
        <v>5</v>
      </c>
      <c r="G104" s="18">
        <v>1.0000021109355752</v>
      </c>
      <c r="H104" s="10">
        <v>2025</v>
      </c>
    </row>
    <row r="105" spans="1:8" hidden="1" x14ac:dyDescent="0.3">
      <c r="A105" s="16" t="s">
        <v>7</v>
      </c>
      <c r="B105" s="16" t="s">
        <v>187</v>
      </c>
      <c r="C105" s="15">
        <v>8</v>
      </c>
      <c r="D105" s="17">
        <v>2368618</v>
      </c>
      <c r="E105" s="17">
        <v>2342567</v>
      </c>
      <c r="F105" s="17">
        <v>-26051</v>
      </c>
      <c r="G105" s="18">
        <v>0.98900160346666288</v>
      </c>
      <c r="H105" s="10">
        <v>2025</v>
      </c>
    </row>
    <row r="106" spans="1:8" hidden="1" x14ac:dyDescent="0.3">
      <c r="A106" s="16" t="s">
        <v>7</v>
      </c>
      <c r="B106" s="16" t="s">
        <v>187</v>
      </c>
      <c r="C106" s="15">
        <v>9</v>
      </c>
      <c r="D106" s="17">
        <v>2368618</v>
      </c>
      <c r="E106" s="17">
        <v>2378516</v>
      </c>
      <c r="F106" s="17">
        <v>9898</v>
      </c>
      <c r="G106" s="18">
        <v>1.0041788080644494</v>
      </c>
      <c r="H106" s="10">
        <v>2025</v>
      </c>
    </row>
    <row r="107" spans="1:8" hidden="1" x14ac:dyDescent="0.3">
      <c r="A107" s="16" t="s">
        <v>7</v>
      </c>
      <c r="B107" s="16" t="s">
        <v>187</v>
      </c>
      <c r="C107" s="15">
        <v>10</v>
      </c>
      <c r="D107" s="17">
        <v>2368618</v>
      </c>
      <c r="E107" s="17">
        <v>2394686</v>
      </c>
      <c r="F107" s="17">
        <v>26068</v>
      </c>
      <c r="G107" s="18">
        <v>1.0110055737142924</v>
      </c>
      <c r="H107" s="10">
        <v>2025</v>
      </c>
    </row>
    <row r="108" spans="1:8" hidden="1" x14ac:dyDescent="0.3">
      <c r="A108" s="16" t="s">
        <v>7</v>
      </c>
      <c r="B108" s="16" t="s">
        <v>188</v>
      </c>
      <c r="C108" s="15">
        <v>1</v>
      </c>
      <c r="D108" s="17">
        <v>105000</v>
      </c>
      <c r="E108" s="17">
        <v>87396</v>
      </c>
      <c r="F108" s="17">
        <v>-17604</v>
      </c>
      <c r="G108" s="18">
        <v>0.83234285714285716</v>
      </c>
      <c r="H108" s="10">
        <v>2025</v>
      </c>
    </row>
    <row r="109" spans="1:8" hidden="1" x14ac:dyDescent="0.3">
      <c r="A109" s="16" t="s">
        <v>7</v>
      </c>
      <c r="B109" s="16" t="s">
        <v>188</v>
      </c>
      <c r="C109" s="15">
        <v>2</v>
      </c>
      <c r="D109" s="17">
        <v>456000</v>
      </c>
      <c r="E109" s="17">
        <v>382520</v>
      </c>
      <c r="F109" s="17">
        <v>-73480</v>
      </c>
      <c r="G109" s="18">
        <v>0.83885964912280708</v>
      </c>
      <c r="H109" s="10">
        <v>2025</v>
      </c>
    </row>
    <row r="110" spans="1:8" hidden="1" x14ac:dyDescent="0.3">
      <c r="A110" s="16" t="s">
        <v>7</v>
      </c>
      <c r="B110" s="16" t="s">
        <v>188</v>
      </c>
      <c r="C110" s="15">
        <v>4</v>
      </c>
      <c r="D110" s="17">
        <v>27892</v>
      </c>
      <c r="E110" s="17">
        <v>2360660</v>
      </c>
      <c r="F110" s="17">
        <v>2332768</v>
      </c>
      <c r="G110" s="18">
        <v>84.635737845977332</v>
      </c>
      <c r="H110" s="10">
        <v>2025</v>
      </c>
    </row>
    <row r="111" spans="1:8" hidden="1" x14ac:dyDescent="0.3">
      <c r="A111" s="16" t="s">
        <v>7</v>
      </c>
      <c r="B111" s="16" t="s">
        <v>188</v>
      </c>
      <c r="C111" s="15">
        <v>5</v>
      </c>
      <c r="D111" s="17">
        <v>0</v>
      </c>
      <c r="E111" s="17">
        <v>297690</v>
      </c>
      <c r="F111" s="17">
        <v>297690</v>
      </c>
      <c r="G111" s="18">
        <v>0</v>
      </c>
      <c r="H111" s="10">
        <v>2025</v>
      </c>
    </row>
    <row r="112" spans="1:8" hidden="1" x14ac:dyDescent="0.3">
      <c r="A112" s="16" t="s">
        <v>7</v>
      </c>
      <c r="B112" s="16" t="s">
        <v>188</v>
      </c>
      <c r="C112" s="15">
        <v>7</v>
      </c>
      <c r="D112" s="17">
        <v>262315</v>
      </c>
      <c r="E112" s="17">
        <v>86345</v>
      </c>
      <c r="F112" s="17">
        <v>-175970</v>
      </c>
      <c r="G112" s="18">
        <v>0.32916531650877762</v>
      </c>
      <c r="H112" s="10">
        <v>2025</v>
      </c>
    </row>
    <row r="113" spans="1:8" hidden="1" x14ac:dyDescent="0.3">
      <c r="A113" s="16" t="s">
        <v>7</v>
      </c>
      <c r="B113" s="16" t="s">
        <v>188</v>
      </c>
      <c r="C113" s="15">
        <v>9</v>
      </c>
      <c r="D113" s="17">
        <v>208101</v>
      </c>
      <c r="E113" s="17">
        <v>224000</v>
      </c>
      <c r="F113" s="17">
        <v>15899</v>
      </c>
      <c r="G113" s="18">
        <v>1.0764004017280071</v>
      </c>
      <c r="H113" s="10">
        <v>2025</v>
      </c>
    </row>
    <row r="114" spans="1:8" hidden="1" x14ac:dyDescent="0.3">
      <c r="A114" s="16" t="s">
        <v>7</v>
      </c>
      <c r="B114" s="16" t="s">
        <v>189</v>
      </c>
      <c r="C114" s="15">
        <v>1</v>
      </c>
      <c r="D114" s="17">
        <v>100626</v>
      </c>
      <c r="E114" s="17">
        <v>0</v>
      </c>
      <c r="F114" s="17">
        <v>-100626</v>
      </c>
      <c r="G114" s="18">
        <v>0</v>
      </c>
      <c r="H114" s="10">
        <v>2025</v>
      </c>
    </row>
    <row r="115" spans="1:8" hidden="1" x14ac:dyDescent="0.3">
      <c r="A115" s="16" t="s">
        <v>7</v>
      </c>
      <c r="B115" s="16" t="s">
        <v>189</v>
      </c>
      <c r="C115" s="15">
        <v>2</v>
      </c>
      <c r="D115" s="17">
        <v>100626</v>
      </c>
      <c r="E115" s="17">
        <v>0</v>
      </c>
      <c r="F115" s="17">
        <v>-100626</v>
      </c>
      <c r="G115" s="18">
        <v>0</v>
      </c>
      <c r="H115" s="10">
        <v>2025</v>
      </c>
    </row>
    <row r="116" spans="1:8" hidden="1" x14ac:dyDescent="0.3">
      <c r="A116" s="16" t="s">
        <v>7</v>
      </c>
      <c r="B116" s="16" t="s">
        <v>189</v>
      </c>
      <c r="C116" s="15">
        <v>3</v>
      </c>
      <c r="D116" s="17">
        <v>100626</v>
      </c>
      <c r="E116" s="17">
        <v>0</v>
      </c>
      <c r="F116" s="17">
        <v>-100626</v>
      </c>
      <c r="G116" s="18">
        <v>0</v>
      </c>
      <c r="H116" s="10">
        <v>2025</v>
      </c>
    </row>
    <row r="117" spans="1:8" hidden="1" x14ac:dyDescent="0.3">
      <c r="A117" s="16" t="s">
        <v>7</v>
      </c>
      <c r="B117" s="16" t="s">
        <v>189</v>
      </c>
      <c r="C117" s="15">
        <v>4</v>
      </c>
      <c r="D117" s="17">
        <v>100626</v>
      </c>
      <c r="E117" s="17">
        <v>0</v>
      </c>
      <c r="F117" s="17">
        <v>-100626</v>
      </c>
      <c r="G117" s="18">
        <v>0</v>
      </c>
      <c r="H117" s="10">
        <v>2025</v>
      </c>
    </row>
    <row r="118" spans="1:8" hidden="1" x14ac:dyDescent="0.3">
      <c r="A118" s="16" t="s">
        <v>7</v>
      </c>
      <c r="B118" s="16" t="s">
        <v>189</v>
      </c>
      <c r="C118" s="15">
        <v>5</v>
      </c>
      <c r="D118" s="17">
        <v>100626</v>
      </c>
      <c r="E118" s="17">
        <v>0</v>
      </c>
      <c r="F118" s="17">
        <v>-100626</v>
      </c>
      <c r="G118" s="18">
        <v>0</v>
      </c>
      <c r="H118" s="10">
        <v>2025</v>
      </c>
    </row>
    <row r="119" spans="1:8" hidden="1" x14ac:dyDescent="0.3">
      <c r="A119" s="16" t="s">
        <v>7</v>
      </c>
      <c r="B119" s="16" t="s">
        <v>189</v>
      </c>
      <c r="C119" s="15">
        <v>6</v>
      </c>
      <c r="D119" s="17">
        <v>100626</v>
      </c>
      <c r="E119" s="17">
        <v>0</v>
      </c>
      <c r="F119" s="17">
        <v>-100626</v>
      </c>
      <c r="G119" s="18">
        <v>0</v>
      </c>
      <c r="H119" s="10">
        <v>2025</v>
      </c>
    </row>
    <row r="120" spans="1:8" hidden="1" x14ac:dyDescent="0.3">
      <c r="A120" s="16" t="s">
        <v>7</v>
      </c>
      <c r="B120" s="16" t="s">
        <v>189</v>
      </c>
      <c r="C120" s="15">
        <v>7</v>
      </c>
      <c r="D120" s="17">
        <v>100626</v>
      </c>
      <c r="E120" s="17">
        <v>0</v>
      </c>
      <c r="F120" s="17">
        <v>-100626</v>
      </c>
      <c r="G120" s="18">
        <v>0</v>
      </c>
      <c r="H120" s="10">
        <v>2025</v>
      </c>
    </row>
    <row r="121" spans="1:8" hidden="1" x14ac:dyDescent="0.3">
      <c r="A121" s="16" t="s">
        <v>7</v>
      </c>
      <c r="B121" s="16" t="s">
        <v>189</v>
      </c>
      <c r="C121" s="15">
        <v>8</v>
      </c>
      <c r="D121" s="17">
        <v>100626</v>
      </c>
      <c r="E121" s="17">
        <v>0</v>
      </c>
      <c r="F121" s="17">
        <v>-100626</v>
      </c>
      <c r="G121" s="18">
        <v>0</v>
      </c>
      <c r="H121" s="10">
        <v>2025</v>
      </c>
    </row>
    <row r="122" spans="1:8" hidden="1" x14ac:dyDescent="0.3">
      <c r="A122" s="16" t="s">
        <v>7</v>
      </c>
      <c r="B122" s="16" t="s">
        <v>189</v>
      </c>
      <c r="C122" s="15">
        <v>9</v>
      </c>
      <c r="D122" s="17">
        <v>100626</v>
      </c>
      <c r="E122" s="17">
        <v>0</v>
      </c>
      <c r="F122" s="17">
        <v>-100626</v>
      </c>
      <c r="G122" s="18">
        <v>0</v>
      </c>
      <c r="H122" s="10">
        <v>2025</v>
      </c>
    </row>
    <row r="123" spans="1:8" hidden="1" x14ac:dyDescent="0.3">
      <c r="A123" s="16" t="s">
        <v>7</v>
      </c>
      <c r="B123" s="16" t="s">
        <v>189</v>
      </c>
      <c r="C123" s="15">
        <v>10</v>
      </c>
      <c r="D123" s="17">
        <v>100626</v>
      </c>
      <c r="E123" s="17">
        <v>0</v>
      </c>
      <c r="F123" s="17">
        <v>-100626</v>
      </c>
      <c r="G123" s="18">
        <v>0</v>
      </c>
      <c r="H123" s="10">
        <v>2025</v>
      </c>
    </row>
    <row r="124" spans="1:8" hidden="1" x14ac:dyDescent="0.3">
      <c r="A124" s="16" t="s">
        <v>7</v>
      </c>
      <c r="B124" s="16" t="s">
        <v>190</v>
      </c>
      <c r="C124" s="15">
        <v>1</v>
      </c>
      <c r="D124" s="17">
        <v>9240000</v>
      </c>
      <c r="E124" s="17">
        <v>9240000</v>
      </c>
      <c r="F124" s="17">
        <v>0</v>
      </c>
      <c r="G124" s="18">
        <v>1</v>
      </c>
      <c r="H124" s="10">
        <v>2025</v>
      </c>
    </row>
    <row r="125" spans="1:8" hidden="1" x14ac:dyDescent="0.3">
      <c r="A125" s="16" t="s">
        <v>7</v>
      </c>
      <c r="B125" s="16" t="s">
        <v>191</v>
      </c>
      <c r="C125" s="15">
        <v>1</v>
      </c>
      <c r="D125" s="17">
        <v>773190</v>
      </c>
      <c r="E125" s="17">
        <v>773190</v>
      </c>
      <c r="F125" s="17">
        <v>0</v>
      </c>
      <c r="G125" s="18">
        <v>1</v>
      </c>
      <c r="H125" s="10">
        <v>2025</v>
      </c>
    </row>
    <row r="126" spans="1:8" hidden="1" x14ac:dyDescent="0.3">
      <c r="A126" s="16" t="s">
        <v>7</v>
      </c>
      <c r="B126" s="16" t="s">
        <v>191</v>
      </c>
      <c r="C126" s="15">
        <v>2</v>
      </c>
      <c r="D126" s="17">
        <v>4969500</v>
      </c>
      <c r="E126" s="17">
        <v>4969500</v>
      </c>
      <c r="F126" s="17">
        <v>0</v>
      </c>
      <c r="G126" s="18">
        <v>1</v>
      </c>
      <c r="H126" s="10">
        <v>2025</v>
      </c>
    </row>
    <row r="127" spans="1:8" hidden="1" x14ac:dyDescent="0.3">
      <c r="A127" s="16" t="s">
        <v>7</v>
      </c>
      <c r="B127" s="16" t="s">
        <v>191</v>
      </c>
      <c r="C127" s="15">
        <v>5</v>
      </c>
      <c r="D127" s="17">
        <v>4207500</v>
      </c>
      <c r="E127" s="17">
        <v>0</v>
      </c>
      <c r="F127" s="17">
        <v>-4207500</v>
      </c>
      <c r="G127" s="18">
        <v>0</v>
      </c>
      <c r="H127" s="10">
        <v>2025</v>
      </c>
    </row>
    <row r="128" spans="1:8" hidden="1" x14ac:dyDescent="0.3">
      <c r="A128" s="16" t="s">
        <v>7</v>
      </c>
      <c r="B128" s="16" t="s">
        <v>191</v>
      </c>
      <c r="C128" s="15">
        <v>7</v>
      </c>
      <c r="D128" s="17">
        <v>0</v>
      </c>
      <c r="E128" s="17">
        <v>8654945</v>
      </c>
      <c r="F128" s="17">
        <v>8654945</v>
      </c>
      <c r="G128" s="18">
        <v>0</v>
      </c>
      <c r="H128" s="10">
        <v>2025</v>
      </c>
    </row>
    <row r="129" spans="1:8" hidden="1" x14ac:dyDescent="0.3">
      <c r="A129" s="16" t="s">
        <v>7</v>
      </c>
      <c r="B129" s="16" t="s">
        <v>191</v>
      </c>
      <c r="C129" s="15">
        <v>8</v>
      </c>
      <c r="D129" s="17">
        <v>0</v>
      </c>
      <c r="E129" s="17">
        <v>4110844</v>
      </c>
      <c r="F129" s="17">
        <v>4110844</v>
      </c>
      <c r="G129" s="18">
        <v>0</v>
      </c>
      <c r="H129" s="10">
        <v>2025</v>
      </c>
    </row>
    <row r="130" spans="1:8" hidden="1" x14ac:dyDescent="0.3">
      <c r="A130" s="16" t="s">
        <v>7</v>
      </c>
      <c r="B130" s="16" t="s">
        <v>191</v>
      </c>
      <c r="C130" s="15">
        <v>9</v>
      </c>
      <c r="D130" s="17">
        <v>4207500</v>
      </c>
      <c r="E130" s="17">
        <v>0</v>
      </c>
      <c r="F130" s="17">
        <v>-4207500</v>
      </c>
      <c r="G130" s="18">
        <v>0</v>
      </c>
      <c r="H130" s="10">
        <v>2025</v>
      </c>
    </row>
    <row r="131" spans="1:8" hidden="1" x14ac:dyDescent="0.3">
      <c r="A131" s="16" t="s">
        <v>7</v>
      </c>
      <c r="B131" s="16" t="s">
        <v>192</v>
      </c>
      <c r="C131" s="15">
        <v>1</v>
      </c>
      <c r="D131" s="17">
        <v>837423</v>
      </c>
      <c r="E131" s="17">
        <v>746566</v>
      </c>
      <c r="F131" s="17">
        <v>-90857</v>
      </c>
      <c r="G131" s="18">
        <v>0.89150405470114868</v>
      </c>
      <c r="H131" s="10">
        <v>2025</v>
      </c>
    </row>
    <row r="132" spans="1:8" hidden="1" x14ac:dyDescent="0.3">
      <c r="A132" s="16" t="s">
        <v>7</v>
      </c>
      <c r="B132" s="16" t="s">
        <v>192</v>
      </c>
      <c r="C132" s="15">
        <v>2</v>
      </c>
      <c r="D132" s="17">
        <v>1044448</v>
      </c>
      <c r="E132" s="17">
        <v>837441</v>
      </c>
      <c r="F132" s="17">
        <v>-207007</v>
      </c>
      <c r="G132" s="18">
        <v>0.801802483225589</v>
      </c>
      <c r="H132" s="10">
        <v>2025</v>
      </c>
    </row>
    <row r="133" spans="1:8" hidden="1" x14ac:dyDescent="0.3">
      <c r="A133" s="16" t="s">
        <v>7</v>
      </c>
      <c r="B133" s="16" t="s">
        <v>192</v>
      </c>
      <c r="C133" s="15">
        <v>3</v>
      </c>
      <c r="D133" s="17">
        <v>1060859</v>
      </c>
      <c r="E133" s="17">
        <v>837578</v>
      </c>
      <c r="F133" s="17">
        <v>-223281</v>
      </c>
      <c r="G133" s="18">
        <v>0.78952810882501823</v>
      </c>
      <c r="H133" s="10">
        <v>2025</v>
      </c>
    </row>
    <row r="134" spans="1:8" hidden="1" x14ac:dyDescent="0.3">
      <c r="A134" s="16" t="s">
        <v>7</v>
      </c>
      <c r="B134" s="16" t="s">
        <v>192</v>
      </c>
      <c r="C134" s="15">
        <v>4</v>
      </c>
      <c r="D134" s="17">
        <v>1060859</v>
      </c>
      <c r="E134" s="17">
        <v>798332</v>
      </c>
      <c r="F134" s="17">
        <v>-262527</v>
      </c>
      <c r="G134" s="18">
        <v>0.7525335600678319</v>
      </c>
      <c r="H134" s="10">
        <v>2025</v>
      </c>
    </row>
    <row r="135" spans="1:8" hidden="1" x14ac:dyDescent="0.3">
      <c r="A135" s="16" t="s">
        <v>7</v>
      </c>
      <c r="B135" s="16" t="s">
        <v>192</v>
      </c>
      <c r="C135" s="15">
        <v>5</v>
      </c>
      <c r="D135" s="17">
        <v>1074098</v>
      </c>
      <c r="E135" s="17">
        <v>805013</v>
      </c>
      <c r="F135" s="17">
        <v>-269085</v>
      </c>
      <c r="G135" s="18">
        <v>0.74947816679669832</v>
      </c>
      <c r="H135" s="10">
        <v>2025</v>
      </c>
    </row>
    <row r="136" spans="1:8" hidden="1" x14ac:dyDescent="0.3">
      <c r="A136" s="16" t="s">
        <v>7</v>
      </c>
      <c r="B136" s="16" t="s">
        <v>192</v>
      </c>
      <c r="C136" s="15">
        <v>6</v>
      </c>
      <c r="D136" s="17">
        <v>1086482</v>
      </c>
      <c r="E136" s="17">
        <v>776742</v>
      </c>
      <c r="F136" s="17">
        <v>-309740</v>
      </c>
      <c r="G136" s="18">
        <v>0.71491474318028281</v>
      </c>
      <c r="H136" s="10">
        <v>2025</v>
      </c>
    </row>
    <row r="137" spans="1:8" hidden="1" x14ac:dyDescent="0.3">
      <c r="A137" s="16" t="s">
        <v>7</v>
      </c>
      <c r="B137" s="16" t="s">
        <v>192</v>
      </c>
      <c r="C137" s="15">
        <v>7</v>
      </c>
      <c r="D137" s="17">
        <v>1099294</v>
      </c>
      <c r="E137" s="17">
        <v>926579</v>
      </c>
      <c r="F137" s="17">
        <v>-172715</v>
      </c>
      <c r="G137" s="18">
        <v>0.8428855247094954</v>
      </c>
      <c r="H137" s="10">
        <v>2025</v>
      </c>
    </row>
    <row r="138" spans="1:8" hidden="1" x14ac:dyDescent="0.3">
      <c r="A138" s="16" t="s">
        <v>7</v>
      </c>
      <c r="B138" s="16" t="s">
        <v>192</v>
      </c>
      <c r="C138" s="15">
        <v>8</v>
      </c>
      <c r="D138" s="17">
        <v>1073671</v>
      </c>
      <c r="E138" s="17">
        <v>875027</v>
      </c>
      <c r="F138" s="17">
        <v>-198644</v>
      </c>
      <c r="G138" s="18">
        <v>0.81498615497671079</v>
      </c>
      <c r="H138" s="10">
        <v>2025</v>
      </c>
    </row>
    <row r="139" spans="1:8" hidden="1" x14ac:dyDescent="0.3">
      <c r="A139" s="16" t="s">
        <v>7</v>
      </c>
      <c r="B139" s="16" t="s">
        <v>192</v>
      </c>
      <c r="C139" s="15">
        <v>9</v>
      </c>
      <c r="D139" s="17">
        <v>1111678</v>
      </c>
      <c r="E139" s="17">
        <v>1269074</v>
      </c>
      <c r="F139" s="17">
        <v>157396</v>
      </c>
      <c r="G139" s="18">
        <v>1.1415841637596498</v>
      </c>
      <c r="H139" s="10">
        <v>2025</v>
      </c>
    </row>
    <row r="140" spans="1:8" hidden="1" x14ac:dyDescent="0.3">
      <c r="A140" s="16" t="s">
        <v>7</v>
      </c>
      <c r="B140" s="16" t="s">
        <v>192</v>
      </c>
      <c r="C140" s="15">
        <v>10</v>
      </c>
      <c r="D140" s="17">
        <v>1112105</v>
      </c>
      <c r="E140" s="17">
        <v>1066658</v>
      </c>
      <c r="F140" s="17">
        <v>-45447</v>
      </c>
      <c r="G140" s="18">
        <v>0.95913425440943079</v>
      </c>
      <c r="H140" s="10">
        <v>2025</v>
      </c>
    </row>
    <row r="141" spans="1:8" hidden="1" x14ac:dyDescent="0.3">
      <c r="A141" s="16" t="s">
        <v>7</v>
      </c>
      <c r="B141" s="16" t="s">
        <v>193</v>
      </c>
      <c r="C141" s="15">
        <v>1</v>
      </c>
      <c r="D141" s="17">
        <v>2326175</v>
      </c>
      <c r="E141" s="17">
        <v>1948021.16</v>
      </c>
      <c r="F141" s="17">
        <v>-378153.84</v>
      </c>
      <c r="G141" s="18">
        <v>0.83743534342858983</v>
      </c>
      <c r="H141" s="10">
        <v>2025</v>
      </c>
    </row>
    <row r="142" spans="1:8" hidden="1" x14ac:dyDescent="0.3">
      <c r="A142" s="16" t="s">
        <v>7</v>
      </c>
      <c r="B142" s="16" t="s">
        <v>193</v>
      </c>
      <c r="C142" s="15">
        <v>2</v>
      </c>
      <c r="D142" s="17">
        <v>2901245</v>
      </c>
      <c r="E142" s="17">
        <v>2704637.56</v>
      </c>
      <c r="F142" s="17">
        <v>-196607.44</v>
      </c>
      <c r="G142" s="18">
        <v>0.93223342392662467</v>
      </c>
      <c r="H142" s="10">
        <v>2025</v>
      </c>
    </row>
    <row r="143" spans="1:8" hidden="1" x14ac:dyDescent="0.3">
      <c r="A143" s="16" t="s">
        <v>7</v>
      </c>
      <c r="B143" s="16" t="s">
        <v>193</v>
      </c>
      <c r="C143" s="15">
        <v>3</v>
      </c>
      <c r="D143" s="17">
        <v>2946832</v>
      </c>
      <c r="E143" s="17">
        <v>3108656.32</v>
      </c>
      <c r="F143" s="17">
        <v>161824.32000000001</v>
      </c>
      <c r="G143" s="18">
        <v>1.0549146744707538</v>
      </c>
      <c r="H143" s="10">
        <v>2025</v>
      </c>
    </row>
    <row r="144" spans="1:8" hidden="1" x14ac:dyDescent="0.3">
      <c r="A144" s="16" t="s">
        <v>7</v>
      </c>
      <c r="B144" s="16" t="s">
        <v>193</v>
      </c>
      <c r="C144" s="15">
        <v>4</v>
      </c>
      <c r="D144" s="17">
        <v>2946832</v>
      </c>
      <c r="E144" s="17">
        <v>3059769.16</v>
      </c>
      <c r="F144" s="17">
        <v>112937.16</v>
      </c>
      <c r="G144" s="18">
        <v>1.0383249401391053</v>
      </c>
      <c r="H144" s="10">
        <v>2025</v>
      </c>
    </row>
    <row r="145" spans="1:8" hidden="1" x14ac:dyDescent="0.3">
      <c r="A145" s="16" t="s">
        <v>7</v>
      </c>
      <c r="B145" s="16" t="s">
        <v>193</v>
      </c>
      <c r="C145" s="15">
        <v>5</v>
      </c>
      <c r="D145" s="17">
        <v>2983606</v>
      </c>
      <c r="E145" s="17">
        <v>2830502.92</v>
      </c>
      <c r="F145" s="17">
        <v>-153103.07999999999</v>
      </c>
      <c r="G145" s="18">
        <v>0.9486852218422942</v>
      </c>
      <c r="H145" s="10">
        <v>2025</v>
      </c>
    </row>
    <row r="146" spans="1:8" hidden="1" x14ac:dyDescent="0.3">
      <c r="A146" s="16" t="s">
        <v>7</v>
      </c>
      <c r="B146" s="16" t="s">
        <v>193</v>
      </c>
      <c r="C146" s="15">
        <v>6</v>
      </c>
      <c r="D146" s="17">
        <v>3018007</v>
      </c>
      <c r="E146" s="17">
        <v>3048423</v>
      </c>
      <c r="F146" s="17">
        <v>30416</v>
      </c>
      <c r="G146" s="18">
        <v>1.0100781741062894</v>
      </c>
      <c r="H146" s="10">
        <v>2025</v>
      </c>
    </row>
    <row r="147" spans="1:8" hidden="1" x14ac:dyDescent="0.3">
      <c r="A147" s="16" t="s">
        <v>7</v>
      </c>
      <c r="B147" s="16" t="s">
        <v>193</v>
      </c>
      <c r="C147" s="15">
        <v>7</v>
      </c>
      <c r="D147" s="17">
        <v>3053595</v>
      </c>
      <c r="E147" s="17">
        <v>2974142.2</v>
      </c>
      <c r="F147" s="17">
        <v>-79452.800000000003</v>
      </c>
      <c r="G147" s="18">
        <v>0.97398057044238029</v>
      </c>
      <c r="H147" s="10">
        <v>2025</v>
      </c>
    </row>
    <row r="148" spans="1:8" hidden="1" x14ac:dyDescent="0.3">
      <c r="A148" s="16" t="s">
        <v>7</v>
      </c>
      <c r="B148" s="16" t="s">
        <v>193</v>
      </c>
      <c r="C148" s="15">
        <v>8</v>
      </c>
      <c r="D148" s="17">
        <v>2982420</v>
      </c>
      <c r="E148" s="17">
        <v>2883267.16</v>
      </c>
      <c r="F148" s="17">
        <v>-99152.84</v>
      </c>
      <c r="G148" s="18">
        <v>0.96675423313953102</v>
      </c>
      <c r="H148" s="10">
        <v>2025</v>
      </c>
    </row>
    <row r="149" spans="1:8" hidden="1" x14ac:dyDescent="0.3">
      <c r="A149" s="16" t="s">
        <v>7</v>
      </c>
      <c r="B149" s="16" t="s">
        <v>193</v>
      </c>
      <c r="C149" s="15">
        <v>9</v>
      </c>
      <c r="D149" s="17">
        <v>3087996</v>
      </c>
      <c r="E149" s="17">
        <v>2738853</v>
      </c>
      <c r="F149" s="17">
        <v>-349143</v>
      </c>
      <c r="G149" s="18">
        <v>0.88693541053809655</v>
      </c>
      <c r="H149" s="10">
        <v>2025</v>
      </c>
    </row>
    <row r="150" spans="1:8" hidden="1" x14ac:dyDescent="0.3">
      <c r="A150" s="16" t="s">
        <v>7</v>
      </c>
      <c r="B150" s="16" t="s">
        <v>193</v>
      </c>
      <c r="C150" s="15">
        <v>10</v>
      </c>
      <c r="D150" s="17">
        <v>3089182</v>
      </c>
      <c r="E150" s="17">
        <v>2741484</v>
      </c>
      <c r="F150" s="17">
        <v>-347698</v>
      </c>
      <c r="G150" s="18">
        <v>0.88744657970945062</v>
      </c>
      <c r="H150" s="10">
        <v>2025</v>
      </c>
    </row>
    <row r="151" spans="1:8" hidden="1" x14ac:dyDescent="0.3">
      <c r="A151" s="16" t="s">
        <v>7</v>
      </c>
      <c r="B151" s="16" t="s">
        <v>194</v>
      </c>
      <c r="C151" s="15">
        <v>1</v>
      </c>
      <c r="D151" s="17">
        <v>5412000</v>
      </c>
      <c r="E151" s="17">
        <v>5750120.2000000002</v>
      </c>
      <c r="F151" s="17">
        <v>338120.2</v>
      </c>
      <c r="G151" s="18">
        <v>1.0624760162601627</v>
      </c>
      <c r="H151" s="10">
        <v>2025</v>
      </c>
    </row>
    <row r="152" spans="1:8" hidden="1" x14ac:dyDescent="0.3">
      <c r="A152" s="16" t="s">
        <v>7</v>
      </c>
      <c r="B152" s="16" t="s">
        <v>194</v>
      </c>
      <c r="C152" s="15">
        <v>2</v>
      </c>
      <c r="D152" s="17">
        <v>6792168</v>
      </c>
      <c r="E152" s="17">
        <v>6605210.7000000002</v>
      </c>
      <c r="F152" s="17">
        <v>-186957.3</v>
      </c>
      <c r="G152" s="18">
        <v>0.97247457660057879</v>
      </c>
      <c r="H152" s="10">
        <v>2025</v>
      </c>
    </row>
    <row r="153" spans="1:8" hidden="1" x14ac:dyDescent="0.3">
      <c r="A153" s="16" t="s">
        <v>7</v>
      </c>
      <c r="B153" s="16" t="s">
        <v>194</v>
      </c>
      <c r="C153" s="15">
        <v>3</v>
      </c>
      <c r="D153" s="17">
        <v>6816168</v>
      </c>
      <c r="E153" s="17">
        <v>7266622.4000000004</v>
      </c>
      <c r="F153" s="17">
        <v>450454.4</v>
      </c>
      <c r="G153" s="18">
        <v>1.0660861645428927</v>
      </c>
      <c r="H153" s="10">
        <v>2025</v>
      </c>
    </row>
    <row r="154" spans="1:8" hidden="1" x14ac:dyDescent="0.3">
      <c r="A154" s="16" t="s">
        <v>7</v>
      </c>
      <c r="B154" s="16" t="s">
        <v>194</v>
      </c>
      <c r="C154" s="15">
        <v>4</v>
      </c>
      <c r="D154" s="17">
        <v>6816168</v>
      </c>
      <c r="E154" s="17">
        <v>7125249.2000000002</v>
      </c>
      <c r="F154" s="17">
        <v>309081.2</v>
      </c>
      <c r="G154" s="18">
        <v>1.0453453025218862</v>
      </c>
      <c r="H154" s="10">
        <v>2025</v>
      </c>
    </row>
    <row r="155" spans="1:8" hidden="1" x14ac:dyDescent="0.3">
      <c r="A155" s="16" t="s">
        <v>7</v>
      </c>
      <c r="B155" s="16" t="s">
        <v>194</v>
      </c>
      <c r="C155" s="15">
        <v>5</v>
      </c>
      <c r="D155" s="17">
        <v>6816168</v>
      </c>
      <c r="E155" s="17">
        <v>6732467.9000000004</v>
      </c>
      <c r="F155" s="17">
        <v>-83700.100000000006</v>
      </c>
      <c r="G155" s="18">
        <v>0.98772035841839578</v>
      </c>
      <c r="H155" s="10">
        <v>2025</v>
      </c>
    </row>
    <row r="156" spans="1:8" hidden="1" x14ac:dyDescent="0.3">
      <c r="A156" s="16" t="s">
        <v>7</v>
      </c>
      <c r="B156" s="16" t="s">
        <v>194</v>
      </c>
      <c r="C156" s="15">
        <v>6</v>
      </c>
      <c r="D156" s="17">
        <v>6816168</v>
      </c>
      <c r="E156" s="17">
        <v>6965620.25</v>
      </c>
      <c r="F156" s="17">
        <v>149452.25</v>
      </c>
      <c r="G156" s="18">
        <v>1.0219261394378778</v>
      </c>
      <c r="H156" s="10">
        <v>2025</v>
      </c>
    </row>
    <row r="157" spans="1:8" hidden="1" x14ac:dyDescent="0.3">
      <c r="A157" s="16" t="s">
        <v>7</v>
      </c>
      <c r="B157" s="16" t="s">
        <v>194</v>
      </c>
      <c r="C157" s="15">
        <v>7</v>
      </c>
      <c r="D157" s="17">
        <v>6816168</v>
      </c>
      <c r="E157" s="17">
        <v>7053687.5</v>
      </c>
      <c r="F157" s="17">
        <v>237519.5</v>
      </c>
      <c r="G157" s="18">
        <v>1.0348464855913175</v>
      </c>
      <c r="H157" s="10">
        <v>2025</v>
      </c>
    </row>
    <row r="158" spans="1:8" hidden="1" x14ac:dyDescent="0.3">
      <c r="A158" s="16" t="s">
        <v>7</v>
      </c>
      <c r="B158" s="16" t="s">
        <v>194</v>
      </c>
      <c r="C158" s="15">
        <v>8</v>
      </c>
      <c r="D158" s="17">
        <v>6816168</v>
      </c>
      <c r="E158" s="17">
        <v>7419470.4500000002</v>
      </c>
      <c r="F158" s="17">
        <v>603302.44999999995</v>
      </c>
      <c r="G158" s="18">
        <v>1.0885105017951435</v>
      </c>
      <c r="H158" s="10">
        <v>2025</v>
      </c>
    </row>
    <row r="159" spans="1:8" hidden="1" x14ac:dyDescent="0.3">
      <c r="A159" s="16" t="s">
        <v>7</v>
      </c>
      <c r="B159" s="16" t="s">
        <v>194</v>
      </c>
      <c r="C159" s="15">
        <v>9</v>
      </c>
      <c r="D159" s="17">
        <v>6816168</v>
      </c>
      <c r="E159" s="17">
        <v>7238120</v>
      </c>
      <c r="F159" s="17">
        <v>421952</v>
      </c>
      <c r="G159" s="18">
        <v>1.0619045774693348</v>
      </c>
      <c r="H159" s="10">
        <v>2025</v>
      </c>
    </row>
    <row r="160" spans="1:8" hidden="1" x14ac:dyDescent="0.3">
      <c r="A160" s="16" t="s">
        <v>7</v>
      </c>
      <c r="B160" s="16" t="s">
        <v>194</v>
      </c>
      <c r="C160" s="15">
        <v>10</v>
      </c>
      <c r="D160" s="17">
        <v>6816168</v>
      </c>
      <c r="E160" s="17">
        <v>7207965</v>
      </c>
      <c r="F160" s="17">
        <v>391797</v>
      </c>
      <c r="G160" s="18">
        <v>1.0574805374515417</v>
      </c>
      <c r="H160" s="10">
        <v>2025</v>
      </c>
    </row>
    <row r="161" spans="1:8" hidden="1" x14ac:dyDescent="0.3">
      <c r="A161" s="16" t="s">
        <v>7</v>
      </c>
      <c r="B161" s="16" t="s">
        <v>195</v>
      </c>
      <c r="C161" s="15">
        <v>1</v>
      </c>
      <c r="D161" s="17">
        <v>1804000</v>
      </c>
      <c r="E161" s="17">
        <v>2041400</v>
      </c>
      <c r="F161" s="17">
        <v>237400</v>
      </c>
      <c r="G161" s="18">
        <v>1.1315964523281596</v>
      </c>
      <c r="H161" s="10">
        <v>2025</v>
      </c>
    </row>
    <row r="162" spans="1:8" hidden="1" x14ac:dyDescent="0.3">
      <c r="A162" s="16" t="s">
        <v>7</v>
      </c>
      <c r="B162" s="16" t="s">
        <v>195</v>
      </c>
      <c r="C162" s="15">
        <v>2</v>
      </c>
      <c r="D162" s="17">
        <v>2264056</v>
      </c>
      <c r="E162" s="17">
        <v>2207900</v>
      </c>
      <c r="F162" s="17">
        <v>-56156</v>
      </c>
      <c r="G162" s="18">
        <v>0.97519672658273471</v>
      </c>
      <c r="H162" s="10">
        <v>2025</v>
      </c>
    </row>
    <row r="163" spans="1:8" hidden="1" x14ac:dyDescent="0.3">
      <c r="A163" s="16" t="s">
        <v>7</v>
      </c>
      <c r="B163" s="16" t="s">
        <v>195</v>
      </c>
      <c r="C163" s="15">
        <v>3</v>
      </c>
      <c r="D163" s="17">
        <v>2272056</v>
      </c>
      <c r="E163" s="17">
        <v>2387282</v>
      </c>
      <c r="F163" s="17">
        <v>115226</v>
      </c>
      <c r="G163" s="18">
        <v>1.0507144190107991</v>
      </c>
      <c r="H163" s="10">
        <v>2025</v>
      </c>
    </row>
    <row r="164" spans="1:8" hidden="1" x14ac:dyDescent="0.3">
      <c r="A164" s="16" t="s">
        <v>7</v>
      </c>
      <c r="B164" s="16" t="s">
        <v>195</v>
      </c>
      <c r="C164" s="15">
        <v>4</v>
      </c>
      <c r="D164" s="17">
        <v>2272056</v>
      </c>
      <c r="E164" s="17">
        <v>2281083</v>
      </c>
      <c r="F164" s="17">
        <v>9027</v>
      </c>
      <c r="G164" s="18">
        <v>1.0039730534810762</v>
      </c>
      <c r="H164" s="10">
        <v>2025</v>
      </c>
    </row>
    <row r="165" spans="1:8" hidden="1" x14ac:dyDescent="0.3">
      <c r="A165" s="16" t="s">
        <v>7</v>
      </c>
      <c r="B165" s="16" t="s">
        <v>195</v>
      </c>
      <c r="C165" s="15">
        <v>5</v>
      </c>
      <c r="D165" s="17">
        <v>2272056</v>
      </c>
      <c r="E165" s="17">
        <v>2294936</v>
      </c>
      <c r="F165" s="17">
        <v>22880</v>
      </c>
      <c r="G165" s="18">
        <v>1.0100701743266891</v>
      </c>
      <c r="H165" s="10">
        <v>2025</v>
      </c>
    </row>
    <row r="166" spans="1:8" hidden="1" x14ac:dyDescent="0.3">
      <c r="A166" s="16" t="s">
        <v>7</v>
      </c>
      <c r="B166" s="16" t="s">
        <v>195</v>
      </c>
      <c r="C166" s="15">
        <v>6</v>
      </c>
      <c r="D166" s="17">
        <v>2272056</v>
      </c>
      <c r="E166" s="17">
        <v>2262386</v>
      </c>
      <c r="F166" s="17">
        <v>-9670</v>
      </c>
      <c r="G166" s="18">
        <v>0.99574394293098412</v>
      </c>
      <c r="H166" s="10">
        <v>2025</v>
      </c>
    </row>
    <row r="167" spans="1:8" hidden="1" x14ac:dyDescent="0.3">
      <c r="A167" s="16" t="s">
        <v>7</v>
      </c>
      <c r="B167" s="16" t="s">
        <v>195</v>
      </c>
      <c r="C167" s="15">
        <v>7</v>
      </c>
      <c r="D167" s="17">
        <v>2272056</v>
      </c>
      <c r="E167" s="17">
        <v>2329352</v>
      </c>
      <c r="F167" s="17">
        <v>57296</v>
      </c>
      <c r="G167" s="18">
        <v>1.0252176882964152</v>
      </c>
      <c r="H167" s="10">
        <v>2025</v>
      </c>
    </row>
    <row r="168" spans="1:8" hidden="1" x14ac:dyDescent="0.3">
      <c r="A168" s="16" t="s">
        <v>7</v>
      </c>
      <c r="B168" s="16" t="s">
        <v>195</v>
      </c>
      <c r="C168" s="15">
        <v>8</v>
      </c>
      <c r="D168" s="17">
        <v>2272056</v>
      </c>
      <c r="E168" s="17">
        <v>2380033</v>
      </c>
      <c r="F168" s="17">
        <v>107977</v>
      </c>
      <c r="G168" s="18">
        <v>1.047523916664026</v>
      </c>
      <c r="H168" s="10">
        <v>2025</v>
      </c>
    </row>
    <row r="169" spans="1:8" hidden="1" x14ac:dyDescent="0.3">
      <c r="A169" s="16" t="s">
        <v>7</v>
      </c>
      <c r="B169" s="16" t="s">
        <v>195</v>
      </c>
      <c r="C169" s="15">
        <v>9</v>
      </c>
      <c r="D169" s="17">
        <v>2272056</v>
      </c>
      <c r="E169" s="17">
        <v>2376840</v>
      </c>
      <c r="F169" s="17">
        <v>104784</v>
      </c>
      <c r="G169" s="18">
        <v>1.0461185815842569</v>
      </c>
      <c r="H169" s="10">
        <v>2025</v>
      </c>
    </row>
    <row r="170" spans="1:8" hidden="1" x14ac:dyDescent="0.3">
      <c r="A170" s="16" t="s">
        <v>7</v>
      </c>
      <c r="B170" s="16" t="s">
        <v>195</v>
      </c>
      <c r="C170" s="15">
        <v>10</v>
      </c>
      <c r="D170" s="17">
        <v>2272056</v>
      </c>
      <c r="E170" s="17">
        <v>2388161</v>
      </c>
      <c r="F170" s="17">
        <v>116105</v>
      </c>
      <c r="G170" s="18">
        <v>1.0511012932779826</v>
      </c>
      <c r="H170" s="10">
        <v>2025</v>
      </c>
    </row>
    <row r="171" spans="1:8" hidden="1" x14ac:dyDescent="0.3">
      <c r="A171" s="16" t="s">
        <v>7</v>
      </c>
      <c r="B171" s="16" t="s">
        <v>196</v>
      </c>
      <c r="C171" s="15">
        <v>1</v>
      </c>
      <c r="D171" s="17">
        <v>744150</v>
      </c>
      <c r="E171" s="17">
        <v>774750</v>
      </c>
      <c r="F171" s="17">
        <v>30600</v>
      </c>
      <c r="G171" s="18">
        <v>1.0411207417859303</v>
      </c>
      <c r="H171" s="10">
        <v>2025</v>
      </c>
    </row>
    <row r="172" spans="1:8" hidden="1" x14ac:dyDescent="0.3">
      <c r="A172" s="16" t="s">
        <v>7</v>
      </c>
      <c r="B172" s="16" t="s">
        <v>196</v>
      </c>
      <c r="C172" s="15">
        <v>2</v>
      </c>
      <c r="D172" s="17">
        <v>933923</v>
      </c>
      <c r="E172" s="17">
        <v>828950</v>
      </c>
      <c r="F172" s="17">
        <v>-104973</v>
      </c>
      <c r="G172" s="18">
        <v>0.88759994132278575</v>
      </c>
      <c r="H172" s="10">
        <v>2025</v>
      </c>
    </row>
    <row r="173" spans="1:8" hidden="1" x14ac:dyDescent="0.3">
      <c r="A173" s="16" t="s">
        <v>7</v>
      </c>
      <c r="B173" s="16" t="s">
        <v>196</v>
      </c>
      <c r="C173" s="15">
        <v>3</v>
      </c>
      <c r="D173" s="17">
        <v>937223</v>
      </c>
      <c r="E173" s="17">
        <v>891898</v>
      </c>
      <c r="F173" s="17">
        <v>-45325</v>
      </c>
      <c r="G173" s="18">
        <v>0.95163904428295087</v>
      </c>
      <c r="H173" s="10">
        <v>2025</v>
      </c>
    </row>
    <row r="174" spans="1:8" hidden="1" x14ac:dyDescent="0.3">
      <c r="A174" s="16" t="s">
        <v>7</v>
      </c>
      <c r="B174" s="16" t="s">
        <v>196</v>
      </c>
      <c r="C174" s="15">
        <v>4</v>
      </c>
      <c r="D174" s="17">
        <v>937223</v>
      </c>
      <c r="E174" s="17">
        <v>832069</v>
      </c>
      <c r="F174" s="17">
        <v>-105154</v>
      </c>
      <c r="G174" s="18">
        <v>0.88780258273644586</v>
      </c>
      <c r="H174" s="10">
        <v>2025</v>
      </c>
    </row>
    <row r="175" spans="1:8" hidden="1" x14ac:dyDescent="0.3">
      <c r="A175" s="16" t="s">
        <v>7</v>
      </c>
      <c r="B175" s="16" t="s">
        <v>196</v>
      </c>
      <c r="C175" s="15">
        <v>5</v>
      </c>
      <c r="D175" s="17">
        <v>937223</v>
      </c>
      <c r="E175" s="17">
        <v>869607</v>
      </c>
      <c r="F175" s="17">
        <v>-67616</v>
      </c>
      <c r="G175" s="18">
        <v>0.92785495020928854</v>
      </c>
      <c r="H175" s="10">
        <v>2025</v>
      </c>
    </row>
    <row r="176" spans="1:8" hidden="1" x14ac:dyDescent="0.3">
      <c r="A176" s="16" t="s">
        <v>7</v>
      </c>
      <c r="B176" s="16" t="s">
        <v>196</v>
      </c>
      <c r="C176" s="15">
        <v>6</v>
      </c>
      <c r="D176" s="17">
        <v>937223</v>
      </c>
      <c r="E176" s="17">
        <v>845976</v>
      </c>
      <c r="F176" s="17">
        <v>-91247</v>
      </c>
      <c r="G176" s="18">
        <v>0.90264110035711886</v>
      </c>
      <c r="H176" s="10">
        <v>2025</v>
      </c>
    </row>
    <row r="177" spans="1:8" hidden="1" x14ac:dyDescent="0.3">
      <c r="A177" s="16" t="s">
        <v>7</v>
      </c>
      <c r="B177" s="16" t="s">
        <v>196</v>
      </c>
      <c r="C177" s="15">
        <v>7</v>
      </c>
      <c r="D177" s="17">
        <v>937223</v>
      </c>
      <c r="E177" s="17">
        <v>903864</v>
      </c>
      <c r="F177" s="17">
        <v>-33359</v>
      </c>
      <c r="G177" s="18">
        <v>0.96440654998863662</v>
      </c>
      <c r="H177" s="10">
        <v>2025</v>
      </c>
    </row>
    <row r="178" spans="1:8" hidden="1" x14ac:dyDescent="0.3">
      <c r="A178" s="16" t="s">
        <v>7</v>
      </c>
      <c r="B178" s="16" t="s">
        <v>196</v>
      </c>
      <c r="C178" s="15">
        <v>8</v>
      </c>
      <c r="D178" s="17">
        <v>937223</v>
      </c>
      <c r="E178" s="17">
        <v>903892</v>
      </c>
      <c r="F178" s="17">
        <v>-33331</v>
      </c>
      <c r="G178" s="18">
        <v>0.96443642548251585</v>
      </c>
      <c r="H178" s="10">
        <v>2025</v>
      </c>
    </row>
    <row r="179" spans="1:8" hidden="1" x14ac:dyDescent="0.3">
      <c r="A179" s="16" t="s">
        <v>7</v>
      </c>
      <c r="B179" s="16" t="s">
        <v>196</v>
      </c>
      <c r="C179" s="15">
        <v>9</v>
      </c>
      <c r="D179" s="17">
        <v>937223</v>
      </c>
      <c r="E179" s="17">
        <v>903893</v>
      </c>
      <c r="F179" s="17">
        <v>-33330</v>
      </c>
      <c r="G179" s="18">
        <v>0.9644374924644401</v>
      </c>
      <c r="H179" s="10">
        <v>2025</v>
      </c>
    </row>
    <row r="180" spans="1:8" hidden="1" x14ac:dyDescent="0.3">
      <c r="A180" s="16" t="s">
        <v>7</v>
      </c>
      <c r="B180" s="16" t="s">
        <v>196</v>
      </c>
      <c r="C180" s="15">
        <v>10</v>
      </c>
      <c r="D180" s="17">
        <v>937223</v>
      </c>
      <c r="E180" s="17">
        <v>903898</v>
      </c>
      <c r="F180" s="17">
        <v>-33325</v>
      </c>
      <c r="G180" s="18">
        <v>0.96444282737406151</v>
      </c>
      <c r="H180" s="10">
        <v>2025</v>
      </c>
    </row>
    <row r="181" spans="1:8" hidden="1" x14ac:dyDescent="0.3">
      <c r="A181" s="16" t="s">
        <v>7</v>
      </c>
      <c r="B181" s="16" t="s">
        <v>197</v>
      </c>
      <c r="C181" s="15">
        <v>1</v>
      </c>
      <c r="D181" s="17">
        <v>518650</v>
      </c>
      <c r="E181" s="17">
        <v>516500</v>
      </c>
      <c r="F181" s="17">
        <v>-2150</v>
      </c>
      <c r="G181" s="18">
        <v>0.9958546225778464</v>
      </c>
      <c r="H181" s="10">
        <v>2025</v>
      </c>
    </row>
    <row r="182" spans="1:8" hidden="1" x14ac:dyDescent="0.3">
      <c r="A182" s="16" t="s">
        <v>7</v>
      </c>
      <c r="B182" s="16" t="s">
        <v>197</v>
      </c>
      <c r="C182" s="15">
        <v>2</v>
      </c>
      <c r="D182" s="17">
        <v>650916</v>
      </c>
      <c r="E182" s="17">
        <v>552300</v>
      </c>
      <c r="F182" s="17">
        <v>-98616</v>
      </c>
      <c r="G182" s="18">
        <v>0.84849658020389729</v>
      </c>
      <c r="H182" s="10">
        <v>2025</v>
      </c>
    </row>
    <row r="183" spans="1:8" hidden="1" x14ac:dyDescent="0.3">
      <c r="A183" s="16" t="s">
        <v>7</v>
      </c>
      <c r="B183" s="16" t="s">
        <v>197</v>
      </c>
      <c r="C183" s="15">
        <v>3</v>
      </c>
      <c r="D183" s="17">
        <v>653216</v>
      </c>
      <c r="E183" s="17">
        <v>594633</v>
      </c>
      <c r="F183" s="17">
        <v>-58583</v>
      </c>
      <c r="G183" s="18">
        <v>0.91031603634938518</v>
      </c>
      <c r="H183" s="10">
        <v>2025</v>
      </c>
    </row>
    <row r="184" spans="1:8" hidden="1" x14ac:dyDescent="0.3">
      <c r="A184" s="16" t="s">
        <v>7</v>
      </c>
      <c r="B184" s="16" t="s">
        <v>197</v>
      </c>
      <c r="C184" s="15">
        <v>4</v>
      </c>
      <c r="D184" s="17">
        <v>653216</v>
      </c>
      <c r="E184" s="17">
        <v>554739</v>
      </c>
      <c r="F184" s="17">
        <v>-98477</v>
      </c>
      <c r="G184" s="18">
        <v>0.84924282320090139</v>
      </c>
      <c r="H184" s="10">
        <v>2025</v>
      </c>
    </row>
    <row r="185" spans="1:8" hidden="1" x14ac:dyDescent="0.3">
      <c r="A185" s="16" t="s">
        <v>7</v>
      </c>
      <c r="B185" s="16" t="s">
        <v>197</v>
      </c>
      <c r="C185" s="15">
        <v>5</v>
      </c>
      <c r="D185" s="17">
        <v>653216</v>
      </c>
      <c r="E185" s="17">
        <v>579726</v>
      </c>
      <c r="F185" s="17">
        <v>-73490</v>
      </c>
      <c r="G185" s="18">
        <v>0.88749510116102492</v>
      </c>
      <c r="H185" s="10">
        <v>2025</v>
      </c>
    </row>
    <row r="186" spans="1:8" hidden="1" x14ac:dyDescent="0.3">
      <c r="A186" s="16" t="s">
        <v>7</v>
      </c>
      <c r="B186" s="16" t="s">
        <v>197</v>
      </c>
      <c r="C186" s="15">
        <v>6</v>
      </c>
      <c r="D186" s="17">
        <v>653216</v>
      </c>
      <c r="E186" s="17">
        <v>563977</v>
      </c>
      <c r="F186" s="17">
        <v>-89239</v>
      </c>
      <c r="G186" s="18">
        <v>0.86338515896732482</v>
      </c>
      <c r="H186" s="10">
        <v>2025</v>
      </c>
    </row>
    <row r="187" spans="1:8" hidden="1" x14ac:dyDescent="0.3">
      <c r="A187" s="16" t="s">
        <v>7</v>
      </c>
      <c r="B187" s="16" t="s">
        <v>197</v>
      </c>
      <c r="C187" s="15">
        <v>7</v>
      </c>
      <c r="D187" s="17">
        <v>653216</v>
      </c>
      <c r="E187" s="17">
        <v>602576</v>
      </c>
      <c r="F187" s="17">
        <v>-50640</v>
      </c>
      <c r="G187" s="18">
        <v>0.92247587321804736</v>
      </c>
      <c r="H187" s="10">
        <v>2025</v>
      </c>
    </row>
    <row r="188" spans="1:8" hidden="1" x14ac:dyDescent="0.3">
      <c r="A188" s="16" t="s">
        <v>7</v>
      </c>
      <c r="B188" s="16" t="s">
        <v>197</v>
      </c>
      <c r="C188" s="15">
        <v>8</v>
      </c>
      <c r="D188" s="17">
        <v>653216</v>
      </c>
      <c r="E188" s="17">
        <v>602621</v>
      </c>
      <c r="F188" s="17">
        <v>-50595</v>
      </c>
      <c r="G188" s="18">
        <v>0.92254476314113554</v>
      </c>
      <c r="H188" s="10">
        <v>2025</v>
      </c>
    </row>
    <row r="189" spans="1:8" hidden="1" x14ac:dyDescent="0.3">
      <c r="A189" s="16" t="s">
        <v>7</v>
      </c>
      <c r="B189" s="16" t="s">
        <v>197</v>
      </c>
      <c r="C189" s="15">
        <v>9</v>
      </c>
      <c r="D189" s="17">
        <v>653216</v>
      </c>
      <c r="E189" s="17">
        <v>602570</v>
      </c>
      <c r="F189" s="17">
        <v>-50646</v>
      </c>
      <c r="G189" s="18">
        <v>0.92246668789496888</v>
      </c>
      <c r="H189" s="10">
        <v>2025</v>
      </c>
    </row>
    <row r="190" spans="1:8" hidden="1" x14ac:dyDescent="0.3">
      <c r="A190" s="16" t="s">
        <v>7</v>
      </c>
      <c r="B190" s="16" t="s">
        <v>197</v>
      </c>
      <c r="C190" s="15">
        <v>10</v>
      </c>
      <c r="D190" s="17">
        <v>653216</v>
      </c>
      <c r="E190" s="17">
        <v>602581</v>
      </c>
      <c r="F190" s="17">
        <v>-50635</v>
      </c>
      <c r="G190" s="18">
        <v>0.92248352765394603</v>
      </c>
      <c r="H190" s="10">
        <v>2025</v>
      </c>
    </row>
    <row r="191" spans="1:8" hidden="1" x14ac:dyDescent="0.3">
      <c r="A191" s="16" t="s">
        <v>7</v>
      </c>
      <c r="B191" s="16" t="s">
        <v>198</v>
      </c>
      <c r="C191" s="15">
        <v>1</v>
      </c>
      <c r="D191" s="17">
        <v>32167</v>
      </c>
      <c r="E191" s="17">
        <v>0</v>
      </c>
      <c r="F191" s="17">
        <v>-32167</v>
      </c>
      <c r="G191" s="18">
        <v>0</v>
      </c>
      <c r="H191" s="10">
        <v>2025</v>
      </c>
    </row>
    <row r="192" spans="1:8" hidden="1" x14ac:dyDescent="0.3">
      <c r="A192" s="16" t="s">
        <v>7</v>
      </c>
      <c r="B192" s="16" t="s">
        <v>198</v>
      </c>
      <c r="C192" s="15">
        <v>2</v>
      </c>
      <c r="D192" s="17">
        <v>32167</v>
      </c>
      <c r="E192" s="17">
        <v>0</v>
      </c>
      <c r="F192" s="17">
        <v>-32167</v>
      </c>
      <c r="G192" s="18">
        <v>0</v>
      </c>
      <c r="H192" s="10">
        <v>2025</v>
      </c>
    </row>
    <row r="193" spans="1:8" hidden="1" x14ac:dyDescent="0.3">
      <c r="A193" s="16" t="s">
        <v>7</v>
      </c>
      <c r="B193" s="16" t="s">
        <v>198</v>
      </c>
      <c r="C193" s="15">
        <v>3</v>
      </c>
      <c r="D193" s="17">
        <v>32167</v>
      </c>
      <c r="E193" s="17">
        <v>0</v>
      </c>
      <c r="F193" s="17">
        <v>-32167</v>
      </c>
      <c r="G193" s="18">
        <v>0</v>
      </c>
      <c r="H193" s="10">
        <v>2025</v>
      </c>
    </row>
    <row r="194" spans="1:8" hidden="1" x14ac:dyDescent="0.3">
      <c r="A194" s="16" t="s">
        <v>7</v>
      </c>
      <c r="B194" s="16" t="s">
        <v>198</v>
      </c>
      <c r="C194" s="15">
        <v>4</v>
      </c>
      <c r="D194" s="17">
        <v>32167</v>
      </c>
      <c r="E194" s="17">
        <v>0</v>
      </c>
      <c r="F194" s="17">
        <v>-32167</v>
      </c>
      <c r="G194" s="18">
        <v>0</v>
      </c>
      <c r="H194" s="10">
        <v>2025</v>
      </c>
    </row>
    <row r="195" spans="1:8" hidden="1" x14ac:dyDescent="0.3">
      <c r="A195" s="16" t="s">
        <v>7</v>
      </c>
      <c r="B195" s="16" t="s">
        <v>198</v>
      </c>
      <c r="C195" s="15">
        <v>5</v>
      </c>
      <c r="D195" s="17">
        <v>32167</v>
      </c>
      <c r="E195" s="17">
        <v>0</v>
      </c>
      <c r="F195" s="17">
        <v>-32167</v>
      </c>
      <c r="G195" s="18">
        <v>0</v>
      </c>
      <c r="H195" s="10">
        <v>2025</v>
      </c>
    </row>
    <row r="196" spans="1:8" hidden="1" x14ac:dyDescent="0.3">
      <c r="A196" s="16" t="s">
        <v>7</v>
      </c>
      <c r="B196" s="16" t="s">
        <v>198</v>
      </c>
      <c r="C196" s="15">
        <v>6</v>
      </c>
      <c r="D196" s="17">
        <v>32167</v>
      </c>
      <c r="E196" s="17">
        <v>0</v>
      </c>
      <c r="F196" s="17">
        <v>-32167</v>
      </c>
      <c r="G196" s="18">
        <v>0</v>
      </c>
      <c r="H196" s="10">
        <v>2025</v>
      </c>
    </row>
    <row r="197" spans="1:8" hidden="1" x14ac:dyDescent="0.3">
      <c r="A197" s="16" t="s">
        <v>7</v>
      </c>
      <c r="B197" s="16" t="s">
        <v>198</v>
      </c>
      <c r="C197" s="15">
        <v>7</v>
      </c>
      <c r="D197" s="17">
        <v>32167</v>
      </c>
      <c r="E197" s="17">
        <v>0</v>
      </c>
      <c r="F197" s="17">
        <v>-32167</v>
      </c>
      <c r="G197" s="18">
        <v>0</v>
      </c>
      <c r="H197" s="10">
        <v>2025</v>
      </c>
    </row>
    <row r="198" spans="1:8" hidden="1" x14ac:dyDescent="0.3">
      <c r="A198" s="16" t="s">
        <v>7</v>
      </c>
      <c r="B198" s="16" t="s">
        <v>198</v>
      </c>
      <c r="C198" s="15">
        <v>8</v>
      </c>
      <c r="D198" s="17">
        <v>32167</v>
      </c>
      <c r="E198" s="17">
        <v>0</v>
      </c>
      <c r="F198" s="17">
        <v>-32167</v>
      </c>
      <c r="G198" s="18">
        <v>0</v>
      </c>
      <c r="H198" s="10">
        <v>2025</v>
      </c>
    </row>
    <row r="199" spans="1:8" hidden="1" x14ac:dyDescent="0.3">
      <c r="A199" s="16" t="s">
        <v>7</v>
      </c>
      <c r="B199" s="16" t="s">
        <v>198</v>
      </c>
      <c r="C199" s="15">
        <v>9</v>
      </c>
      <c r="D199" s="17">
        <v>32167</v>
      </c>
      <c r="E199" s="17">
        <v>0</v>
      </c>
      <c r="F199" s="17">
        <v>-32167</v>
      </c>
      <c r="G199" s="18">
        <v>0</v>
      </c>
      <c r="H199" s="10">
        <v>2025</v>
      </c>
    </row>
    <row r="200" spans="1:8" hidden="1" x14ac:dyDescent="0.3">
      <c r="A200" s="16" t="s">
        <v>7</v>
      </c>
      <c r="B200" s="16" t="s">
        <v>198</v>
      </c>
      <c r="C200" s="15">
        <v>10</v>
      </c>
      <c r="D200" s="17">
        <v>32167</v>
      </c>
      <c r="E200" s="17">
        <v>0</v>
      </c>
      <c r="F200" s="17">
        <v>-32167</v>
      </c>
      <c r="G200" s="18">
        <v>0</v>
      </c>
      <c r="H200" s="10">
        <v>2025</v>
      </c>
    </row>
    <row r="201" spans="1:8" hidden="1" x14ac:dyDescent="0.3">
      <c r="A201" s="16" t="s">
        <v>7</v>
      </c>
      <c r="B201" s="16" t="s">
        <v>199</v>
      </c>
      <c r="C201" s="15">
        <v>1</v>
      </c>
      <c r="D201" s="17">
        <v>70281</v>
      </c>
      <c r="E201" s="17">
        <v>1258400</v>
      </c>
      <c r="F201" s="17">
        <v>1188119</v>
      </c>
      <c r="G201" s="18">
        <v>17.905266003614063</v>
      </c>
      <c r="H201" s="10">
        <v>2025</v>
      </c>
    </row>
    <row r="202" spans="1:8" hidden="1" x14ac:dyDescent="0.3">
      <c r="A202" s="16" t="s">
        <v>7</v>
      </c>
      <c r="B202" s="16" t="s">
        <v>199</v>
      </c>
      <c r="C202" s="15">
        <v>2</v>
      </c>
      <c r="D202" s="17">
        <v>70281</v>
      </c>
      <c r="E202" s="17">
        <v>246516</v>
      </c>
      <c r="F202" s="17">
        <v>176235</v>
      </c>
      <c r="G202" s="18">
        <v>3.5075767277073462</v>
      </c>
      <c r="H202" s="10">
        <v>2025</v>
      </c>
    </row>
    <row r="203" spans="1:8" hidden="1" x14ac:dyDescent="0.3">
      <c r="A203" s="16" t="s">
        <v>7</v>
      </c>
      <c r="B203" s="16" t="s">
        <v>199</v>
      </c>
      <c r="C203" s="15">
        <v>3</v>
      </c>
      <c r="D203" s="17">
        <v>70281</v>
      </c>
      <c r="E203" s="17">
        <v>0</v>
      </c>
      <c r="F203" s="17">
        <v>-70281</v>
      </c>
      <c r="G203" s="18">
        <v>0</v>
      </c>
      <c r="H203" s="10">
        <v>2025</v>
      </c>
    </row>
    <row r="204" spans="1:8" hidden="1" x14ac:dyDescent="0.3">
      <c r="A204" s="16" t="s">
        <v>7</v>
      </c>
      <c r="B204" s="16" t="s">
        <v>199</v>
      </c>
      <c r="C204" s="15">
        <v>4</v>
      </c>
      <c r="D204" s="17">
        <v>70281</v>
      </c>
      <c r="E204" s="17">
        <v>58800</v>
      </c>
      <c r="F204" s="17">
        <v>-11481</v>
      </c>
      <c r="G204" s="18">
        <v>0.83664148205062538</v>
      </c>
      <c r="H204" s="10">
        <v>2025</v>
      </c>
    </row>
    <row r="205" spans="1:8" hidden="1" x14ac:dyDescent="0.3">
      <c r="A205" s="16" t="s">
        <v>7</v>
      </c>
      <c r="B205" s="16" t="s">
        <v>199</v>
      </c>
      <c r="C205" s="15">
        <v>5</v>
      </c>
      <c r="D205" s="17">
        <v>70281</v>
      </c>
      <c r="E205" s="17">
        <v>84800</v>
      </c>
      <c r="F205" s="17">
        <v>14519</v>
      </c>
      <c r="G205" s="18">
        <v>1.2065849945219904</v>
      </c>
      <c r="H205" s="10">
        <v>2025</v>
      </c>
    </row>
    <row r="206" spans="1:8" hidden="1" x14ac:dyDescent="0.3">
      <c r="A206" s="16" t="s">
        <v>7</v>
      </c>
      <c r="B206" s="16" t="s">
        <v>199</v>
      </c>
      <c r="C206" s="15">
        <v>6</v>
      </c>
      <c r="D206" s="17">
        <v>175281</v>
      </c>
      <c r="E206" s="17">
        <v>243000</v>
      </c>
      <c r="F206" s="17">
        <v>67719</v>
      </c>
      <c r="G206" s="18">
        <v>1.3863453540315265</v>
      </c>
      <c r="H206" s="10">
        <v>2025</v>
      </c>
    </row>
    <row r="207" spans="1:8" hidden="1" x14ac:dyDescent="0.3">
      <c r="A207" s="16" t="s">
        <v>7</v>
      </c>
      <c r="B207" s="16" t="s">
        <v>199</v>
      </c>
      <c r="C207" s="15">
        <v>7</v>
      </c>
      <c r="D207" s="17">
        <v>70281</v>
      </c>
      <c r="E207" s="17">
        <v>0</v>
      </c>
      <c r="F207" s="17">
        <v>-70281</v>
      </c>
      <c r="G207" s="18">
        <v>0</v>
      </c>
      <c r="H207" s="10">
        <v>2025</v>
      </c>
    </row>
    <row r="208" spans="1:8" hidden="1" x14ac:dyDescent="0.3">
      <c r="A208" s="16" t="s">
        <v>7</v>
      </c>
      <c r="B208" s="16" t="s">
        <v>199</v>
      </c>
      <c r="C208" s="15">
        <v>8</v>
      </c>
      <c r="D208" s="17">
        <v>70281</v>
      </c>
      <c r="E208" s="17">
        <v>0</v>
      </c>
      <c r="F208" s="17">
        <v>-70281</v>
      </c>
      <c r="G208" s="18">
        <v>0</v>
      </c>
      <c r="H208" s="10">
        <v>2025</v>
      </c>
    </row>
    <row r="209" spans="1:8" hidden="1" x14ac:dyDescent="0.3">
      <c r="A209" s="16" t="s">
        <v>7</v>
      </c>
      <c r="B209" s="16" t="s">
        <v>199</v>
      </c>
      <c r="C209" s="15">
        <v>9</v>
      </c>
      <c r="D209" s="17">
        <v>70281</v>
      </c>
      <c r="E209" s="17">
        <v>0</v>
      </c>
      <c r="F209" s="17">
        <v>-70281</v>
      </c>
      <c r="G209" s="18">
        <v>0</v>
      </c>
      <c r="H209" s="10">
        <v>2025</v>
      </c>
    </row>
    <row r="210" spans="1:8" hidden="1" x14ac:dyDescent="0.3">
      <c r="A210" s="16" t="s">
        <v>7</v>
      </c>
      <c r="B210" s="16" t="s">
        <v>199</v>
      </c>
      <c r="C210" s="15">
        <v>10</v>
      </c>
      <c r="D210" s="17">
        <v>70281</v>
      </c>
      <c r="E210" s="17">
        <v>0</v>
      </c>
      <c r="F210" s="17">
        <v>-70281</v>
      </c>
      <c r="G210" s="18">
        <v>0</v>
      </c>
      <c r="H210" s="10">
        <v>2025</v>
      </c>
    </row>
    <row r="211" spans="1:8" hidden="1" x14ac:dyDescent="0.3">
      <c r="A211" s="16" t="s">
        <v>7</v>
      </c>
      <c r="B211" s="16" t="s">
        <v>200</v>
      </c>
      <c r="C211" s="15">
        <v>1</v>
      </c>
      <c r="D211" s="17">
        <v>11478734</v>
      </c>
      <c r="E211" s="17">
        <v>8747463</v>
      </c>
      <c r="F211" s="17">
        <v>-2731271</v>
      </c>
      <c r="G211" s="18">
        <v>0.76205816773870716</v>
      </c>
      <c r="H211" s="10">
        <v>2025</v>
      </c>
    </row>
    <row r="212" spans="1:8" hidden="1" x14ac:dyDescent="0.3">
      <c r="A212" s="16" t="s">
        <v>7</v>
      </c>
      <c r="B212" s="16" t="s">
        <v>200</v>
      </c>
      <c r="C212" s="15">
        <v>2</v>
      </c>
      <c r="D212" s="17">
        <v>13101973</v>
      </c>
      <c r="E212" s="17">
        <v>13802655</v>
      </c>
      <c r="F212" s="17">
        <v>700682</v>
      </c>
      <c r="G212" s="18">
        <v>1.0534791210453571</v>
      </c>
      <c r="H212" s="10">
        <v>2025</v>
      </c>
    </row>
    <row r="213" spans="1:8" hidden="1" x14ac:dyDescent="0.3">
      <c r="A213" s="16" t="s">
        <v>7</v>
      </c>
      <c r="B213" s="16" t="s">
        <v>200</v>
      </c>
      <c r="C213" s="15">
        <v>3</v>
      </c>
      <c r="D213" s="17">
        <v>19025577</v>
      </c>
      <c r="E213" s="17">
        <v>19955772</v>
      </c>
      <c r="F213" s="17">
        <v>930195</v>
      </c>
      <c r="G213" s="18">
        <v>1.0488918154755569</v>
      </c>
      <c r="H213" s="10">
        <v>2025</v>
      </c>
    </row>
    <row r="214" spans="1:8" hidden="1" x14ac:dyDescent="0.3">
      <c r="A214" s="16" t="s">
        <v>7</v>
      </c>
      <c r="B214" s="16" t="s">
        <v>200</v>
      </c>
      <c r="C214" s="15">
        <v>4</v>
      </c>
      <c r="D214" s="17">
        <v>19025577</v>
      </c>
      <c r="E214" s="17">
        <v>17069281</v>
      </c>
      <c r="F214" s="17">
        <v>-1956296</v>
      </c>
      <c r="G214" s="18">
        <v>0.89717547068349102</v>
      </c>
      <c r="H214" s="10">
        <v>2025</v>
      </c>
    </row>
    <row r="215" spans="1:8" hidden="1" x14ac:dyDescent="0.3">
      <c r="A215" s="16" t="s">
        <v>7</v>
      </c>
      <c r="B215" s="16" t="s">
        <v>200</v>
      </c>
      <c r="C215" s="15">
        <v>5</v>
      </c>
      <c r="D215" s="17">
        <v>18463861</v>
      </c>
      <c r="E215" s="17">
        <v>17212940</v>
      </c>
      <c r="F215" s="17">
        <v>-1250921</v>
      </c>
      <c r="G215" s="18">
        <v>0.9322503023609201</v>
      </c>
      <c r="H215" s="10">
        <v>2025</v>
      </c>
    </row>
    <row r="216" spans="1:8" hidden="1" x14ac:dyDescent="0.3">
      <c r="A216" s="16" t="s">
        <v>7</v>
      </c>
      <c r="B216" s="16" t="s">
        <v>200</v>
      </c>
      <c r="C216" s="15">
        <v>6</v>
      </c>
      <c r="D216" s="17">
        <v>18670809</v>
      </c>
      <c r="E216" s="17">
        <v>19098954</v>
      </c>
      <c r="F216" s="17">
        <v>428145</v>
      </c>
      <c r="G216" s="18">
        <v>1.0229312505955153</v>
      </c>
      <c r="H216" s="10">
        <v>2025</v>
      </c>
    </row>
    <row r="217" spans="1:8" hidden="1" x14ac:dyDescent="0.3">
      <c r="A217" s="16" t="s">
        <v>7</v>
      </c>
      <c r="B217" s="16" t="s">
        <v>200</v>
      </c>
      <c r="C217" s="15">
        <v>7</v>
      </c>
      <c r="D217" s="17">
        <v>18670809</v>
      </c>
      <c r="E217" s="17">
        <v>19075775</v>
      </c>
      <c r="F217" s="17">
        <v>404966</v>
      </c>
      <c r="G217" s="18">
        <v>1.0216897939451901</v>
      </c>
      <c r="H217" s="10">
        <v>2025</v>
      </c>
    </row>
    <row r="218" spans="1:8" hidden="1" x14ac:dyDescent="0.3">
      <c r="A218" s="16" t="s">
        <v>7</v>
      </c>
      <c r="B218" s="16" t="s">
        <v>200</v>
      </c>
      <c r="C218" s="15">
        <v>8</v>
      </c>
      <c r="D218" s="17">
        <v>18670809</v>
      </c>
      <c r="E218" s="17">
        <v>19450948</v>
      </c>
      <c r="F218" s="17">
        <v>780139</v>
      </c>
      <c r="G218" s="18">
        <v>1.0417838884217603</v>
      </c>
      <c r="H218" s="10">
        <v>2025</v>
      </c>
    </row>
    <row r="219" spans="1:8" hidden="1" x14ac:dyDescent="0.3">
      <c r="A219" s="16" t="s">
        <v>7</v>
      </c>
      <c r="B219" s="16" t="s">
        <v>200</v>
      </c>
      <c r="C219" s="15">
        <v>9</v>
      </c>
      <c r="D219" s="17">
        <v>18670809</v>
      </c>
      <c r="E219" s="17">
        <v>18996666</v>
      </c>
      <c r="F219" s="17">
        <v>325857</v>
      </c>
      <c r="G219" s="18">
        <v>1.0174527520473269</v>
      </c>
      <c r="H219" s="10">
        <v>2025</v>
      </c>
    </row>
    <row r="220" spans="1:8" hidden="1" x14ac:dyDescent="0.3">
      <c r="A220" s="16" t="s">
        <v>7</v>
      </c>
      <c r="B220" s="16" t="s">
        <v>200</v>
      </c>
      <c r="C220" s="15">
        <v>10</v>
      </c>
      <c r="D220" s="17">
        <v>18670809</v>
      </c>
      <c r="E220" s="17">
        <v>18114833</v>
      </c>
      <c r="F220" s="17">
        <v>-555976</v>
      </c>
      <c r="G220" s="18">
        <v>0.97022217944600053</v>
      </c>
      <c r="H220" s="10">
        <v>2025</v>
      </c>
    </row>
    <row r="221" spans="1:8" hidden="1" x14ac:dyDescent="0.3">
      <c r="A221" s="16" t="s">
        <v>7</v>
      </c>
      <c r="B221" s="16" t="s">
        <v>201</v>
      </c>
      <c r="C221" s="15">
        <v>1</v>
      </c>
      <c r="D221" s="17">
        <v>2163750</v>
      </c>
      <c r="E221" s="17">
        <v>2163750</v>
      </c>
      <c r="F221" s="17">
        <v>0</v>
      </c>
      <c r="G221" s="18">
        <v>1</v>
      </c>
      <c r="H221" s="10">
        <v>2025</v>
      </c>
    </row>
    <row r="222" spans="1:8" hidden="1" x14ac:dyDescent="0.3">
      <c r="A222" s="16" t="s">
        <v>7</v>
      </c>
      <c r="B222" s="16" t="s">
        <v>201</v>
      </c>
      <c r="C222" s="15">
        <v>2</v>
      </c>
      <c r="D222" s="17">
        <v>1109477</v>
      </c>
      <c r="E222" s="17">
        <v>1120673</v>
      </c>
      <c r="F222" s="17">
        <v>11196</v>
      </c>
      <c r="G222" s="18">
        <v>1.0100912411884158</v>
      </c>
      <c r="H222" s="10">
        <v>2025</v>
      </c>
    </row>
    <row r="223" spans="1:8" hidden="1" x14ac:dyDescent="0.3">
      <c r="A223" s="16" t="s">
        <v>7</v>
      </c>
      <c r="B223" s="16" t="s">
        <v>201</v>
      </c>
      <c r="C223" s="15">
        <v>3</v>
      </c>
      <c r="D223" s="17">
        <v>1605973</v>
      </c>
      <c r="E223" s="17">
        <v>824180</v>
      </c>
      <c r="F223" s="17">
        <v>-781793</v>
      </c>
      <c r="G223" s="18">
        <v>0.51319667267133384</v>
      </c>
      <c r="H223" s="10">
        <v>2025</v>
      </c>
    </row>
    <row r="224" spans="1:8" hidden="1" x14ac:dyDescent="0.3">
      <c r="A224" s="16" t="s">
        <v>7</v>
      </c>
      <c r="B224" s="16" t="s">
        <v>201</v>
      </c>
      <c r="C224" s="15">
        <v>4</v>
      </c>
      <c r="D224" s="17">
        <v>1605973</v>
      </c>
      <c r="E224" s="17">
        <v>1423852</v>
      </c>
      <c r="F224" s="17">
        <v>-182121</v>
      </c>
      <c r="G224" s="18">
        <v>0.88659771988694713</v>
      </c>
      <c r="H224" s="10">
        <v>2025</v>
      </c>
    </row>
    <row r="225" spans="1:8" hidden="1" x14ac:dyDescent="0.3">
      <c r="A225" s="16" t="s">
        <v>7</v>
      </c>
      <c r="B225" s="16" t="s">
        <v>201</v>
      </c>
      <c r="C225" s="15">
        <v>5</v>
      </c>
      <c r="D225" s="17">
        <v>1554141</v>
      </c>
      <c r="E225" s="17">
        <v>1376502</v>
      </c>
      <c r="F225" s="17">
        <v>-177639</v>
      </c>
      <c r="G225" s="18">
        <v>0.88569956007852568</v>
      </c>
      <c r="H225" s="10">
        <v>2025</v>
      </c>
    </row>
    <row r="226" spans="1:8" hidden="1" x14ac:dyDescent="0.3">
      <c r="A226" s="16" t="s">
        <v>7</v>
      </c>
      <c r="B226" s="16" t="s">
        <v>201</v>
      </c>
      <c r="C226" s="15">
        <v>6</v>
      </c>
      <c r="D226" s="17">
        <v>1573237</v>
      </c>
      <c r="E226" s="17">
        <v>1573236</v>
      </c>
      <c r="F226" s="17">
        <v>-1</v>
      </c>
      <c r="G226" s="18">
        <v>0.99999936436786074</v>
      </c>
      <c r="H226" s="10">
        <v>2025</v>
      </c>
    </row>
    <row r="227" spans="1:8" hidden="1" x14ac:dyDescent="0.3">
      <c r="A227" s="16" t="s">
        <v>7</v>
      </c>
      <c r="B227" s="16" t="s">
        <v>201</v>
      </c>
      <c r="C227" s="15">
        <v>7</v>
      </c>
      <c r="D227" s="17">
        <v>1573237</v>
      </c>
      <c r="E227" s="17">
        <v>1571995</v>
      </c>
      <c r="F227" s="17">
        <v>-1242</v>
      </c>
      <c r="G227" s="18">
        <v>0.99921054488293881</v>
      </c>
      <c r="H227" s="10">
        <v>2025</v>
      </c>
    </row>
    <row r="228" spans="1:8" hidden="1" x14ac:dyDescent="0.3">
      <c r="A228" s="16" t="s">
        <v>7</v>
      </c>
      <c r="B228" s="16" t="s">
        <v>201</v>
      </c>
      <c r="C228" s="15">
        <v>8</v>
      </c>
      <c r="D228" s="17">
        <v>1573237</v>
      </c>
      <c r="E228" s="17">
        <v>1531544</v>
      </c>
      <c r="F228" s="17">
        <v>-41693</v>
      </c>
      <c r="G228" s="18">
        <v>0.97349858921446675</v>
      </c>
      <c r="H228" s="10">
        <v>2025</v>
      </c>
    </row>
    <row r="229" spans="1:8" hidden="1" x14ac:dyDescent="0.3">
      <c r="A229" s="16" t="s">
        <v>7</v>
      </c>
      <c r="B229" s="16" t="s">
        <v>201</v>
      </c>
      <c r="C229" s="15">
        <v>9</v>
      </c>
      <c r="D229" s="17">
        <v>1573237</v>
      </c>
      <c r="E229" s="17">
        <v>1566210</v>
      </c>
      <c r="F229" s="17">
        <v>-7027</v>
      </c>
      <c r="G229" s="18">
        <v>0.99553341295685271</v>
      </c>
      <c r="H229" s="10">
        <v>2025</v>
      </c>
    </row>
    <row r="230" spans="1:8" hidden="1" x14ac:dyDescent="0.3">
      <c r="A230" s="16" t="s">
        <v>7</v>
      </c>
      <c r="B230" s="16" t="s">
        <v>201</v>
      </c>
      <c r="C230" s="15">
        <v>10</v>
      </c>
      <c r="D230" s="17">
        <v>1573237</v>
      </c>
      <c r="E230" s="17">
        <v>1516069</v>
      </c>
      <c r="F230" s="17">
        <v>-57168</v>
      </c>
      <c r="G230" s="18">
        <v>0.96366218185816888</v>
      </c>
      <c r="H230" s="10">
        <v>2025</v>
      </c>
    </row>
    <row r="231" spans="1:8" hidden="1" x14ac:dyDescent="0.3">
      <c r="A231" s="16" t="s">
        <v>7</v>
      </c>
      <c r="B231" s="16" t="s">
        <v>202</v>
      </c>
      <c r="C231" s="15">
        <v>1</v>
      </c>
      <c r="D231" s="17">
        <v>293505</v>
      </c>
      <c r="E231" s="17">
        <v>218543</v>
      </c>
      <c r="F231" s="17">
        <v>-74962</v>
      </c>
      <c r="G231" s="18">
        <v>0.74459719595918294</v>
      </c>
      <c r="H231" s="10">
        <v>2025</v>
      </c>
    </row>
    <row r="232" spans="1:8" hidden="1" x14ac:dyDescent="0.3">
      <c r="A232" s="16" t="s">
        <v>7</v>
      </c>
      <c r="B232" s="16" t="s">
        <v>202</v>
      </c>
      <c r="C232" s="15">
        <v>2</v>
      </c>
      <c r="D232" s="17">
        <v>339187</v>
      </c>
      <c r="E232" s="17">
        <v>342610</v>
      </c>
      <c r="F232" s="17">
        <v>3423</v>
      </c>
      <c r="G232" s="18">
        <v>1.010091778281597</v>
      </c>
      <c r="H232" s="10">
        <v>2025</v>
      </c>
    </row>
    <row r="233" spans="1:8" hidden="1" x14ac:dyDescent="0.3">
      <c r="A233" s="16" t="s">
        <v>7</v>
      </c>
      <c r="B233" s="16" t="s">
        <v>202</v>
      </c>
      <c r="C233" s="15">
        <v>3</v>
      </c>
      <c r="D233" s="17">
        <v>490975</v>
      </c>
      <c r="E233" s="17">
        <v>470960</v>
      </c>
      <c r="F233" s="17">
        <v>-20015</v>
      </c>
      <c r="G233" s="18">
        <v>0.95923417689291712</v>
      </c>
      <c r="H233" s="10">
        <v>2025</v>
      </c>
    </row>
    <row r="234" spans="1:8" hidden="1" x14ac:dyDescent="0.3">
      <c r="A234" s="16" t="s">
        <v>7</v>
      </c>
      <c r="B234" s="16" t="s">
        <v>202</v>
      </c>
      <c r="C234" s="15">
        <v>4</v>
      </c>
      <c r="D234" s="17">
        <v>490975</v>
      </c>
      <c r="E234" s="17">
        <v>435298</v>
      </c>
      <c r="F234" s="17">
        <v>-55677</v>
      </c>
      <c r="G234" s="18">
        <v>0.88659911400784153</v>
      </c>
      <c r="H234" s="10">
        <v>2025</v>
      </c>
    </row>
    <row r="235" spans="1:8" hidden="1" x14ac:dyDescent="0.3">
      <c r="A235" s="16" t="s">
        <v>7</v>
      </c>
      <c r="B235" s="16" t="s">
        <v>202</v>
      </c>
      <c r="C235" s="15">
        <v>5</v>
      </c>
      <c r="D235" s="17">
        <v>475129</v>
      </c>
      <c r="E235" s="17">
        <v>420822</v>
      </c>
      <c r="F235" s="17">
        <v>-54307</v>
      </c>
      <c r="G235" s="18">
        <v>0.88570051501802671</v>
      </c>
      <c r="H235" s="10">
        <v>2025</v>
      </c>
    </row>
    <row r="236" spans="1:8" hidden="1" x14ac:dyDescent="0.3">
      <c r="A236" s="16" t="s">
        <v>7</v>
      </c>
      <c r="B236" s="16" t="s">
        <v>202</v>
      </c>
      <c r="C236" s="15">
        <v>6</v>
      </c>
      <c r="D236" s="17">
        <v>480967</v>
      </c>
      <c r="E236" s="17">
        <v>480968</v>
      </c>
      <c r="F236" s="17">
        <v>1</v>
      </c>
      <c r="G236" s="18">
        <v>1.0000020791447231</v>
      </c>
      <c r="H236" s="10">
        <v>2025</v>
      </c>
    </row>
    <row r="237" spans="1:8" hidden="1" x14ac:dyDescent="0.3">
      <c r="A237" s="16" t="s">
        <v>7</v>
      </c>
      <c r="B237" s="16" t="s">
        <v>202</v>
      </c>
      <c r="C237" s="15">
        <v>7</v>
      </c>
      <c r="D237" s="17">
        <v>480967</v>
      </c>
      <c r="E237" s="17">
        <v>480588</v>
      </c>
      <c r="F237" s="17">
        <v>-379</v>
      </c>
      <c r="G237" s="18">
        <v>0.99921200414997291</v>
      </c>
      <c r="H237" s="10">
        <v>2025</v>
      </c>
    </row>
    <row r="238" spans="1:8" hidden="1" x14ac:dyDescent="0.3">
      <c r="A238" s="16" t="s">
        <v>7</v>
      </c>
      <c r="B238" s="16" t="s">
        <v>202</v>
      </c>
      <c r="C238" s="15">
        <v>8</v>
      </c>
      <c r="D238" s="17">
        <v>480967</v>
      </c>
      <c r="E238" s="17">
        <v>468221</v>
      </c>
      <c r="F238" s="17">
        <v>-12746</v>
      </c>
      <c r="G238" s="18">
        <v>0.97349922136030131</v>
      </c>
      <c r="H238" s="10">
        <v>2025</v>
      </c>
    </row>
    <row r="239" spans="1:8" hidden="1" x14ac:dyDescent="0.3">
      <c r="A239" s="16" t="s">
        <v>7</v>
      </c>
      <c r="B239" s="16" t="s">
        <v>202</v>
      </c>
      <c r="C239" s="15">
        <v>9</v>
      </c>
      <c r="D239" s="17">
        <v>480967</v>
      </c>
      <c r="E239" s="17">
        <v>478820</v>
      </c>
      <c r="F239" s="17">
        <v>-2147</v>
      </c>
      <c r="G239" s="18">
        <v>0.99553607627966167</v>
      </c>
      <c r="H239" s="10">
        <v>2025</v>
      </c>
    </row>
    <row r="240" spans="1:8" hidden="1" x14ac:dyDescent="0.3">
      <c r="A240" s="16" t="s">
        <v>7</v>
      </c>
      <c r="B240" s="16" t="s">
        <v>202</v>
      </c>
      <c r="C240" s="15">
        <v>10</v>
      </c>
      <c r="D240" s="17">
        <v>480967</v>
      </c>
      <c r="E240" s="17">
        <v>463491</v>
      </c>
      <c r="F240" s="17">
        <v>-17476</v>
      </c>
      <c r="G240" s="18">
        <v>0.96366486682038477</v>
      </c>
      <c r="H240" s="10">
        <v>2025</v>
      </c>
    </row>
    <row r="241" spans="1:8" hidden="1" x14ac:dyDescent="0.3">
      <c r="A241" s="16" t="s">
        <v>7</v>
      </c>
      <c r="B241" s="16" t="s">
        <v>203</v>
      </c>
      <c r="C241" s="15">
        <v>1</v>
      </c>
      <c r="D241" s="17">
        <v>0</v>
      </c>
      <c r="E241" s="17">
        <v>263862</v>
      </c>
      <c r="F241" s="17">
        <v>263862</v>
      </c>
      <c r="G241" s="18">
        <v>0</v>
      </c>
      <c r="H241" s="10">
        <v>2025</v>
      </c>
    </row>
    <row r="242" spans="1:8" hidden="1" x14ac:dyDescent="0.3">
      <c r="A242" s="16" t="s">
        <v>7</v>
      </c>
      <c r="B242" s="16" t="s">
        <v>203</v>
      </c>
      <c r="C242" s="15">
        <v>2</v>
      </c>
      <c r="D242" s="17">
        <v>658094</v>
      </c>
      <c r="E242" s="17">
        <v>858041</v>
      </c>
      <c r="F242" s="17">
        <v>199947</v>
      </c>
      <c r="G242" s="18">
        <v>1.3038274167520143</v>
      </c>
      <c r="H242" s="10">
        <v>2025</v>
      </c>
    </row>
    <row r="243" spans="1:8" hidden="1" x14ac:dyDescent="0.3">
      <c r="A243" s="16" t="s">
        <v>7</v>
      </c>
      <c r="B243" s="16" t="s">
        <v>203</v>
      </c>
      <c r="C243" s="15">
        <v>3</v>
      </c>
      <c r="D243" s="17">
        <v>250816</v>
      </c>
      <c r="E243" s="17">
        <v>0</v>
      </c>
      <c r="F243" s="17">
        <v>-250816</v>
      </c>
      <c r="G243" s="18">
        <v>0</v>
      </c>
      <c r="H243" s="10">
        <v>2025</v>
      </c>
    </row>
    <row r="244" spans="1:8" hidden="1" x14ac:dyDescent="0.3">
      <c r="A244" s="16" t="s">
        <v>7</v>
      </c>
      <c r="B244" s="16" t="s">
        <v>203</v>
      </c>
      <c r="C244" s="15">
        <v>5</v>
      </c>
      <c r="D244" s="17">
        <v>0</v>
      </c>
      <c r="E244" s="17">
        <v>210770</v>
      </c>
      <c r="F244" s="17">
        <v>210770</v>
      </c>
      <c r="G244" s="18">
        <v>0</v>
      </c>
      <c r="H244" s="10">
        <v>2025</v>
      </c>
    </row>
    <row r="245" spans="1:8" hidden="1" x14ac:dyDescent="0.3">
      <c r="A245" s="16" t="s">
        <v>7</v>
      </c>
      <c r="B245" s="16" t="s">
        <v>203</v>
      </c>
      <c r="C245" s="15">
        <v>8</v>
      </c>
      <c r="D245" s="17">
        <v>250816</v>
      </c>
      <c r="E245" s="17">
        <v>0</v>
      </c>
      <c r="F245" s="17">
        <v>-250816</v>
      </c>
      <c r="G245" s="18">
        <v>0</v>
      </c>
      <c r="H245" s="10">
        <v>2025</v>
      </c>
    </row>
    <row r="246" spans="1:8" hidden="1" x14ac:dyDescent="0.3">
      <c r="A246" s="16" t="s">
        <v>7</v>
      </c>
      <c r="B246" s="16" t="s">
        <v>204</v>
      </c>
      <c r="C246" s="15">
        <v>1</v>
      </c>
      <c r="D246" s="17">
        <v>11325000</v>
      </c>
      <c r="E246" s="17">
        <v>11325000</v>
      </c>
      <c r="F246" s="17">
        <v>0</v>
      </c>
      <c r="G246" s="18">
        <v>1</v>
      </c>
      <c r="H246" s="10">
        <v>2025</v>
      </c>
    </row>
    <row r="247" spans="1:8" hidden="1" x14ac:dyDescent="0.3">
      <c r="A247" s="16" t="s">
        <v>7</v>
      </c>
      <c r="B247" s="16" t="s">
        <v>204</v>
      </c>
      <c r="C247" s="15">
        <v>2</v>
      </c>
      <c r="D247" s="17">
        <v>9178578</v>
      </c>
      <c r="E247" s="17">
        <v>9178578</v>
      </c>
      <c r="F247" s="17">
        <v>0</v>
      </c>
      <c r="G247" s="18">
        <v>1</v>
      </c>
      <c r="H247" s="10">
        <v>2025</v>
      </c>
    </row>
    <row r="248" spans="1:8" hidden="1" x14ac:dyDescent="0.3">
      <c r="A248" s="16" t="s">
        <v>7</v>
      </c>
      <c r="B248" s="16" t="s">
        <v>204</v>
      </c>
      <c r="C248" s="15">
        <v>4</v>
      </c>
      <c r="D248" s="17">
        <v>0</v>
      </c>
      <c r="E248" s="17">
        <v>4169516</v>
      </c>
      <c r="F248" s="17">
        <v>4169516</v>
      </c>
      <c r="G248" s="18">
        <v>0</v>
      </c>
      <c r="H248" s="10">
        <v>2025</v>
      </c>
    </row>
    <row r="249" spans="1:8" hidden="1" x14ac:dyDescent="0.3">
      <c r="A249" s="16" t="s">
        <v>7</v>
      </c>
      <c r="B249" s="16" t="s">
        <v>204</v>
      </c>
      <c r="C249" s="15">
        <v>5</v>
      </c>
      <c r="D249" s="17">
        <v>8990938</v>
      </c>
      <c r="E249" s="17">
        <v>4169516</v>
      </c>
      <c r="F249" s="17">
        <v>-4821422</v>
      </c>
      <c r="G249" s="18">
        <v>0.4637464967503947</v>
      </c>
      <c r="H249" s="10">
        <v>2025</v>
      </c>
    </row>
    <row r="250" spans="1:8" hidden="1" x14ac:dyDescent="0.3">
      <c r="A250" s="16" t="s">
        <v>7</v>
      </c>
      <c r="B250" s="16" t="s">
        <v>204</v>
      </c>
      <c r="C250" s="15">
        <v>7</v>
      </c>
      <c r="D250" s="17">
        <v>0</v>
      </c>
      <c r="E250" s="17">
        <v>12457500</v>
      </c>
      <c r="F250" s="17">
        <v>12457500</v>
      </c>
      <c r="G250" s="18">
        <v>0</v>
      </c>
      <c r="H250" s="10">
        <v>2025</v>
      </c>
    </row>
    <row r="251" spans="1:8" hidden="1" x14ac:dyDescent="0.3">
      <c r="A251" s="16" t="s">
        <v>7</v>
      </c>
      <c r="B251" s="16" t="s">
        <v>187</v>
      </c>
      <c r="C251" s="15">
        <v>11</v>
      </c>
      <c r="D251" s="17">
        <v>2368618</v>
      </c>
      <c r="E251" s="17">
        <v>2367267</v>
      </c>
      <c r="F251" s="17">
        <v>-1351</v>
      </c>
      <c r="G251" s="18">
        <v>0.99942962520761058</v>
      </c>
      <c r="H251" s="10">
        <v>2025</v>
      </c>
    </row>
    <row r="252" spans="1:8" hidden="1" x14ac:dyDescent="0.3">
      <c r="A252" s="16" t="s">
        <v>7</v>
      </c>
      <c r="B252" s="16" t="s">
        <v>202</v>
      </c>
      <c r="C252" s="15">
        <v>11</v>
      </c>
      <c r="D252" s="17">
        <v>480967</v>
      </c>
      <c r="E252" s="17">
        <v>388509</v>
      </c>
      <c r="F252" s="17">
        <v>-92458</v>
      </c>
      <c r="G252" s="18">
        <v>0.80776643719839414</v>
      </c>
      <c r="H252" s="10">
        <v>2025</v>
      </c>
    </row>
    <row r="253" spans="1:8" hidden="1" x14ac:dyDescent="0.3">
      <c r="A253" s="16" t="s">
        <v>7</v>
      </c>
      <c r="B253" s="16" t="s">
        <v>185</v>
      </c>
      <c r="C253" s="15">
        <v>11</v>
      </c>
      <c r="D253" s="17">
        <v>783859</v>
      </c>
      <c r="E253" s="17">
        <v>783411</v>
      </c>
      <c r="F253" s="17">
        <v>-448</v>
      </c>
      <c r="G253" s="18">
        <v>0.99942846864040602</v>
      </c>
      <c r="H253" s="10">
        <v>2025</v>
      </c>
    </row>
    <row r="254" spans="1:8" hidden="1" x14ac:dyDescent="0.3">
      <c r="A254" s="16" t="s">
        <v>7</v>
      </c>
      <c r="B254" s="16" t="s">
        <v>192</v>
      </c>
      <c r="C254" s="15">
        <v>11</v>
      </c>
      <c r="D254" s="17">
        <v>1099294</v>
      </c>
      <c r="E254" s="17">
        <v>937600</v>
      </c>
      <c r="F254" s="17">
        <v>-161694</v>
      </c>
      <c r="G254" s="18">
        <v>0.85291105018311753</v>
      </c>
      <c r="H254" s="10">
        <v>2025</v>
      </c>
    </row>
    <row r="255" spans="1:8" hidden="1" x14ac:dyDescent="0.3">
      <c r="A255" s="16" t="s">
        <v>7</v>
      </c>
      <c r="B255" s="16" t="s">
        <v>195</v>
      </c>
      <c r="C255" s="15">
        <v>11</v>
      </c>
      <c r="D255" s="17">
        <v>2272056</v>
      </c>
      <c r="E255" s="17">
        <v>2298000</v>
      </c>
      <c r="F255" s="17">
        <v>25944</v>
      </c>
      <c r="G255" s="18">
        <v>1.0114187326368718</v>
      </c>
      <c r="H255" s="10">
        <v>2025</v>
      </c>
    </row>
    <row r="256" spans="1:8" hidden="1" x14ac:dyDescent="0.3">
      <c r="A256" s="16" t="s">
        <v>7</v>
      </c>
      <c r="B256" s="16" t="s">
        <v>193</v>
      </c>
      <c r="C256" s="15">
        <v>11</v>
      </c>
      <c r="D256" s="17">
        <v>3053595</v>
      </c>
      <c r="E256" s="17">
        <v>2833850</v>
      </c>
      <c r="F256" s="17">
        <v>-219745</v>
      </c>
      <c r="G256" s="18">
        <v>0.92803728064789215</v>
      </c>
      <c r="H256" s="10">
        <v>2025</v>
      </c>
    </row>
    <row r="257" spans="1:8" hidden="1" x14ac:dyDescent="0.3">
      <c r="A257" s="16" t="s">
        <v>7</v>
      </c>
      <c r="B257" s="16" t="s">
        <v>194</v>
      </c>
      <c r="C257" s="15">
        <v>11</v>
      </c>
      <c r="D257" s="17">
        <v>6816168</v>
      </c>
      <c r="E257" s="17">
        <v>6984400</v>
      </c>
      <c r="F257" s="17">
        <v>168232</v>
      </c>
      <c r="G257" s="18">
        <v>1.0246813165403201</v>
      </c>
      <c r="H257" s="10">
        <v>2025</v>
      </c>
    </row>
    <row r="258" spans="1:8" hidden="1" x14ac:dyDescent="0.3">
      <c r="A258" s="16" t="s">
        <v>7</v>
      </c>
      <c r="B258" s="16" t="s">
        <v>196</v>
      </c>
      <c r="C258" s="15">
        <v>11</v>
      </c>
      <c r="D258" s="17">
        <v>937223</v>
      </c>
      <c r="E258" s="17">
        <v>903800</v>
      </c>
      <c r="F258" s="17">
        <v>-33423</v>
      </c>
      <c r="G258" s="18">
        <v>0.9643382631454841</v>
      </c>
      <c r="H258" s="10">
        <v>2025</v>
      </c>
    </row>
    <row r="259" spans="1:8" hidden="1" x14ac:dyDescent="0.3">
      <c r="A259" s="16" t="s">
        <v>7</v>
      </c>
      <c r="B259" s="16" t="s">
        <v>197</v>
      </c>
      <c r="C259" s="15">
        <v>11</v>
      </c>
      <c r="D259" s="17">
        <v>653216</v>
      </c>
      <c r="E259" s="17">
        <v>602500</v>
      </c>
      <c r="F259" s="17">
        <v>-50716</v>
      </c>
      <c r="G259" s="18">
        <v>0.92235952579238722</v>
      </c>
      <c r="H259" s="10">
        <v>2025</v>
      </c>
    </row>
    <row r="260" spans="1:8" hidden="1" x14ac:dyDescent="0.3">
      <c r="A260" s="16" t="s">
        <v>7</v>
      </c>
      <c r="B260" s="16" t="s">
        <v>180</v>
      </c>
      <c r="C260" s="15">
        <v>11</v>
      </c>
      <c r="D260" s="17">
        <v>600000</v>
      </c>
      <c r="E260" s="17">
        <v>600000</v>
      </c>
      <c r="F260" s="17">
        <v>0</v>
      </c>
      <c r="G260" s="18">
        <v>1</v>
      </c>
      <c r="H260" s="10">
        <v>2025</v>
      </c>
    </row>
    <row r="261" spans="1:8" hidden="1" x14ac:dyDescent="0.3">
      <c r="A261" s="16" t="s">
        <v>7</v>
      </c>
      <c r="B261" s="16" t="s">
        <v>186</v>
      </c>
      <c r="C261" s="15">
        <v>11</v>
      </c>
      <c r="D261" s="17">
        <v>7747710</v>
      </c>
      <c r="E261" s="17">
        <v>7743287</v>
      </c>
      <c r="F261" s="17">
        <v>-4423</v>
      </c>
      <c r="G261" s="18">
        <v>0.99942912163723219</v>
      </c>
      <c r="H261" s="10">
        <v>2025</v>
      </c>
    </row>
    <row r="262" spans="1:8" hidden="1" x14ac:dyDescent="0.3">
      <c r="A262" s="16" t="s">
        <v>7</v>
      </c>
      <c r="B262" s="16" t="s">
        <v>201</v>
      </c>
      <c r="C262" s="15">
        <v>11</v>
      </c>
      <c r="D262" s="17">
        <v>1573237</v>
      </c>
      <c r="E262" s="17">
        <v>1270808</v>
      </c>
      <c r="F262" s="17">
        <v>-302429</v>
      </c>
      <c r="G262" s="18">
        <v>0.8077664077313208</v>
      </c>
      <c r="H262" s="10">
        <v>2025</v>
      </c>
    </row>
    <row r="263" spans="1:8" hidden="1" x14ac:dyDescent="0.3">
      <c r="A263" s="16" t="s">
        <v>7</v>
      </c>
      <c r="B263" s="16" t="s">
        <v>191</v>
      </c>
      <c r="C263" s="15">
        <v>11</v>
      </c>
      <c r="D263" s="17">
        <v>0</v>
      </c>
      <c r="E263" s="17">
        <v>15535000</v>
      </c>
      <c r="F263" s="17">
        <v>15535000</v>
      </c>
      <c r="G263" s="18">
        <v>0</v>
      </c>
      <c r="H263" s="10">
        <v>2025</v>
      </c>
    </row>
    <row r="264" spans="1:8" hidden="1" x14ac:dyDescent="0.3">
      <c r="A264" s="16" t="s">
        <v>7</v>
      </c>
      <c r="B264" s="16" t="s">
        <v>181</v>
      </c>
      <c r="C264" s="15">
        <v>11</v>
      </c>
      <c r="D264" s="17">
        <v>4781536</v>
      </c>
      <c r="E264" s="17">
        <v>4778836</v>
      </c>
      <c r="F264" s="17">
        <v>-2700</v>
      </c>
      <c r="G264" s="18">
        <v>0.99943532789463474</v>
      </c>
      <c r="H264" s="10">
        <v>2025</v>
      </c>
    </row>
    <row r="265" spans="1:8" hidden="1" x14ac:dyDescent="0.3">
      <c r="A265" s="16" t="s">
        <v>7</v>
      </c>
      <c r="B265" s="16" t="s">
        <v>178</v>
      </c>
      <c r="C265" s="15">
        <v>11</v>
      </c>
      <c r="D265" s="17">
        <v>4270500</v>
      </c>
      <c r="E265" s="17">
        <v>3060527</v>
      </c>
      <c r="F265" s="17">
        <v>-1209973</v>
      </c>
      <c r="G265" s="18">
        <v>0.71666713499590218</v>
      </c>
      <c r="H265" s="10">
        <v>2025</v>
      </c>
    </row>
    <row r="266" spans="1:8" hidden="1" x14ac:dyDescent="0.3">
      <c r="A266" s="16" t="s">
        <v>7</v>
      </c>
      <c r="B266" s="16" t="s">
        <v>189</v>
      </c>
      <c r="C266" s="15">
        <v>11</v>
      </c>
      <c r="D266" s="17">
        <v>100626</v>
      </c>
      <c r="E266" s="17">
        <v>0</v>
      </c>
      <c r="F266" s="17">
        <v>-100626</v>
      </c>
      <c r="G266" s="18">
        <v>0</v>
      </c>
      <c r="H266" s="10">
        <v>2025</v>
      </c>
    </row>
    <row r="267" spans="1:8" hidden="1" x14ac:dyDescent="0.3">
      <c r="A267" s="16" t="s">
        <v>7</v>
      </c>
      <c r="B267" s="16" t="s">
        <v>199</v>
      </c>
      <c r="C267" s="15">
        <v>11</v>
      </c>
      <c r="D267" s="17">
        <v>70281</v>
      </c>
      <c r="E267" s="17">
        <v>328270</v>
      </c>
      <c r="F267" s="17">
        <v>257989</v>
      </c>
      <c r="G267" s="18">
        <v>4.670821416883653</v>
      </c>
      <c r="H267" s="10">
        <v>2025</v>
      </c>
    </row>
    <row r="268" spans="1:8" hidden="1" x14ac:dyDescent="0.3">
      <c r="A268" s="16" t="s">
        <v>7</v>
      </c>
      <c r="B268" s="16" t="s">
        <v>198</v>
      </c>
      <c r="C268" s="15">
        <v>11</v>
      </c>
      <c r="D268" s="17">
        <v>32167</v>
      </c>
      <c r="E268" s="17">
        <v>0</v>
      </c>
      <c r="F268" s="17">
        <v>-32167</v>
      </c>
      <c r="G268" s="18">
        <v>0</v>
      </c>
      <c r="H268" s="10">
        <v>2025</v>
      </c>
    </row>
    <row r="269" spans="1:8" hidden="1" x14ac:dyDescent="0.3">
      <c r="A269" s="16" t="s">
        <v>7</v>
      </c>
      <c r="B269" s="16" t="s">
        <v>205</v>
      </c>
      <c r="C269" s="15">
        <v>11</v>
      </c>
      <c r="D269" s="17">
        <v>0</v>
      </c>
      <c r="E269" s="17">
        <v>12131</v>
      </c>
      <c r="F269" s="17">
        <v>12131</v>
      </c>
      <c r="G269" s="18">
        <v>0</v>
      </c>
      <c r="H269" s="10">
        <v>2025</v>
      </c>
    </row>
    <row r="270" spans="1:8" hidden="1" x14ac:dyDescent="0.3">
      <c r="A270" s="16" t="s">
        <v>7</v>
      </c>
      <c r="B270" s="16" t="s">
        <v>179</v>
      </c>
      <c r="C270" s="15">
        <v>11</v>
      </c>
      <c r="D270" s="17">
        <v>0</v>
      </c>
      <c r="E270" s="17">
        <v>763182</v>
      </c>
      <c r="F270" s="17">
        <v>763182</v>
      </c>
      <c r="G270" s="18">
        <v>0</v>
      </c>
      <c r="H270" s="10">
        <v>2025</v>
      </c>
    </row>
    <row r="271" spans="1:8" hidden="1" x14ac:dyDescent="0.3">
      <c r="A271" s="16" t="s">
        <v>7</v>
      </c>
      <c r="B271" s="16" t="s">
        <v>182</v>
      </c>
      <c r="C271" s="15">
        <v>11</v>
      </c>
      <c r="D271" s="17">
        <v>573784</v>
      </c>
      <c r="E271" s="17">
        <v>573690</v>
      </c>
      <c r="F271" s="17">
        <v>-94</v>
      </c>
      <c r="G271" s="18">
        <v>0.99983617528547331</v>
      </c>
      <c r="H271" s="10">
        <v>2025</v>
      </c>
    </row>
    <row r="272" spans="1:8" hidden="1" x14ac:dyDescent="0.3">
      <c r="A272" s="16" t="s">
        <v>7</v>
      </c>
      <c r="B272" s="16" t="s">
        <v>200</v>
      </c>
      <c r="C272" s="15">
        <v>11</v>
      </c>
      <c r="D272" s="17">
        <v>18670809</v>
      </c>
      <c r="E272" s="17">
        <v>15513516</v>
      </c>
      <c r="F272" s="17">
        <v>-3157293</v>
      </c>
      <c r="G272" s="18">
        <v>0.83089682937680953</v>
      </c>
      <c r="H272" s="10">
        <v>2025</v>
      </c>
    </row>
    <row r="273" spans="1:8" hidden="1" x14ac:dyDescent="0.3">
      <c r="A273" s="16" t="s">
        <v>7</v>
      </c>
      <c r="B273" s="16" t="s">
        <v>183</v>
      </c>
      <c r="C273" s="15">
        <v>11</v>
      </c>
      <c r="D273" s="17">
        <v>4781536</v>
      </c>
      <c r="E273" s="17">
        <v>4778836</v>
      </c>
      <c r="F273" s="17">
        <v>-2700</v>
      </c>
      <c r="G273" s="18">
        <v>0.99943532789463474</v>
      </c>
      <c r="H273" s="10">
        <v>2025</v>
      </c>
    </row>
    <row r="274" spans="1:8" hidden="1" x14ac:dyDescent="0.3">
      <c r="A274" s="16" t="s">
        <v>7</v>
      </c>
      <c r="B274" s="16" t="s">
        <v>177</v>
      </c>
      <c r="C274" s="15">
        <v>11</v>
      </c>
      <c r="D274" s="17">
        <v>56801400</v>
      </c>
      <c r="E274" s="17">
        <v>52120800</v>
      </c>
      <c r="F274" s="17">
        <v>-4680600</v>
      </c>
      <c r="G274" s="18">
        <v>0.91759710147989315</v>
      </c>
      <c r="H274" s="10">
        <v>2025</v>
      </c>
    </row>
    <row r="275" spans="1:8" hidden="1" x14ac:dyDescent="0.3">
      <c r="A275" s="16" t="s">
        <v>7</v>
      </c>
      <c r="B275" s="16" t="s">
        <v>184</v>
      </c>
      <c r="C275" s="15">
        <v>11</v>
      </c>
      <c r="D275" s="17">
        <v>2368618</v>
      </c>
      <c r="E275" s="17">
        <v>2367267</v>
      </c>
      <c r="F275" s="17">
        <v>-1351</v>
      </c>
      <c r="G275" s="18">
        <v>0.99942962520761058</v>
      </c>
      <c r="H275" s="10">
        <v>2025</v>
      </c>
    </row>
    <row r="276" spans="1:8" hidden="1" x14ac:dyDescent="0.3">
      <c r="A276" s="16" t="s">
        <v>7</v>
      </c>
      <c r="B276" s="16" t="s">
        <v>177</v>
      </c>
      <c r="C276" s="15">
        <v>12</v>
      </c>
      <c r="D276" s="17">
        <v>56801400</v>
      </c>
      <c r="E276" s="17">
        <v>55605950</v>
      </c>
      <c r="F276" s="17">
        <v>-1195450</v>
      </c>
      <c r="G276" s="18">
        <v>0.97895386381321592</v>
      </c>
      <c r="H276" s="10">
        <v>2025</v>
      </c>
    </row>
    <row r="277" spans="1:8" hidden="1" x14ac:dyDescent="0.3">
      <c r="A277" s="16" t="s">
        <v>7</v>
      </c>
      <c r="B277" s="16" t="s">
        <v>178</v>
      </c>
      <c r="C277" s="15">
        <v>12</v>
      </c>
      <c r="D277" s="17">
        <v>3463850</v>
      </c>
      <c r="E277" s="17">
        <v>4033250</v>
      </c>
      <c r="F277" s="17">
        <v>569400</v>
      </c>
      <c r="G277" s="18">
        <v>1.1643835616438356</v>
      </c>
      <c r="H277" s="10">
        <v>2025</v>
      </c>
    </row>
    <row r="278" spans="1:8" hidden="1" x14ac:dyDescent="0.3">
      <c r="A278" s="16" t="s">
        <v>7</v>
      </c>
      <c r="B278" s="16" t="s">
        <v>179</v>
      </c>
      <c r="C278" s="15">
        <v>12</v>
      </c>
      <c r="D278" s="17">
        <v>0</v>
      </c>
      <c r="E278" s="17">
        <v>47450</v>
      </c>
      <c r="F278" s="17">
        <v>47450</v>
      </c>
      <c r="G278" s="18">
        <v>0</v>
      </c>
      <c r="H278" s="10">
        <v>2025</v>
      </c>
    </row>
    <row r="279" spans="1:8" hidden="1" x14ac:dyDescent="0.3">
      <c r="A279" s="16" t="s">
        <v>7</v>
      </c>
      <c r="B279" s="16" t="s">
        <v>180</v>
      </c>
      <c r="C279" s="15">
        <v>12</v>
      </c>
      <c r="D279" s="17">
        <v>600000</v>
      </c>
      <c r="E279" s="17">
        <v>800000</v>
      </c>
      <c r="F279" s="17">
        <v>200000</v>
      </c>
      <c r="G279" s="18">
        <v>1.3333333333333335</v>
      </c>
      <c r="H279" s="10">
        <v>2025</v>
      </c>
    </row>
    <row r="280" spans="1:8" hidden="1" x14ac:dyDescent="0.3">
      <c r="A280" s="16" t="s">
        <v>7</v>
      </c>
      <c r="B280" s="16" t="s">
        <v>181</v>
      </c>
      <c r="C280" s="15">
        <v>12</v>
      </c>
      <c r="D280" s="17">
        <v>4781536</v>
      </c>
      <c r="E280" s="17">
        <v>7482494</v>
      </c>
      <c r="F280" s="17">
        <v>2700958</v>
      </c>
      <c r="G280" s="18">
        <v>1.5648724593938015</v>
      </c>
      <c r="H280" s="10">
        <v>2025</v>
      </c>
    </row>
    <row r="281" spans="1:8" hidden="1" x14ac:dyDescent="0.3">
      <c r="A281" s="16" t="s">
        <v>7</v>
      </c>
      <c r="B281" s="16" t="s">
        <v>182</v>
      </c>
      <c r="C281" s="15">
        <v>12</v>
      </c>
      <c r="D281" s="17">
        <v>573784</v>
      </c>
      <c r="E281" s="17">
        <v>745499</v>
      </c>
      <c r="F281" s="17">
        <v>171715</v>
      </c>
      <c r="G281" s="18">
        <v>1.2992676686697433</v>
      </c>
      <c r="H281" s="10">
        <v>2025</v>
      </c>
    </row>
    <row r="282" spans="1:8" hidden="1" x14ac:dyDescent="0.3">
      <c r="A282" s="16" t="s">
        <v>7</v>
      </c>
      <c r="B282" s="16" t="s">
        <v>183</v>
      </c>
      <c r="C282" s="15">
        <v>12</v>
      </c>
      <c r="D282" s="17">
        <v>4781536</v>
      </c>
      <c r="E282" s="17">
        <v>6138296</v>
      </c>
      <c r="F282" s="17">
        <v>1356760</v>
      </c>
      <c r="G282" s="18">
        <v>1.283749824324234</v>
      </c>
      <c r="H282" s="10">
        <v>2025</v>
      </c>
    </row>
    <row r="283" spans="1:8" hidden="1" x14ac:dyDescent="0.3">
      <c r="A283" s="16" t="s">
        <v>7</v>
      </c>
      <c r="B283" s="16" t="s">
        <v>184</v>
      </c>
      <c r="C283" s="15">
        <v>12</v>
      </c>
      <c r="D283" s="17">
        <v>2368618</v>
      </c>
      <c r="E283" s="17">
        <v>-1441868</v>
      </c>
      <c r="F283" s="17">
        <v>-3810486</v>
      </c>
      <c r="G283" s="18">
        <v>-0.6087380911569531</v>
      </c>
      <c r="H283" s="10">
        <v>2025</v>
      </c>
    </row>
    <row r="284" spans="1:8" hidden="1" x14ac:dyDescent="0.3">
      <c r="A284" s="16" t="s">
        <v>7</v>
      </c>
      <c r="B284" s="16" t="s">
        <v>185</v>
      </c>
      <c r="C284" s="15">
        <v>12</v>
      </c>
      <c r="D284" s="17">
        <v>783859</v>
      </c>
      <c r="E284" s="17">
        <v>828252</v>
      </c>
      <c r="F284" s="17">
        <v>44393</v>
      </c>
      <c r="G284" s="18">
        <v>1.056633909925127</v>
      </c>
      <c r="H284" s="10">
        <v>2025</v>
      </c>
    </row>
    <row r="285" spans="1:8" hidden="1" x14ac:dyDescent="0.3">
      <c r="A285" s="16" t="s">
        <v>7</v>
      </c>
      <c r="B285" s="16" t="s">
        <v>207</v>
      </c>
      <c r="C285" s="15">
        <v>12</v>
      </c>
      <c r="D285" s="17">
        <v>0</v>
      </c>
      <c r="E285" s="17">
        <v>1500000</v>
      </c>
      <c r="F285" s="17">
        <v>1500000</v>
      </c>
      <c r="G285" s="18">
        <v>0</v>
      </c>
      <c r="H285" s="10">
        <v>2025</v>
      </c>
    </row>
    <row r="286" spans="1:8" hidden="1" x14ac:dyDescent="0.3">
      <c r="A286" s="16" t="s">
        <v>7</v>
      </c>
      <c r="B286" s="16" t="s">
        <v>186</v>
      </c>
      <c r="C286" s="15">
        <v>12</v>
      </c>
      <c r="D286" s="17">
        <v>7747710</v>
      </c>
      <c r="E286" s="17">
        <v>-22405434</v>
      </c>
      <c r="F286" s="17">
        <v>-30153144</v>
      </c>
      <c r="G286" s="18">
        <v>-2.8918782453137766</v>
      </c>
      <c r="H286" s="10">
        <v>2025</v>
      </c>
    </row>
    <row r="287" spans="1:8" hidden="1" x14ac:dyDescent="0.3">
      <c r="A287" s="16" t="s">
        <v>7</v>
      </c>
      <c r="B287" s="16" t="s">
        <v>187</v>
      </c>
      <c r="C287" s="15">
        <v>12</v>
      </c>
      <c r="D287" s="17">
        <v>2368618</v>
      </c>
      <c r="E287" s="17">
        <v>-6185919</v>
      </c>
      <c r="F287" s="17">
        <v>-8554537</v>
      </c>
      <c r="G287" s="18">
        <v>-2.6116152963458017</v>
      </c>
      <c r="H287" s="10">
        <v>2025</v>
      </c>
    </row>
    <row r="288" spans="1:8" hidden="1" x14ac:dyDescent="0.3">
      <c r="A288" s="16" t="s">
        <v>7</v>
      </c>
      <c r="B288" s="16" t="s">
        <v>188</v>
      </c>
      <c r="C288" s="15">
        <v>12</v>
      </c>
      <c r="D288" s="17">
        <v>144663</v>
      </c>
      <c r="E288" s="17">
        <v>86345</v>
      </c>
      <c r="F288" s="17">
        <v>-58318</v>
      </c>
      <c r="G288" s="18">
        <v>0.59686996675030934</v>
      </c>
      <c r="H288" s="10">
        <v>2025</v>
      </c>
    </row>
    <row r="289" spans="1:8" hidden="1" x14ac:dyDescent="0.3">
      <c r="A289" s="16" t="s">
        <v>7</v>
      </c>
      <c r="B289" s="16" t="s">
        <v>189</v>
      </c>
      <c r="C289" s="15">
        <v>12</v>
      </c>
      <c r="D289" s="17">
        <v>100626</v>
      </c>
      <c r="E289" s="17">
        <v>0</v>
      </c>
      <c r="F289" s="17">
        <v>-100626</v>
      </c>
      <c r="G289" s="18">
        <v>0</v>
      </c>
      <c r="H289" s="10">
        <v>2025</v>
      </c>
    </row>
    <row r="290" spans="1:8" hidden="1" x14ac:dyDescent="0.3">
      <c r="A290" s="16" t="s">
        <v>7</v>
      </c>
      <c r="B290" s="16" t="s">
        <v>191</v>
      </c>
      <c r="C290" s="15">
        <v>12</v>
      </c>
      <c r="D290" s="17">
        <v>0</v>
      </c>
      <c r="E290" s="17">
        <v>18917000</v>
      </c>
      <c r="F290" s="17">
        <v>18917000</v>
      </c>
      <c r="G290" s="18">
        <v>0</v>
      </c>
      <c r="H290" s="10">
        <v>2025</v>
      </c>
    </row>
    <row r="291" spans="1:8" hidden="1" x14ac:dyDescent="0.3">
      <c r="A291" s="16" t="s">
        <v>7</v>
      </c>
      <c r="B291" s="16" t="s">
        <v>192</v>
      </c>
      <c r="C291" s="15">
        <v>12</v>
      </c>
      <c r="D291" s="17">
        <v>1084774</v>
      </c>
      <c r="E291" s="17">
        <v>966103</v>
      </c>
      <c r="F291" s="17">
        <v>-118671</v>
      </c>
      <c r="G291" s="18">
        <v>0.89060301961514565</v>
      </c>
      <c r="H291" s="10">
        <v>2025</v>
      </c>
    </row>
    <row r="292" spans="1:8" hidden="1" x14ac:dyDescent="0.3">
      <c r="A292" s="16" t="s">
        <v>7</v>
      </c>
      <c r="B292" s="16" t="s">
        <v>193</v>
      </c>
      <c r="C292" s="15">
        <v>12</v>
      </c>
      <c r="D292" s="17">
        <v>3013262</v>
      </c>
      <c r="E292" s="17">
        <v>2834261</v>
      </c>
      <c r="F292" s="17">
        <v>-179001</v>
      </c>
      <c r="G292" s="18">
        <v>0.94059560701990075</v>
      </c>
      <c r="H292" s="10">
        <v>2025</v>
      </c>
    </row>
    <row r="293" spans="1:8" hidden="1" x14ac:dyDescent="0.3">
      <c r="A293" s="16" t="s">
        <v>7</v>
      </c>
      <c r="B293" s="16" t="s">
        <v>194</v>
      </c>
      <c r="C293" s="15">
        <v>12</v>
      </c>
      <c r="D293" s="17">
        <v>6816168</v>
      </c>
      <c r="E293" s="17">
        <v>7624225</v>
      </c>
      <c r="F293" s="17">
        <v>808057</v>
      </c>
      <c r="G293" s="18">
        <v>1.1185500416069558</v>
      </c>
      <c r="H293" s="10">
        <v>2025</v>
      </c>
    </row>
    <row r="294" spans="1:8" hidden="1" x14ac:dyDescent="0.3">
      <c r="A294" s="16" t="s">
        <v>7</v>
      </c>
      <c r="B294" s="16" t="s">
        <v>195</v>
      </c>
      <c r="C294" s="15">
        <v>12</v>
      </c>
      <c r="D294" s="17">
        <v>2272056</v>
      </c>
      <c r="E294" s="17">
        <v>2465298</v>
      </c>
      <c r="F294" s="17">
        <v>193242</v>
      </c>
      <c r="G294" s="18">
        <v>1.0850516008408244</v>
      </c>
      <c r="H294" s="10">
        <v>2025</v>
      </c>
    </row>
    <row r="295" spans="1:8" hidden="1" x14ac:dyDescent="0.3">
      <c r="A295" s="16" t="s">
        <v>7</v>
      </c>
      <c r="B295" s="16" t="s">
        <v>196</v>
      </c>
      <c r="C295" s="15">
        <v>12</v>
      </c>
      <c r="D295" s="17">
        <v>937223</v>
      </c>
      <c r="E295" s="17">
        <v>944000</v>
      </c>
      <c r="F295" s="17">
        <v>6777</v>
      </c>
      <c r="G295" s="18">
        <v>1.0072309365007048</v>
      </c>
      <c r="H295" s="10">
        <v>2025</v>
      </c>
    </row>
    <row r="296" spans="1:8" hidden="1" x14ac:dyDescent="0.3">
      <c r="A296" s="16" t="s">
        <v>7</v>
      </c>
      <c r="B296" s="16" t="s">
        <v>197</v>
      </c>
      <c r="C296" s="15">
        <v>12</v>
      </c>
      <c r="D296" s="17">
        <v>653216</v>
      </c>
      <c r="E296" s="17">
        <v>727814</v>
      </c>
      <c r="F296" s="17">
        <v>74598</v>
      </c>
      <c r="G296" s="18">
        <v>1.1142011218341255</v>
      </c>
      <c r="H296" s="10">
        <v>2025</v>
      </c>
    </row>
    <row r="297" spans="1:8" hidden="1" x14ac:dyDescent="0.3">
      <c r="A297" s="16" t="s">
        <v>7</v>
      </c>
      <c r="B297" s="16" t="s">
        <v>198</v>
      </c>
      <c r="C297" s="15">
        <v>12</v>
      </c>
      <c r="D297" s="17">
        <v>32167</v>
      </c>
      <c r="E297" s="17">
        <v>0</v>
      </c>
      <c r="F297" s="17">
        <v>-32167</v>
      </c>
      <c r="G297" s="18">
        <v>0</v>
      </c>
      <c r="H297" s="10">
        <v>2025</v>
      </c>
    </row>
    <row r="298" spans="1:8" hidden="1" x14ac:dyDescent="0.3">
      <c r="A298" s="16" t="s">
        <v>7</v>
      </c>
      <c r="B298" s="16" t="s">
        <v>199</v>
      </c>
      <c r="C298" s="15">
        <v>12</v>
      </c>
      <c r="D298" s="17">
        <v>70281</v>
      </c>
      <c r="E298" s="17">
        <v>139000</v>
      </c>
      <c r="F298" s="17">
        <v>68719</v>
      </c>
      <c r="G298" s="18">
        <v>1.977774932058451</v>
      </c>
      <c r="H298" s="10">
        <v>2025</v>
      </c>
    </row>
    <row r="299" spans="1:8" hidden="1" x14ac:dyDescent="0.3">
      <c r="A299" s="16" t="s">
        <v>7</v>
      </c>
      <c r="B299" s="16" t="s">
        <v>200</v>
      </c>
      <c r="C299" s="15">
        <v>12</v>
      </c>
      <c r="D299" s="17">
        <v>18670809</v>
      </c>
      <c r="E299" s="17">
        <v>20443510</v>
      </c>
      <c r="F299" s="17">
        <v>1772701</v>
      </c>
      <c r="G299" s="18">
        <v>1.0949450556748774</v>
      </c>
      <c r="H299" s="10">
        <v>2025</v>
      </c>
    </row>
    <row r="300" spans="1:8" hidden="1" x14ac:dyDescent="0.3">
      <c r="A300" s="16" t="s">
        <v>7</v>
      </c>
      <c r="B300" s="16" t="s">
        <v>201</v>
      </c>
      <c r="C300" s="15">
        <v>12</v>
      </c>
      <c r="D300" s="17">
        <v>1573237</v>
      </c>
      <c r="E300" s="17">
        <v>3895256</v>
      </c>
      <c r="F300" s="17">
        <v>2322019</v>
      </c>
      <c r="G300" s="18">
        <v>2.4759499045598345</v>
      </c>
      <c r="H300" s="10">
        <v>2025</v>
      </c>
    </row>
    <row r="301" spans="1:8" hidden="1" x14ac:dyDescent="0.3">
      <c r="A301" s="16" t="s">
        <v>7</v>
      </c>
      <c r="B301" s="16" t="s">
        <v>202</v>
      </c>
      <c r="C301" s="15">
        <v>12</v>
      </c>
      <c r="D301" s="17">
        <v>480967</v>
      </c>
      <c r="E301" s="17">
        <v>-941630</v>
      </c>
      <c r="F301" s="17">
        <v>-1422597</v>
      </c>
      <c r="G301" s="18">
        <v>-1.9577850455436652</v>
      </c>
      <c r="H301" s="10">
        <v>2025</v>
      </c>
    </row>
    <row r="302" spans="1:8" hidden="1" x14ac:dyDescent="0.3">
      <c r="A302" s="16" t="s">
        <v>77</v>
      </c>
      <c r="B302" s="16" t="s">
        <v>191</v>
      </c>
      <c r="C302" s="15">
        <v>1</v>
      </c>
      <c r="D302" s="17">
        <v>6816000</v>
      </c>
      <c r="E302" s="17">
        <v>6816000</v>
      </c>
      <c r="F302" s="17">
        <v>0</v>
      </c>
      <c r="G302" s="18">
        <v>1</v>
      </c>
      <c r="H302" s="10">
        <v>2025</v>
      </c>
    </row>
    <row r="303" spans="1:8" hidden="1" x14ac:dyDescent="0.3">
      <c r="A303" s="16" t="s">
        <v>77</v>
      </c>
      <c r="B303" s="16" t="s">
        <v>191</v>
      </c>
      <c r="C303" s="15">
        <v>2</v>
      </c>
      <c r="D303" s="17">
        <v>7397000</v>
      </c>
      <c r="E303" s="17">
        <v>7397000</v>
      </c>
      <c r="F303" s="17">
        <v>0</v>
      </c>
      <c r="G303" s="18">
        <v>1</v>
      </c>
      <c r="H303" s="10">
        <v>2025</v>
      </c>
    </row>
    <row r="304" spans="1:8" hidden="1" x14ac:dyDescent="0.3">
      <c r="A304" s="16" t="s">
        <v>77</v>
      </c>
      <c r="B304" s="16" t="s">
        <v>181</v>
      </c>
      <c r="C304" s="15">
        <v>3</v>
      </c>
      <c r="D304" s="17">
        <v>7397000</v>
      </c>
      <c r="E304" s="17">
        <v>7791000</v>
      </c>
      <c r="F304" s="17">
        <v>394000</v>
      </c>
      <c r="G304" s="18">
        <v>1.0532648370961202</v>
      </c>
      <c r="H304" s="10">
        <v>2025</v>
      </c>
    </row>
    <row r="305" spans="1:8" hidden="1" x14ac:dyDescent="0.3">
      <c r="A305" s="16" t="s">
        <v>77</v>
      </c>
      <c r="B305" s="16" t="s">
        <v>181</v>
      </c>
      <c r="C305" s="15">
        <v>4</v>
      </c>
      <c r="D305" s="17">
        <v>7397000</v>
      </c>
      <c r="E305" s="17">
        <v>7397000</v>
      </c>
      <c r="F305" s="17">
        <v>0</v>
      </c>
      <c r="G305" s="18">
        <v>1</v>
      </c>
      <c r="H305" s="10">
        <v>2025</v>
      </c>
    </row>
    <row r="306" spans="1:8" hidden="1" x14ac:dyDescent="0.3">
      <c r="A306" s="16" t="s">
        <v>77</v>
      </c>
      <c r="B306" s="16" t="s">
        <v>181</v>
      </c>
      <c r="C306" s="15">
        <v>5</v>
      </c>
      <c r="D306" s="17">
        <v>7397000</v>
      </c>
      <c r="E306" s="17">
        <v>7149200</v>
      </c>
      <c r="F306" s="17">
        <v>-247800</v>
      </c>
      <c r="G306" s="18">
        <v>0.96649993240502907</v>
      </c>
      <c r="H306" s="10">
        <v>2025</v>
      </c>
    </row>
    <row r="307" spans="1:8" hidden="1" x14ac:dyDescent="0.3">
      <c r="A307" s="16" t="s">
        <v>77</v>
      </c>
      <c r="B307" s="16" t="s">
        <v>181</v>
      </c>
      <c r="C307" s="15">
        <v>6</v>
      </c>
      <c r="D307" s="17">
        <v>7397000</v>
      </c>
      <c r="E307" s="17">
        <v>6034100</v>
      </c>
      <c r="F307" s="17">
        <v>-1362900</v>
      </c>
      <c r="G307" s="18">
        <v>0.81574962822765995</v>
      </c>
      <c r="H307" s="10">
        <v>2025</v>
      </c>
    </row>
    <row r="308" spans="1:8" hidden="1" x14ac:dyDescent="0.3">
      <c r="A308" s="16" t="s">
        <v>77</v>
      </c>
      <c r="B308" s="16" t="s">
        <v>181</v>
      </c>
      <c r="C308" s="15">
        <v>7</v>
      </c>
      <c r="D308" s="17">
        <v>7397000</v>
      </c>
      <c r="E308" s="17">
        <v>7397000</v>
      </c>
      <c r="F308" s="17">
        <v>0</v>
      </c>
      <c r="G308" s="18">
        <v>1</v>
      </c>
      <c r="H308" s="10">
        <v>2025</v>
      </c>
    </row>
    <row r="309" spans="1:8" hidden="1" x14ac:dyDescent="0.3">
      <c r="A309" s="16" t="s">
        <v>77</v>
      </c>
      <c r="B309" s="16" t="s">
        <v>181</v>
      </c>
      <c r="C309" s="15">
        <v>8</v>
      </c>
      <c r="D309" s="17">
        <v>7397000</v>
      </c>
      <c r="E309" s="17">
        <v>6413200</v>
      </c>
      <c r="F309" s="17">
        <v>-983800</v>
      </c>
      <c r="G309" s="18">
        <v>0.8670001351899419</v>
      </c>
      <c r="H309" s="10">
        <v>2025</v>
      </c>
    </row>
    <row r="310" spans="1:8" hidden="1" x14ac:dyDescent="0.3">
      <c r="A310" s="16" t="s">
        <v>77</v>
      </c>
      <c r="B310" s="16" t="s">
        <v>181</v>
      </c>
      <c r="C310" s="15">
        <v>9</v>
      </c>
      <c r="D310" s="17">
        <v>7397000</v>
      </c>
      <c r="E310" s="17">
        <v>7151667</v>
      </c>
      <c r="F310" s="17">
        <v>-245333</v>
      </c>
      <c r="G310" s="18">
        <v>0.96683344599161825</v>
      </c>
      <c r="H310" s="10">
        <v>2025</v>
      </c>
    </row>
    <row r="311" spans="1:8" hidden="1" x14ac:dyDescent="0.3">
      <c r="A311" s="16" t="s">
        <v>77</v>
      </c>
      <c r="B311" s="16" t="s">
        <v>181</v>
      </c>
      <c r="C311" s="15">
        <v>10</v>
      </c>
      <c r="D311" s="17">
        <v>7397000</v>
      </c>
      <c r="E311" s="17">
        <v>7397000</v>
      </c>
      <c r="F311" s="17">
        <v>0</v>
      </c>
      <c r="G311" s="18">
        <v>1</v>
      </c>
      <c r="H311" s="10">
        <v>2025</v>
      </c>
    </row>
    <row r="312" spans="1:8" hidden="1" x14ac:dyDescent="0.3">
      <c r="A312" s="16" t="s">
        <v>77</v>
      </c>
      <c r="B312" s="16" t="s">
        <v>181</v>
      </c>
      <c r="C312" s="15">
        <v>1</v>
      </c>
      <c r="D312" s="17">
        <v>282448</v>
      </c>
      <c r="E312" s="17">
        <v>493026</v>
      </c>
      <c r="F312" s="17">
        <v>210578</v>
      </c>
      <c r="G312" s="18">
        <v>1.7455460828187843</v>
      </c>
      <c r="H312" s="10">
        <v>2025</v>
      </c>
    </row>
    <row r="313" spans="1:8" hidden="1" x14ac:dyDescent="0.3">
      <c r="A313" s="16" t="s">
        <v>77</v>
      </c>
      <c r="B313" s="16" t="s">
        <v>181</v>
      </c>
      <c r="C313" s="15">
        <v>2</v>
      </c>
      <c r="D313" s="17">
        <v>793262</v>
      </c>
      <c r="E313" s="17">
        <v>211241</v>
      </c>
      <c r="F313" s="17">
        <v>-582021</v>
      </c>
      <c r="G313" s="18">
        <v>0.26629411215966481</v>
      </c>
      <c r="H313" s="10">
        <v>2025</v>
      </c>
    </row>
    <row r="314" spans="1:8" hidden="1" x14ac:dyDescent="0.3">
      <c r="A314" s="16" t="s">
        <v>77</v>
      </c>
      <c r="B314" s="16" t="s">
        <v>181</v>
      </c>
      <c r="C314" s="15">
        <v>3</v>
      </c>
      <c r="D314" s="17">
        <v>874108</v>
      </c>
      <c r="E314" s="17">
        <v>1769600</v>
      </c>
      <c r="F314" s="17">
        <v>895492</v>
      </c>
      <c r="G314" s="18">
        <v>2.0244637962357057</v>
      </c>
      <c r="H314" s="10">
        <v>2025</v>
      </c>
    </row>
    <row r="315" spans="1:8" hidden="1" x14ac:dyDescent="0.3">
      <c r="A315" s="16" t="s">
        <v>77</v>
      </c>
      <c r="B315" s="16" t="s">
        <v>181</v>
      </c>
      <c r="C315" s="15">
        <v>4</v>
      </c>
      <c r="D315" s="17">
        <v>641516</v>
      </c>
      <c r="E315" s="17">
        <v>299200</v>
      </c>
      <c r="F315" s="17">
        <v>-342316</v>
      </c>
      <c r="G315" s="18">
        <v>0.46639522630768371</v>
      </c>
      <c r="H315" s="10">
        <v>2025</v>
      </c>
    </row>
    <row r="316" spans="1:8" hidden="1" x14ac:dyDescent="0.3">
      <c r="A316" s="16" t="s">
        <v>77</v>
      </c>
      <c r="B316" s="16" t="s">
        <v>181</v>
      </c>
      <c r="C316" s="15">
        <v>5</v>
      </c>
      <c r="D316" s="17">
        <v>86693</v>
      </c>
      <c r="E316" s="17">
        <v>766400</v>
      </c>
      <c r="F316" s="17">
        <v>679707</v>
      </c>
      <c r="G316" s="18">
        <v>8.8403908043325288</v>
      </c>
      <c r="H316" s="10">
        <v>2025</v>
      </c>
    </row>
    <row r="317" spans="1:8" hidden="1" x14ac:dyDescent="0.3">
      <c r="A317" s="16" t="s">
        <v>77</v>
      </c>
      <c r="B317" s="16" t="s">
        <v>209</v>
      </c>
      <c r="C317" s="15">
        <v>6</v>
      </c>
      <c r="D317" s="17">
        <v>477165</v>
      </c>
      <c r="E317" s="17">
        <v>1024400</v>
      </c>
      <c r="F317" s="17">
        <v>547235</v>
      </c>
      <c r="G317" s="18">
        <v>2.1468464786813786</v>
      </c>
      <c r="H317" s="10">
        <v>2025</v>
      </c>
    </row>
    <row r="318" spans="1:8" hidden="1" x14ac:dyDescent="0.3">
      <c r="A318" s="16" t="s">
        <v>77</v>
      </c>
      <c r="B318" s="16" t="s">
        <v>178</v>
      </c>
      <c r="C318" s="15">
        <v>7</v>
      </c>
      <c r="D318" s="17">
        <v>116901</v>
      </c>
      <c r="E318" s="17">
        <v>712385</v>
      </c>
      <c r="F318" s="17">
        <v>595484</v>
      </c>
      <c r="G318" s="18">
        <v>6.0939170751319489</v>
      </c>
      <c r="H318" s="10">
        <v>2025</v>
      </c>
    </row>
    <row r="319" spans="1:8" hidden="1" x14ac:dyDescent="0.3">
      <c r="A319" s="16" t="s">
        <v>77</v>
      </c>
      <c r="B319" s="16" t="s">
        <v>178</v>
      </c>
      <c r="C319" s="15">
        <v>8</v>
      </c>
      <c r="D319" s="17">
        <v>577488</v>
      </c>
      <c r="E319" s="17">
        <v>673105</v>
      </c>
      <c r="F319" s="17">
        <v>95617</v>
      </c>
      <c r="G319" s="18">
        <v>1.165574003269332</v>
      </c>
      <c r="H319" s="10">
        <v>2025</v>
      </c>
    </row>
    <row r="320" spans="1:8" hidden="1" x14ac:dyDescent="0.3">
      <c r="A320" s="16" t="s">
        <v>77</v>
      </c>
      <c r="B320" s="16" t="s">
        <v>208</v>
      </c>
      <c r="C320" s="15">
        <v>9</v>
      </c>
      <c r="D320" s="17">
        <v>580213</v>
      </c>
      <c r="E320" s="17">
        <v>680884</v>
      </c>
      <c r="F320" s="17">
        <v>100671</v>
      </c>
      <c r="G320" s="18">
        <v>1.1735069707159267</v>
      </c>
      <c r="H320" s="10">
        <v>2025</v>
      </c>
    </row>
    <row r="321" spans="1:8" hidden="1" x14ac:dyDescent="0.3">
      <c r="A321" s="16" t="s">
        <v>77</v>
      </c>
      <c r="B321" s="16" t="s">
        <v>208</v>
      </c>
      <c r="C321" s="15">
        <v>10</v>
      </c>
      <c r="D321" s="17">
        <v>483482</v>
      </c>
      <c r="E321" s="17">
        <v>1826451</v>
      </c>
      <c r="F321" s="17">
        <v>1342969</v>
      </c>
      <c r="G321" s="18">
        <v>3.7777021688501331</v>
      </c>
      <c r="H321" s="10">
        <v>2025</v>
      </c>
    </row>
    <row r="322" spans="1:8" hidden="1" x14ac:dyDescent="0.3">
      <c r="A322" s="16" t="s">
        <v>77</v>
      </c>
      <c r="B322" s="16" t="s">
        <v>208</v>
      </c>
      <c r="C322" s="15">
        <v>8</v>
      </c>
      <c r="D322" s="17">
        <v>0</v>
      </c>
      <c r="E322" s="17">
        <v>165208</v>
      </c>
      <c r="F322" s="17">
        <v>165208</v>
      </c>
      <c r="G322" s="18">
        <v>0</v>
      </c>
      <c r="H322" s="10">
        <v>2025</v>
      </c>
    </row>
    <row r="323" spans="1:8" hidden="1" x14ac:dyDescent="0.3">
      <c r="A323" s="16" t="s">
        <v>77</v>
      </c>
      <c r="B323" s="16" t="s">
        <v>208</v>
      </c>
      <c r="C323" s="15">
        <v>1</v>
      </c>
      <c r="D323" s="17">
        <v>200000</v>
      </c>
      <c r="E323" s="17">
        <v>400000</v>
      </c>
      <c r="F323" s="17">
        <v>200000</v>
      </c>
      <c r="G323" s="18">
        <v>2</v>
      </c>
      <c r="H323" s="10">
        <v>2025</v>
      </c>
    </row>
    <row r="324" spans="1:8" hidden="1" x14ac:dyDescent="0.3">
      <c r="A324" s="16" t="s">
        <v>77</v>
      </c>
      <c r="B324" s="16" t="s">
        <v>208</v>
      </c>
      <c r="C324" s="15">
        <v>2</v>
      </c>
      <c r="D324" s="17">
        <v>200000</v>
      </c>
      <c r="E324" s="17">
        <v>400000</v>
      </c>
      <c r="F324" s="17">
        <v>200000</v>
      </c>
      <c r="G324" s="18">
        <v>2</v>
      </c>
      <c r="H324" s="10">
        <v>2025</v>
      </c>
    </row>
    <row r="325" spans="1:8" hidden="1" x14ac:dyDescent="0.3">
      <c r="A325" s="16" t="s">
        <v>77</v>
      </c>
      <c r="B325" s="16" t="s">
        <v>208</v>
      </c>
      <c r="C325" s="15">
        <v>3</v>
      </c>
      <c r="D325" s="17">
        <v>400000</v>
      </c>
      <c r="E325" s="17">
        <v>400000</v>
      </c>
      <c r="F325" s="17">
        <v>0</v>
      </c>
      <c r="G325" s="18">
        <v>1</v>
      </c>
      <c r="H325" s="10">
        <v>2025</v>
      </c>
    </row>
    <row r="326" spans="1:8" hidden="1" x14ac:dyDescent="0.3">
      <c r="A326" s="16" t="s">
        <v>77</v>
      </c>
      <c r="B326" s="16" t="s">
        <v>189</v>
      </c>
      <c r="C326" s="15">
        <v>4</v>
      </c>
      <c r="D326" s="17">
        <v>400000</v>
      </c>
      <c r="E326" s="17">
        <v>400000</v>
      </c>
      <c r="F326" s="17">
        <v>0</v>
      </c>
      <c r="G326" s="18">
        <v>1</v>
      </c>
      <c r="H326" s="10">
        <v>2025</v>
      </c>
    </row>
    <row r="327" spans="1:8" hidden="1" x14ac:dyDescent="0.3">
      <c r="A327" s="16" t="s">
        <v>77</v>
      </c>
      <c r="B327" s="16" t="s">
        <v>189</v>
      </c>
      <c r="C327" s="15">
        <v>5</v>
      </c>
      <c r="D327" s="17">
        <v>400000</v>
      </c>
      <c r="E327" s="17">
        <v>400000</v>
      </c>
      <c r="F327" s="17">
        <v>0</v>
      </c>
      <c r="G327" s="18">
        <v>1</v>
      </c>
      <c r="H327" s="10">
        <v>2025</v>
      </c>
    </row>
    <row r="328" spans="1:8" hidden="1" x14ac:dyDescent="0.3">
      <c r="A328" s="16" t="s">
        <v>77</v>
      </c>
      <c r="B328" s="16" t="s">
        <v>189</v>
      </c>
      <c r="C328" s="15">
        <v>6</v>
      </c>
      <c r="D328" s="17">
        <v>400000</v>
      </c>
      <c r="E328" s="17">
        <v>400000</v>
      </c>
      <c r="F328" s="17">
        <v>0</v>
      </c>
      <c r="G328" s="18">
        <v>1</v>
      </c>
      <c r="H328" s="10">
        <v>2025</v>
      </c>
    </row>
    <row r="329" spans="1:8" hidden="1" x14ac:dyDescent="0.3">
      <c r="A329" s="16" t="s">
        <v>77</v>
      </c>
      <c r="B329" s="16" t="s">
        <v>189</v>
      </c>
      <c r="C329" s="15">
        <v>7</v>
      </c>
      <c r="D329" s="17">
        <v>400000</v>
      </c>
      <c r="E329" s="17">
        <v>400000</v>
      </c>
      <c r="F329" s="17">
        <v>0</v>
      </c>
      <c r="G329" s="18">
        <v>1</v>
      </c>
      <c r="H329" s="10">
        <v>2025</v>
      </c>
    </row>
    <row r="330" spans="1:8" hidden="1" x14ac:dyDescent="0.3">
      <c r="A330" s="16" t="s">
        <v>77</v>
      </c>
      <c r="B330" s="16" t="s">
        <v>189</v>
      </c>
      <c r="C330" s="15">
        <v>8</v>
      </c>
      <c r="D330" s="17">
        <v>400000</v>
      </c>
      <c r="E330" s="17">
        <v>320000</v>
      </c>
      <c r="F330" s="17">
        <v>-80000</v>
      </c>
      <c r="G330" s="18">
        <v>0.8</v>
      </c>
      <c r="H330" s="10">
        <v>2025</v>
      </c>
    </row>
    <row r="331" spans="1:8" hidden="1" x14ac:dyDescent="0.3">
      <c r="A331" s="16" t="s">
        <v>77</v>
      </c>
      <c r="B331" s="16" t="s">
        <v>189</v>
      </c>
      <c r="C331" s="15">
        <v>9</v>
      </c>
      <c r="D331" s="17">
        <v>400000</v>
      </c>
      <c r="E331" s="17">
        <v>373333</v>
      </c>
      <c r="F331" s="17">
        <v>-26667</v>
      </c>
      <c r="G331" s="18">
        <v>0.93333250000000001</v>
      </c>
      <c r="H331" s="10">
        <v>2025</v>
      </c>
    </row>
    <row r="332" spans="1:8" hidden="1" x14ac:dyDescent="0.3">
      <c r="A332" s="16" t="s">
        <v>77</v>
      </c>
      <c r="B332" s="16" t="s">
        <v>189</v>
      </c>
      <c r="C332" s="15">
        <v>10</v>
      </c>
      <c r="D332" s="17">
        <v>400000</v>
      </c>
      <c r="E332" s="17">
        <v>400000</v>
      </c>
      <c r="F332" s="17">
        <v>0</v>
      </c>
      <c r="G332" s="18">
        <v>1</v>
      </c>
      <c r="H332" s="10">
        <v>2025</v>
      </c>
    </row>
    <row r="333" spans="1:8" hidden="1" x14ac:dyDescent="0.3">
      <c r="A333" s="16" t="s">
        <v>77</v>
      </c>
      <c r="B333" s="16" t="s">
        <v>189</v>
      </c>
      <c r="C333" s="15">
        <v>1</v>
      </c>
      <c r="D333" s="17">
        <v>607960</v>
      </c>
      <c r="E333" s="17">
        <v>642163</v>
      </c>
      <c r="F333" s="17">
        <v>34203</v>
      </c>
      <c r="G333" s="18">
        <v>1.056258635436542</v>
      </c>
      <c r="H333" s="10">
        <v>2025</v>
      </c>
    </row>
    <row r="334" spans="1:8" hidden="1" x14ac:dyDescent="0.3">
      <c r="A334" s="16" t="s">
        <v>77</v>
      </c>
      <c r="B334" s="16" t="s">
        <v>189</v>
      </c>
      <c r="C334" s="15">
        <v>2</v>
      </c>
      <c r="D334" s="17">
        <v>698908</v>
      </c>
      <c r="E334" s="17">
        <v>667087</v>
      </c>
      <c r="F334" s="17">
        <v>-31821</v>
      </c>
      <c r="G334" s="18">
        <v>0.95447040239917136</v>
      </c>
      <c r="H334" s="10">
        <v>2025</v>
      </c>
    </row>
    <row r="335" spans="1:8" hidden="1" x14ac:dyDescent="0.3">
      <c r="A335" s="16" t="s">
        <v>77</v>
      </c>
      <c r="B335" s="16" t="s">
        <v>189</v>
      </c>
      <c r="C335" s="15">
        <v>3</v>
      </c>
      <c r="D335" s="17">
        <v>722303</v>
      </c>
      <c r="E335" s="17">
        <v>829718</v>
      </c>
      <c r="F335" s="17">
        <v>107415</v>
      </c>
      <c r="G335" s="18">
        <v>1.148711828692391</v>
      </c>
      <c r="H335" s="10">
        <v>2025</v>
      </c>
    </row>
    <row r="336" spans="1:8" hidden="1" x14ac:dyDescent="0.3">
      <c r="A336" s="16" t="s">
        <v>77</v>
      </c>
      <c r="B336" s="16" t="s">
        <v>189</v>
      </c>
      <c r="C336" s="15">
        <v>4</v>
      </c>
      <c r="D336" s="17">
        <v>702928</v>
      </c>
      <c r="E336" s="17">
        <v>674413</v>
      </c>
      <c r="F336" s="17">
        <v>-28515</v>
      </c>
      <c r="G336" s="18">
        <v>0.95943396763253141</v>
      </c>
      <c r="H336" s="10">
        <v>2025</v>
      </c>
    </row>
    <row r="337" spans="1:8" hidden="1" x14ac:dyDescent="0.3">
      <c r="A337" s="16" t="s">
        <v>77</v>
      </c>
      <c r="B337" s="16" t="s">
        <v>188</v>
      </c>
      <c r="C337" s="15">
        <v>5</v>
      </c>
      <c r="D337" s="17">
        <v>656711</v>
      </c>
      <c r="E337" s="17">
        <v>713331</v>
      </c>
      <c r="F337" s="17">
        <v>56620</v>
      </c>
      <c r="G337" s="18">
        <v>1.0862175294764365</v>
      </c>
      <c r="H337" s="10">
        <v>2025</v>
      </c>
    </row>
    <row r="338" spans="1:8" hidden="1" x14ac:dyDescent="0.3">
      <c r="A338" s="16" t="s">
        <v>77</v>
      </c>
      <c r="B338" s="16" t="s">
        <v>199</v>
      </c>
      <c r="C338" s="15">
        <v>6</v>
      </c>
      <c r="D338" s="17">
        <v>689237</v>
      </c>
      <c r="E338" s="17">
        <v>734824</v>
      </c>
      <c r="F338" s="17">
        <v>45587</v>
      </c>
      <c r="G338" s="18">
        <v>1.0661412547498177</v>
      </c>
      <c r="H338" s="10">
        <v>2025</v>
      </c>
    </row>
    <row r="339" spans="1:8" hidden="1" x14ac:dyDescent="0.3">
      <c r="A339" s="16" t="s">
        <v>77</v>
      </c>
      <c r="B339" s="16" t="s">
        <v>199</v>
      </c>
      <c r="C339" s="15">
        <v>7</v>
      </c>
      <c r="D339" s="17">
        <v>659227</v>
      </c>
      <c r="E339" s="17">
        <v>708832</v>
      </c>
      <c r="F339" s="17">
        <v>49605</v>
      </c>
      <c r="G339" s="18">
        <v>1.0752472213668434</v>
      </c>
      <c r="H339" s="10">
        <v>2025</v>
      </c>
    </row>
    <row r="340" spans="1:8" hidden="1" x14ac:dyDescent="0.3">
      <c r="A340" s="16" t="s">
        <v>77</v>
      </c>
      <c r="B340" s="16" t="s">
        <v>199</v>
      </c>
      <c r="C340" s="15">
        <v>8</v>
      </c>
      <c r="D340" s="17">
        <v>697594</v>
      </c>
      <c r="E340" s="17">
        <v>718535</v>
      </c>
      <c r="F340" s="17">
        <v>20941</v>
      </c>
      <c r="G340" s="18">
        <v>1.0300188935111254</v>
      </c>
      <c r="H340" s="10">
        <v>2025</v>
      </c>
    </row>
    <row r="341" spans="1:8" hidden="1" x14ac:dyDescent="0.3">
      <c r="A341" s="16" t="s">
        <v>77</v>
      </c>
      <c r="B341" s="16" t="s">
        <v>199</v>
      </c>
      <c r="C341" s="15">
        <v>9</v>
      </c>
      <c r="D341" s="17">
        <v>697821</v>
      </c>
      <c r="E341" s="17">
        <v>683550</v>
      </c>
      <c r="F341" s="17">
        <v>-14271</v>
      </c>
      <c r="G341" s="18">
        <v>0.9795491967137705</v>
      </c>
      <c r="H341" s="10">
        <v>2025</v>
      </c>
    </row>
    <row r="342" spans="1:8" hidden="1" x14ac:dyDescent="0.3">
      <c r="A342" s="16" t="s">
        <v>77</v>
      </c>
      <c r="B342" s="16" t="s">
        <v>199</v>
      </c>
      <c r="C342" s="15">
        <v>10</v>
      </c>
      <c r="D342" s="17">
        <v>689764</v>
      </c>
      <c r="E342" s="17">
        <v>801633</v>
      </c>
      <c r="F342" s="17">
        <v>111869</v>
      </c>
      <c r="G342" s="18">
        <v>1.1621844572926392</v>
      </c>
      <c r="H342" s="10">
        <v>2025</v>
      </c>
    </row>
    <row r="343" spans="1:8" hidden="1" x14ac:dyDescent="0.3">
      <c r="A343" s="16" t="s">
        <v>77</v>
      </c>
      <c r="B343" s="16" t="s">
        <v>199</v>
      </c>
      <c r="C343" s="15">
        <v>1</v>
      </c>
      <c r="D343" s="17">
        <v>72955</v>
      </c>
      <c r="E343" s="17">
        <v>77090</v>
      </c>
      <c r="F343" s="17">
        <v>4135</v>
      </c>
      <c r="G343" s="18">
        <v>1.0566787745870743</v>
      </c>
      <c r="H343" s="10">
        <v>2025</v>
      </c>
    </row>
    <row r="344" spans="1:8" hidden="1" x14ac:dyDescent="0.3">
      <c r="A344" s="16" t="s">
        <v>77</v>
      </c>
      <c r="B344" s="16" t="s">
        <v>199</v>
      </c>
      <c r="C344" s="15">
        <v>2</v>
      </c>
      <c r="D344" s="17">
        <v>83868</v>
      </c>
      <c r="E344" s="17">
        <v>80082</v>
      </c>
      <c r="F344" s="17">
        <v>-3786</v>
      </c>
      <c r="G344" s="18">
        <v>0.95485763342395191</v>
      </c>
      <c r="H344" s="10">
        <v>2025</v>
      </c>
    </row>
    <row r="345" spans="1:8" hidden="1" x14ac:dyDescent="0.3">
      <c r="A345" s="16" t="s">
        <v>77</v>
      </c>
      <c r="B345" s="16" t="s">
        <v>199</v>
      </c>
      <c r="C345" s="15">
        <v>3</v>
      </c>
      <c r="D345" s="17">
        <v>86676</v>
      </c>
      <c r="E345" s="17">
        <v>99606</v>
      </c>
      <c r="F345" s="17">
        <v>12930</v>
      </c>
      <c r="G345" s="18">
        <v>1.1491762425584937</v>
      </c>
      <c r="H345" s="10">
        <v>2025</v>
      </c>
    </row>
    <row r="346" spans="1:8" hidden="1" x14ac:dyDescent="0.3">
      <c r="A346" s="16" t="s">
        <v>77</v>
      </c>
      <c r="B346" s="16" t="s">
        <v>199</v>
      </c>
      <c r="C346" s="15">
        <v>4</v>
      </c>
      <c r="D346" s="17">
        <v>84351</v>
      </c>
      <c r="E346" s="17">
        <v>80962</v>
      </c>
      <c r="F346" s="17">
        <v>-3389</v>
      </c>
      <c r="G346" s="18">
        <v>0.95982264584889332</v>
      </c>
      <c r="H346" s="10">
        <v>2025</v>
      </c>
    </row>
    <row r="347" spans="1:8" hidden="1" x14ac:dyDescent="0.3">
      <c r="A347" s="16" t="s">
        <v>77</v>
      </c>
      <c r="B347" s="16" t="s">
        <v>199</v>
      </c>
      <c r="C347" s="15">
        <v>5</v>
      </c>
      <c r="D347" s="17">
        <v>78805</v>
      </c>
      <c r="E347" s="17">
        <v>85634</v>
      </c>
      <c r="F347" s="17">
        <v>6829</v>
      </c>
      <c r="G347" s="18">
        <v>1.0866569380115476</v>
      </c>
      <c r="H347" s="10">
        <v>2025</v>
      </c>
    </row>
    <row r="348" spans="1:8" hidden="1" x14ac:dyDescent="0.3">
      <c r="A348" s="16" t="s">
        <v>77</v>
      </c>
      <c r="B348" s="16" t="s">
        <v>199</v>
      </c>
      <c r="C348" s="15">
        <v>6</v>
      </c>
      <c r="D348" s="17">
        <v>82708</v>
      </c>
      <c r="E348" s="17">
        <v>88214</v>
      </c>
      <c r="F348" s="17">
        <v>5506</v>
      </c>
      <c r="G348" s="18">
        <v>1.0665715529332109</v>
      </c>
      <c r="H348" s="10">
        <v>2025</v>
      </c>
    </row>
    <row r="349" spans="1:8" hidden="1" x14ac:dyDescent="0.3">
      <c r="A349" s="16" t="s">
        <v>77</v>
      </c>
      <c r="B349" s="16" t="s">
        <v>198</v>
      </c>
      <c r="C349" s="15">
        <v>7</v>
      </c>
      <c r="D349" s="17">
        <v>79107</v>
      </c>
      <c r="E349" s="17">
        <v>85094</v>
      </c>
      <c r="F349" s="17">
        <v>5987</v>
      </c>
      <c r="G349" s="18">
        <v>1.0756823037152212</v>
      </c>
      <c r="H349" s="10">
        <v>2025</v>
      </c>
    </row>
    <row r="350" spans="1:8" hidden="1" x14ac:dyDescent="0.3">
      <c r="A350" s="16" t="s">
        <v>77</v>
      </c>
      <c r="B350" s="16" t="s">
        <v>198</v>
      </c>
      <c r="C350" s="15">
        <v>8</v>
      </c>
      <c r="D350" s="17">
        <v>83711</v>
      </c>
      <c r="E350" s="17">
        <v>86259</v>
      </c>
      <c r="F350" s="17">
        <v>2548</v>
      </c>
      <c r="G350" s="18">
        <v>1.0304380547359369</v>
      </c>
      <c r="H350" s="10">
        <v>2025</v>
      </c>
    </row>
    <row r="351" spans="1:8" hidden="1" x14ac:dyDescent="0.3">
      <c r="A351" s="16" t="s">
        <v>77</v>
      </c>
      <c r="B351" s="16" t="s">
        <v>198</v>
      </c>
      <c r="C351" s="15">
        <v>9</v>
      </c>
      <c r="D351" s="17">
        <v>83738</v>
      </c>
      <c r="E351" s="17">
        <v>82059</v>
      </c>
      <c r="F351" s="17">
        <v>-1679</v>
      </c>
      <c r="G351" s="18">
        <v>0.97994936587929016</v>
      </c>
      <c r="H351" s="10">
        <v>2025</v>
      </c>
    </row>
    <row r="352" spans="1:8" hidden="1" x14ac:dyDescent="0.3">
      <c r="A352" s="16" t="s">
        <v>77</v>
      </c>
      <c r="B352" s="16" t="s">
        <v>198</v>
      </c>
      <c r="C352" s="15">
        <v>10</v>
      </c>
      <c r="D352" s="17">
        <v>82771</v>
      </c>
      <c r="E352" s="17">
        <v>96234</v>
      </c>
      <c r="F352" s="17">
        <v>13463</v>
      </c>
      <c r="G352" s="18">
        <v>1.1626535864010343</v>
      </c>
      <c r="H352" s="10">
        <v>2025</v>
      </c>
    </row>
    <row r="353" spans="1:8" hidden="1" x14ac:dyDescent="0.3">
      <c r="A353" s="16" t="s">
        <v>77</v>
      </c>
      <c r="B353" s="16" t="s">
        <v>205</v>
      </c>
      <c r="C353" s="15">
        <v>1</v>
      </c>
      <c r="D353" s="17">
        <v>607960</v>
      </c>
      <c r="E353" s="17">
        <v>642163</v>
      </c>
      <c r="F353" s="17">
        <v>34203</v>
      </c>
      <c r="G353" s="18">
        <v>1.056258635436542</v>
      </c>
      <c r="H353" s="10">
        <v>2025</v>
      </c>
    </row>
    <row r="354" spans="1:8" hidden="1" x14ac:dyDescent="0.3">
      <c r="A354" s="16" t="s">
        <v>77</v>
      </c>
      <c r="B354" s="16" t="s">
        <v>205</v>
      </c>
      <c r="C354" s="15">
        <v>2</v>
      </c>
      <c r="D354" s="17">
        <v>698908</v>
      </c>
      <c r="E354" s="17">
        <v>667087</v>
      </c>
      <c r="F354" s="17">
        <v>-31821</v>
      </c>
      <c r="G354" s="18">
        <v>0.95447040239917136</v>
      </c>
      <c r="H354" s="10">
        <v>2025</v>
      </c>
    </row>
    <row r="355" spans="1:8" hidden="1" x14ac:dyDescent="0.3">
      <c r="A355" s="16" t="s">
        <v>77</v>
      </c>
      <c r="B355" s="16" t="s">
        <v>205</v>
      </c>
      <c r="C355" s="15">
        <v>3</v>
      </c>
      <c r="D355" s="17">
        <v>722303</v>
      </c>
      <c r="E355" s="17">
        <v>829718</v>
      </c>
      <c r="F355" s="17">
        <v>107415</v>
      </c>
      <c r="G355" s="18">
        <v>1.148711828692391</v>
      </c>
      <c r="H355" s="10">
        <v>2025</v>
      </c>
    </row>
    <row r="356" spans="1:8" hidden="1" x14ac:dyDescent="0.3">
      <c r="A356" s="16" t="s">
        <v>77</v>
      </c>
      <c r="B356" s="16" t="s">
        <v>205</v>
      </c>
      <c r="C356" s="15">
        <v>4</v>
      </c>
      <c r="D356" s="17">
        <v>702928</v>
      </c>
      <c r="E356" s="17">
        <v>674413</v>
      </c>
      <c r="F356" s="17">
        <v>-28515</v>
      </c>
      <c r="G356" s="18">
        <v>0.95943396763253141</v>
      </c>
      <c r="H356" s="10">
        <v>2025</v>
      </c>
    </row>
    <row r="357" spans="1:8" hidden="1" x14ac:dyDescent="0.3">
      <c r="A357" s="16" t="s">
        <v>77</v>
      </c>
      <c r="B357" s="16" t="s">
        <v>205</v>
      </c>
      <c r="C357" s="15">
        <v>5</v>
      </c>
      <c r="D357" s="17">
        <v>656711</v>
      </c>
      <c r="E357" s="17">
        <v>713331</v>
      </c>
      <c r="F357" s="17">
        <v>56620</v>
      </c>
      <c r="G357" s="18">
        <v>1.0862175294764365</v>
      </c>
      <c r="H357" s="10">
        <v>2025</v>
      </c>
    </row>
    <row r="358" spans="1:8" hidden="1" x14ac:dyDescent="0.3">
      <c r="A358" s="16" t="s">
        <v>77</v>
      </c>
      <c r="B358" s="16" t="s">
        <v>205</v>
      </c>
      <c r="C358" s="15">
        <v>6</v>
      </c>
      <c r="D358" s="17">
        <v>689237</v>
      </c>
      <c r="E358" s="17">
        <v>734824</v>
      </c>
      <c r="F358" s="17">
        <v>45587</v>
      </c>
      <c r="G358" s="18">
        <v>1.0661412547498177</v>
      </c>
      <c r="H358" s="10">
        <v>2025</v>
      </c>
    </row>
    <row r="359" spans="1:8" hidden="1" x14ac:dyDescent="0.3">
      <c r="A359" s="16" t="s">
        <v>77</v>
      </c>
      <c r="B359" s="16" t="s">
        <v>205</v>
      </c>
      <c r="C359" s="15">
        <v>7</v>
      </c>
      <c r="D359" s="17">
        <v>659227</v>
      </c>
      <c r="E359" s="17">
        <v>708832</v>
      </c>
      <c r="F359" s="17">
        <v>49605</v>
      </c>
      <c r="G359" s="18">
        <v>1.0752472213668434</v>
      </c>
      <c r="H359" s="10">
        <v>2025</v>
      </c>
    </row>
    <row r="360" spans="1:8" hidden="1" x14ac:dyDescent="0.3">
      <c r="A360" s="16" t="s">
        <v>77</v>
      </c>
      <c r="B360" s="16" t="s">
        <v>205</v>
      </c>
      <c r="C360" s="15">
        <v>8</v>
      </c>
      <c r="D360" s="17">
        <v>697594</v>
      </c>
      <c r="E360" s="17">
        <v>718535</v>
      </c>
      <c r="F360" s="17">
        <v>20941</v>
      </c>
      <c r="G360" s="18">
        <v>1.0300188935111254</v>
      </c>
      <c r="H360" s="10">
        <v>2025</v>
      </c>
    </row>
    <row r="361" spans="1:8" hidden="1" x14ac:dyDescent="0.3">
      <c r="A361" s="16" t="s">
        <v>77</v>
      </c>
      <c r="B361" s="16" t="s">
        <v>179</v>
      </c>
      <c r="C361" s="15">
        <v>9</v>
      </c>
      <c r="D361" s="17">
        <v>697821</v>
      </c>
      <c r="E361" s="17">
        <v>683550</v>
      </c>
      <c r="F361" s="17">
        <v>-14271</v>
      </c>
      <c r="G361" s="18">
        <v>0.9795491967137705</v>
      </c>
      <c r="H361" s="10">
        <v>2025</v>
      </c>
    </row>
    <row r="362" spans="1:8" hidden="1" x14ac:dyDescent="0.3">
      <c r="A362" s="16" t="s">
        <v>77</v>
      </c>
      <c r="B362" s="16" t="s">
        <v>179</v>
      </c>
      <c r="C362" s="15">
        <v>10</v>
      </c>
      <c r="D362" s="17">
        <v>689764</v>
      </c>
      <c r="E362" s="17">
        <v>801633</v>
      </c>
      <c r="F362" s="17">
        <v>111869</v>
      </c>
      <c r="G362" s="18">
        <v>1.1621844572926392</v>
      </c>
      <c r="H362" s="10">
        <v>2025</v>
      </c>
    </row>
    <row r="363" spans="1:8" hidden="1" x14ac:dyDescent="0.3">
      <c r="A363" s="16" t="s">
        <v>77</v>
      </c>
      <c r="B363" s="16" t="s">
        <v>179</v>
      </c>
      <c r="C363" s="15">
        <v>1</v>
      </c>
      <c r="D363" s="17">
        <v>296005</v>
      </c>
      <c r="E363" s="17">
        <v>304788</v>
      </c>
      <c r="F363" s="17">
        <v>8783</v>
      </c>
      <c r="G363" s="18">
        <v>1.0296717960845256</v>
      </c>
      <c r="H363" s="10">
        <v>2025</v>
      </c>
    </row>
    <row r="364" spans="1:8" hidden="1" x14ac:dyDescent="0.3">
      <c r="A364" s="16" t="s">
        <v>77</v>
      </c>
      <c r="B364" s="16" t="s">
        <v>182</v>
      </c>
      <c r="C364" s="15">
        <v>2</v>
      </c>
      <c r="D364" s="17">
        <v>341533</v>
      </c>
      <c r="E364" s="17">
        <v>317264</v>
      </c>
      <c r="F364" s="17">
        <v>-24269</v>
      </c>
      <c r="G364" s="18">
        <v>0.92894098081298149</v>
      </c>
      <c r="H364" s="10">
        <v>2025</v>
      </c>
    </row>
    <row r="365" spans="1:8" hidden="1" x14ac:dyDescent="0.3">
      <c r="A365" s="16" t="s">
        <v>77</v>
      </c>
      <c r="B365" s="16" t="s">
        <v>182</v>
      </c>
      <c r="C365" s="15">
        <v>3</v>
      </c>
      <c r="D365" s="17">
        <v>344905</v>
      </c>
      <c r="E365" s="17">
        <v>398677</v>
      </c>
      <c r="F365" s="17">
        <v>53772</v>
      </c>
      <c r="G365" s="18">
        <v>1.1559037995969905</v>
      </c>
      <c r="H365" s="10">
        <v>2025</v>
      </c>
    </row>
    <row r="366" spans="1:8" hidden="1" x14ac:dyDescent="0.3">
      <c r="A366" s="16" t="s">
        <v>77</v>
      </c>
      <c r="B366" s="16" t="s">
        <v>182</v>
      </c>
      <c r="C366" s="15">
        <v>4</v>
      </c>
      <c r="D366" s="17">
        <v>335206</v>
      </c>
      <c r="E366" s="17">
        <v>320932</v>
      </c>
      <c r="F366" s="17">
        <v>-14274</v>
      </c>
      <c r="G366" s="18">
        <v>0.95741723000184964</v>
      </c>
      <c r="H366" s="10">
        <v>2025</v>
      </c>
    </row>
    <row r="367" spans="1:8" hidden="1" x14ac:dyDescent="0.3">
      <c r="A367" s="16" t="s">
        <v>77</v>
      </c>
      <c r="B367" s="16" t="s">
        <v>182</v>
      </c>
      <c r="C367" s="15">
        <v>5</v>
      </c>
      <c r="D367" s="17">
        <v>312069</v>
      </c>
      <c r="E367" s="17">
        <v>340414</v>
      </c>
      <c r="F367" s="17">
        <v>28345</v>
      </c>
      <c r="G367" s="18">
        <v>1.0908292717315722</v>
      </c>
      <c r="H367" s="10">
        <v>2025</v>
      </c>
    </row>
    <row r="368" spans="1:8" hidden="1" x14ac:dyDescent="0.3">
      <c r="A368" s="16" t="s">
        <v>77</v>
      </c>
      <c r="B368" s="16" t="s">
        <v>182</v>
      </c>
      <c r="C368" s="15">
        <v>6</v>
      </c>
      <c r="D368" s="17">
        <v>328352</v>
      </c>
      <c r="E368" s="17">
        <v>351172</v>
      </c>
      <c r="F368" s="17">
        <v>22820</v>
      </c>
      <c r="G368" s="18">
        <v>1.0694985868823701</v>
      </c>
      <c r="H368" s="10">
        <v>2025</v>
      </c>
    </row>
    <row r="369" spans="1:8" hidden="1" x14ac:dyDescent="0.3">
      <c r="A369" s="16" t="s">
        <v>77</v>
      </c>
      <c r="B369" s="16" t="s">
        <v>182</v>
      </c>
      <c r="C369" s="15">
        <v>7</v>
      </c>
      <c r="D369" s="17">
        <v>313329</v>
      </c>
      <c r="E369" s="17">
        <v>338161</v>
      </c>
      <c r="F369" s="17">
        <v>24832</v>
      </c>
      <c r="G369" s="18">
        <v>1.0792521598702962</v>
      </c>
      <c r="H369" s="10">
        <v>2025</v>
      </c>
    </row>
    <row r="370" spans="1:8" hidden="1" x14ac:dyDescent="0.3">
      <c r="A370" s="16" t="s">
        <v>77</v>
      </c>
      <c r="B370" s="16" t="s">
        <v>182</v>
      </c>
      <c r="C370" s="15">
        <v>8</v>
      </c>
      <c r="D370" s="17">
        <v>332536</v>
      </c>
      <c r="E370" s="17">
        <v>346355</v>
      </c>
      <c r="F370" s="17">
        <v>13819</v>
      </c>
      <c r="G370" s="18">
        <v>1.0415564029157747</v>
      </c>
      <c r="H370" s="10">
        <v>2025</v>
      </c>
    </row>
    <row r="371" spans="1:8" hidden="1" x14ac:dyDescent="0.3">
      <c r="A371" s="16" t="s">
        <v>77</v>
      </c>
      <c r="B371" s="16" t="s">
        <v>182</v>
      </c>
      <c r="C371" s="15">
        <v>9</v>
      </c>
      <c r="D371" s="17">
        <v>332649</v>
      </c>
      <c r="E371" s="17">
        <v>326618</v>
      </c>
      <c r="F371" s="17">
        <v>-6031</v>
      </c>
      <c r="G371" s="18">
        <v>0.98186977865557989</v>
      </c>
      <c r="H371" s="10">
        <v>2025</v>
      </c>
    </row>
    <row r="372" spans="1:8" hidden="1" x14ac:dyDescent="0.3">
      <c r="A372" s="16" t="s">
        <v>77</v>
      </c>
      <c r="B372" s="16" t="s">
        <v>182</v>
      </c>
      <c r="C372" s="15">
        <v>10</v>
      </c>
      <c r="D372" s="17">
        <v>328616</v>
      </c>
      <c r="E372" s="17">
        <v>384618</v>
      </c>
      <c r="F372" s="17">
        <v>56002</v>
      </c>
      <c r="G372" s="18">
        <v>1.1704177520266816</v>
      </c>
      <c r="H372" s="10">
        <v>2025</v>
      </c>
    </row>
    <row r="373" spans="1:8" hidden="1" x14ac:dyDescent="0.3">
      <c r="A373" s="16" t="s">
        <v>77</v>
      </c>
      <c r="B373" s="16" t="s">
        <v>182</v>
      </c>
      <c r="C373" s="15">
        <v>1</v>
      </c>
      <c r="D373" s="17">
        <v>97958</v>
      </c>
      <c r="E373" s="17">
        <v>100865</v>
      </c>
      <c r="F373" s="17">
        <v>2907</v>
      </c>
      <c r="G373" s="18">
        <v>1.0296759835848017</v>
      </c>
      <c r="H373" s="10">
        <v>2025</v>
      </c>
    </row>
    <row r="374" spans="1:8" hidden="1" x14ac:dyDescent="0.3">
      <c r="A374" s="16" t="s">
        <v>77</v>
      </c>
      <c r="B374" s="16" t="s">
        <v>182</v>
      </c>
      <c r="C374" s="15">
        <v>2</v>
      </c>
      <c r="D374" s="17">
        <v>113025</v>
      </c>
      <c r="E374" s="17">
        <v>104994</v>
      </c>
      <c r="F374" s="17">
        <v>-8031</v>
      </c>
      <c r="G374" s="18">
        <v>0.92894492368944925</v>
      </c>
      <c r="H374" s="10">
        <v>2025</v>
      </c>
    </row>
    <row r="375" spans="1:8" hidden="1" x14ac:dyDescent="0.3">
      <c r="A375" s="16" t="s">
        <v>77</v>
      </c>
      <c r="B375" s="16" t="s">
        <v>182</v>
      </c>
      <c r="C375" s="15">
        <v>3</v>
      </c>
      <c r="D375" s="17">
        <v>114141</v>
      </c>
      <c r="E375" s="17">
        <v>131937</v>
      </c>
      <c r="F375" s="17">
        <v>17796</v>
      </c>
      <c r="G375" s="18">
        <v>1.1559124241070255</v>
      </c>
      <c r="H375" s="10">
        <v>2025</v>
      </c>
    </row>
    <row r="376" spans="1:8" hidden="1" x14ac:dyDescent="0.3">
      <c r="A376" s="16" t="s">
        <v>77</v>
      </c>
      <c r="B376" s="16" t="s">
        <v>182</v>
      </c>
      <c r="C376" s="15">
        <v>4</v>
      </c>
      <c r="D376" s="17">
        <v>110931</v>
      </c>
      <c r="E376" s="17">
        <v>106208</v>
      </c>
      <c r="F376" s="17">
        <v>-4723</v>
      </c>
      <c r="G376" s="18">
        <v>0.95742398427851549</v>
      </c>
      <c r="H376" s="10">
        <v>2025</v>
      </c>
    </row>
    <row r="377" spans="1:8" hidden="1" x14ac:dyDescent="0.3">
      <c r="A377" s="16" t="s">
        <v>77</v>
      </c>
      <c r="B377" s="16" t="s">
        <v>200</v>
      </c>
      <c r="C377" s="15">
        <v>5</v>
      </c>
      <c r="D377" s="17">
        <v>103274</v>
      </c>
      <c r="E377" s="17">
        <v>112655</v>
      </c>
      <c r="F377" s="17">
        <v>9381</v>
      </c>
      <c r="G377" s="18">
        <v>1.0908360284292271</v>
      </c>
      <c r="H377" s="10">
        <v>2025</v>
      </c>
    </row>
    <row r="378" spans="1:8" hidden="1" x14ac:dyDescent="0.3">
      <c r="A378" s="16" t="s">
        <v>77</v>
      </c>
      <c r="B378" s="16" t="s">
        <v>200</v>
      </c>
      <c r="C378" s="15">
        <v>6</v>
      </c>
      <c r="D378" s="17">
        <v>108663</v>
      </c>
      <c r="E378" s="17">
        <v>116215</v>
      </c>
      <c r="F378" s="17">
        <v>7552</v>
      </c>
      <c r="G378" s="18">
        <v>1.0694992775829859</v>
      </c>
      <c r="H378" s="10">
        <v>2025</v>
      </c>
    </row>
    <row r="379" spans="1:8" hidden="1" x14ac:dyDescent="0.3">
      <c r="A379" s="16" t="s">
        <v>77</v>
      </c>
      <c r="B379" s="16" t="s">
        <v>200</v>
      </c>
      <c r="C379" s="15">
        <v>7</v>
      </c>
      <c r="D379" s="17">
        <v>103691</v>
      </c>
      <c r="E379" s="17">
        <v>111910</v>
      </c>
      <c r="F379" s="17">
        <v>8219</v>
      </c>
      <c r="G379" s="18">
        <v>1.0792643527403536</v>
      </c>
      <c r="H379" s="10">
        <v>2025</v>
      </c>
    </row>
    <row r="380" spans="1:8" hidden="1" x14ac:dyDescent="0.3">
      <c r="A380" s="16" t="s">
        <v>77</v>
      </c>
      <c r="B380" s="16" t="s">
        <v>200</v>
      </c>
      <c r="C380" s="15">
        <v>8</v>
      </c>
      <c r="D380" s="17">
        <v>110047</v>
      </c>
      <c r="E380" s="17">
        <v>114621</v>
      </c>
      <c r="F380" s="17">
        <v>4574</v>
      </c>
      <c r="G380" s="18">
        <v>1.0415640589929758</v>
      </c>
      <c r="H380" s="10">
        <v>2025</v>
      </c>
    </row>
    <row r="381" spans="1:8" hidden="1" x14ac:dyDescent="0.3">
      <c r="A381" s="16" t="s">
        <v>77</v>
      </c>
      <c r="B381" s="16" t="s">
        <v>200</v>
      </c>
      <c r="C381" s="15">
        <v>9</v>
      </c>
      <c r="D381" s="17">
        <v>110085</v>
      </c>
      <c r="E381" s="17">
        <v>108090</v>
      </c>
      <c r="F381" s="17">
        <v>-1995</v>
      </c>
      <c r="G381" s="18">
        <v>0.9818776400054503</v>
      </c>
      <c r="H381" s="10">
        <v>2025</v>
      </c>
    </row>
    <row r="382" spans="1:8" hidden="1" x14ac:dyDescent="0.3">
      <c r="A382" s="16" t="s">
        <v>77</v>
      </c>
      <c r="B382" s="16" t="s">
        <v>200</v>
      </c>
      <c r="C382" s="15">
        <v>10</v>
      </c>
      <c r="D382" s="17">
        <v>108750</v>
      </c>
      <c r="E382" s="17">
        <v>127284</v>
      </c>
      <c r="F382" s="17">
        <v>18534</v>
      </c>
      <c r="G382" s="18">
        <v>1.1704275862068965</v>
      </c>
      <c r="H382" s="10">
        <v>2025</v>
      </c>
    </row>
    <row r="383" spans="1:8" hidden="1" x14ac:dyDescent="0.3">
      <c r="A383" s="16" t="s">
        <v>77</v>
      </c>
      <c r="B383" s="16" t="s">
        <v>200</v>
      </c>
      <c r="C383" s="15">
        <v>2</v>
      </c>
      <c r="D383" s="17">
        <v>0</v>
      </c>
      <c r="E383" s="17">
        <v>200000</v>
      </c>
      <c r="F383" s="17">
        <v>200000</v>
      </c>
      <c r="G383" s="18">
        <v>0</v>
      </c>
      <c r="H383" s="10">
        <v>2025</v>
      </c>
    </row>
    <row r="384" spans="1:8" hidden="1" x14ac:dyDescent="0.3">
      <c r="A384" s="16" t="s">
        <v>77</v>
      </c>
      <c r="B384" s="16" t="s">
        <v>200</v>
      </c>
      <c r="C384" s="15">
        <v>3</v>
      </c>
      <c r="D384" s="17">
        <v>0</v>
      </c>
      <c r="E384" s="17">
        <v>200000</v>
      </c>
      <c r="F384" s="17">
        <v>200000</v>
      </c>
      <c r="G384" s="18">
        <v>0</v>
      </c>
      <c r="H384" s="10">
        <v>2025</v>
      </c>
    </row>
    <row r="385" spans="1:8" hidden="1" x14ac:dyDescent="0.3">
      <c r="A385" s="16" t="s">
        <v>77</v>
      </c>
      <c r="B385" s="16" t="s">
        <v>200</v>
      </c>
      <c r="C385" s="15">
        <v>4</v>
      </c>
      <c r="D385" s="17">
        <v>0</v>
      </c>
      <c r="E385" s="17">
        <v>200000</v>
      </c>
      <c r="F385" s="17">
        <v>200000</v>
      </c>
      <c r="G385" s="18">
        <v>0</v>
      </c>
      <c r="H385" s="10">
        <v>2025</v>
      </c>
    </row>
    <row r="386" spans="1:8" hidden="1" x14ac:dyDescent="0.3">
      <c r="A386" s="16" t="s">
        <v>77</v>
      </c>
      <c r="B386" s="16" t="s">
        <v>200</v>
      </c>
      <c r="C386" s="15">
        <v>5</v>
      </c>
      <c r="D386" s="17">
        <v>0</v>
      </c>
      <c r="E386" s="17">
        <v>200000</v>
      </c>
      <c r="F386" s="17">
        <v>200000</v>
      </c>
      <c r="G386" s="18">
        <v>0</v>
      </c>
      <c r="H386" s="10">
        <v>2025</v>
      </c>
    </row>
    <row r="387" spans="1:8" hidden="1" x14ac:dyDescent="0.3">
      <c r="A387" s="16" t="s">
        <v>77</v>
      </c>
      <c r="B387" s="16" t="s">
        <v>200</v>
      </c>
      <c r="C387" s="15">
        <v>6</v>
      </c>
      <c r="D387" s="17">
        <v>0</v>
      </c>
      <c r="E387" s="17">
        <v>53333</v>
      </c>
      <c r="F387" s="17">
        <v>53333</v>
      </c>
      <c r="G387" s="18">
        <v>0</v>
      </c>
      <c r="H387" s="10">
        <v>2025</v>
      </c>
    </row>
    <row r="388" spans="1:8" hidden="1" x14ac:dyDescent="0.3">
      <c r="A388" s="16" t="s">
        <v>77</v>
      </c>
      <c r="B388" s="16" t="s">
        <v>183</v>
      </c>
      <c r="C388" s="15">
        <v>1</v>
      </c>
      <c r="D388" s="17">
        <v>3065400</v>
      </c>
      <c r="E388" s="17">
        <v>3065400</v>
      </c>
      <c r="F388" s="17">
        <v>0</v>
      </c>
      <c r="G388" s="18">
        <v>1</v>
      </c>
      <c r="H388" s="10">
        <v>2025</v>
      </c>
    </row>
    <row r="389" spans="1:8" hidden="1" x14ac:dyDescent="0.3">
      <c r="A389" s="16" t="s">
        <v>77</v>
      </c>
      <c r="B389" s="16" t="s">
        <v>183</v>
      </c>
      <c r="C389" s="15">
        <v>2</v>
      </c>
      <c r="D389" s="17">
        <v>1008950</v>
      </c>
      <c r="E389" s="17">
        <v>1008951</v>
      </c>
      <c r="F389" s="17">
        <v>1</v>
      </c>
      <c r="G389" s="18">
        <v>1.0000009911293919</v>
      </c>
      <c r="H389" s="10">
        <v>2025</v>
      </c>
    </row>
    <row r="390" spans="1:8" hidden="1" x14ac:dyDescent="0.3">
      <c r="A390" s="16" t="s">
        <v>77</v>
      </c>
      <c r="B390" s="16" t="s">
        <v>183</v>
      </c>
      <c r="C390" s="15">
        <v>3</v>
      </c>
      <c r="D390" s="17">
        <v>1008950</v>
      </c>
      <c r="E390" s="17">
        <v>1062693</v>
      </c>
      <c r="F390" s="17">
        <v>53743</v>
      </c>
      <c r="G390" s="18">
        <v>1.0532662669111452</v>
      </c>
      <c r="H390" s="10">
        <v>2025</v>
      </c>
    </row>
    <row r="391" spans="1:8" hidden="1" x14ac:dyDescent="0.3">
      <c r="A391" s="16" t="s">
        <v>77</v>
      </c>
      <c r="B391" s="16" t="s">
        <v>183</v>
      </c>
      <c r="C391" s="15">
        <v>4</v>
      </c>
      <c r="D391" s="17">
        <v>1008950</v>
      </c>
      <c r="E391" s="17">
        <v>1008951</v>
      </c>
      <c r="F391" s="17">
        <v>1</v>
      </c>
      <c r="G391" s="18">
        <v>1.0000009911293919</v>
      </c>
      <c r="H391" s="10">
        <v>2025</v>
      </c>
    </row>
    <row r="392" spans="1:8" hidden="1" x14ac:dyDescent="0.3">
      <c r="A392" s="16" t="s">
        <v>77</v>
      </c>
      <c r="B392" s="16" t="s">
        <v>183</v>
      </c>
      <c r="C392" s="15">
        <v>5</v>
      </c>
      <c r="D392" s="17">
        <v>1008950</v>
      </c>
      <c r="E392" s="17">
        <v>1008951</v>
      </c>
      <c r="F392" s="17">
        <v>1</v>
      </c>
      <c r="G392" s="18">
        <v>1.0000009911293919</v>
      </c>
      <c r="H392" s="10">
        <v>2025</v>
      </c>
    </row>
    <row r="393" spans="1:8" hidden="1" x14ac:dyDescent="0.3">
      <c r="A393" s="16" t="s">
        <v>77</v>
      </c>
      <c r="B393" s="16" t="s">
        <v>183</v>
      </c>
      <c r="C393" s="15">
        <v>6</v>
      </c>
      <c r="D393" s="17">
        <v>1008950</v>
      </c>
      <c r="E393" s="17">
        <v>1008951</v>
      </c>
      <c r="F393" s="17">
        <v>1</v>
      </c>
      <c r="G393" s="18">
        <v>1.0000009911293919</v>
      </c>
      <c r="H393" s="10">
        <v>2025</v>
      </c>
    </row>
    <row r="394" spans="1:8" hidden="1" x14ac:dyDescent="0.3">
      <c r="A394" s="16" t="s">
        <v>77</v>
      </c>
      <c r="B394" s="16" t="s">
        <v>183</v>
      </c>
      <c r="C394" s="15">
        <v>7</v>
      </c>
      <c r="D394" s="17">
        <v>1008950</v>
      </c>
      <c r="E394" s="17">
        <v>1008951</v>
      </c>
      <c r="F394" s="17">
        <v>1</v>
      </c>
      <c r="G394" s="18">
        <v>1.0000009911293919</v>
      </c>
      <c r="H394" s="10">
        <v>2025</v>
      </c>
    </row>
    <row r="395" spans="1:8" hidden="1" x14ac:dyDescent="0.3">
      <c r="A395" s="16" t="s">
        <v>77</v>
      </c>
      <c r="B395" s="16" t="s">
        <v>183</v>
      </c>
      <c r="C395" s="15">
        <v>8</v>
      </c>
      <c r="D395" s="17">
        <v>1008950</v>
      </c>
      <c r="E395" s="17">
        <v>1041111</v>
      </c>
      <c r="F395" s="17">
        <v>32161</v>
      </c>
      <c r="G395" s="18">
        <v>1.0318757123742506</v>
      </c>
      <c r="H395" s="10">
        <v>2025</v>
      </c>
    </row>
    <row r="396" spans="1:8" hidden="1" x14ac:dyDescent="0.3">
      <c r="A396" s="16" t="s">
        <v>77</v>
      </c>
      <c r="B396" s="16" t="s">
        <v>183</v>
      </c>
      <c r="C396" s="15">
        <v>9</v>
      </c>
      <c r="D396" s="17">
        <v>1008950</v>
      </c>
      <c r="E396" s="17">
        <v>975488</v>
      </c>
      <c r="F396" s="17">
        <v>-33462</v>
      </c>
      <c r="G396" s="18">
        <v>0.96683482828683287</v>
      </c>
      <c r="H396" s="10">
        <v>2025</v>
      </c>
    </row>
    <row r="397" spans="1:8" hidden="1" x14ac:dyDescent="0.3">
      <c r="A397" s="16" t="s">
        <v>77</v>
      </c>
      <c r="B397" s="16" t="s">
        <v>183</v>
      </c>
      <c r="C397" s="15">
        <v>10</v>
      </c>
      <c r="D397" s="17">
        <v>1008950</v>
      </c>
      <c r="E397" s="17">
        <v>1008951</v>
      </c>
      <c r="F397" s="17">
        <v>1</v>
      </c>
      <c r="G397" s="18">
        <v>1.0000009911293919</v>
      </c>
      <c r="H397" s="10">
        <v>2025</v>
      </c>
    </row>
    <row r="398" spans="1:8" hidden="1" x14ac:dyDescent="0.3">
      <c r="A398" s="16" t="s">
        <v>77</v>
      </c>
      <c r="B398" s="16" t="s">
        <v>183</v>
      </c>
      <c r="C398" s="15">
        <v>1</v>
      </c>
      <c r="D398" s="17">
        <v>284227</v>
      </c>
      <c r="E398" s="17">
        <v>284228</v>
      </c>
      <c r="F398" s="17">
        <v>1</v>
      </c>
      <c r="G398" s="18">
        <v>1.0000035183145866</v>
      </c>
      <c r="H398" s="10">
        <v>2025</v>
      </c>
    </row>
    <row r="399" spans="1:8" hidden="1" x14ac:dyDescent="0.3">
      <c r="A399" s="16" t="s">
        <v>77</v>
      </c>
      <c r="B399" s="16" t="s">
        <v>183</v>
      </c>
      <c r="C399" s="15">
        <v>2</v>
      </c>
      <c r="D399" s="17">
        <v>308454</v>
      </c>
      <c r="E399" s="17">
        <v>308455</v>
      </c>
      <c r="F399" s="17">
        <v>1</v>
      </c>
      <c r="G399" s="18">
        <v>1.0000032419744922</v>
      </c>
      <c r="H399" s="10">
        <v>2025</v>
      </c>
    </row>
    <row r="400" spans="1:8" hidden="1" x14ac:dyDescent="0.3">
      <c r="A400" s="16" t="s">
        <v>77</v>
      </c>
      <c r="B400" s="16" t="s">
        <v>183</v>
      </c>
      <c r="C400" s="15">
        <v>3</v>
      </c>
      <c r="D400" s="17">
        <v>308454</v>
      </c>
      <c r="E400" s="17">
        <v>324885</v>
      </c>
      <c r="F400" s="17">
        <v>16431</v>
      </c>
      <c r="G400" s="18">
        <v>1.0532688828804295</v>
      </c>
      <c r="H400" s="10">
        <v>2025</v>
      </c>
    </row>
    <row r="401" spans="1:8" hidden="1" x14ac:dyDescent="0.3">
      <c r="A401" s="16" t="s">
        <v>77</v>
      </c>
      <c r="B401" s="16" t="s">
        <v>203</v>
      </c>
      <c r="C401" s="15">
        <v>4</v>
      </c>
      <c r="D401" s="17">
        <v>308454</v>
      </c>
      <c r="E401" s="17">
        <v>308455</v>
      </c>
      <c r="F401" s="17">
        <v>1</v>
      </c>
      <c r="G401" s="18">
        <v>1.0000032419744922</v>
      </c>
      <c r="H401" s="10">
        <v>2025</v>
      </c>
    </row>
    <row r="402" spans="1:8" hidden="1" x14ac:dyDescent="0.3">
      <c r="A402" s="16" t="s">
        <v>77</v>
      </c>
      <c r="B402" s="16" t="s">
        <v>203</v>
      </c>
      <c r="C402" s="15">
        <v>5</v>
      </c>
      <c r="D402" s="17">
        <v>308454</v>
      </c>
      <c r="E402" s="17">
        <v>308455</v>
      </c>
      <c r="F402" s="17">
        <v>1</v>
      </c>
      <c r="G402" s="18">
        <v>1.0000032419744922</v>
      </c>
      <c r="H402" s="10">
        <v>2025</v>
      </c>
    </row>
    <row r="403" spans="1:8" hidden="1" x14ac:dyDescent="0.3">
      <c r="A403" s="16" t="s">
        <v>77</v>
      </c>
      <c r="B403" s="16" t="s">
        <v>206</v>
      </c>
      <c r="C403" s="15">
        <v>6</v>
      </c>
      <c r="D403" s="17">
        <v>308454</v>
      </c>
      <c r="E403" s="17">
        <v>308455</v>
      </c>
      <c r="F403" s="17">
        <v>1</v>
      </c>
      <c r="G403" s="18">
        <v>1.0000032419744922</v>
      </c>
      <c r="H403" s="10">
        <v>2025</v>
      </c>
    </row>
    <row r="404" spans="1:8" hidden="1" x14ac:dyDescent="0.3">
      <c r="A404" s="16" t="s">
        <v>77</v>
      </c>
      <c r="B404" s="16" t="s">
        <v>206</v>
      </c>
      <c r="C404" s="15">
        <v>7</v>
      </c>
      <c r="D404" s="17">
        <v>308454</v>
      </c>
      <c r="E404" s="17">
        <v>308455</v>
      </c>
      <c r="F404" s="17">
        <v>1</v>
      </c>
      <c r="G404" s="18">
        <v>1.0000032419744922</v>
      </c>
      <c r="H404" s="10">
        <v>2025</v>
      </c>
    </row>
    <row r="405" spans="1:8" hidden="1" x14ac:dyDescent="0.3">
      <c r="A405" s="16" t="s">
        <v>77</v>
      </c>
      <c r="B405" s="16" t="s">
        <v>206</v>
      </c>
      <c r="C405" s="15">
        <v>8</v>
      </c>
      <c r="D405" s="17">
        <v>308454</v>
      </c>
      <c r="E405" s="17">
        <v>318287</v>
      </c>
      <c r="F405" s="17">
        <v>9833</v>
      </c>
      <c r="G405" s="18">
        <v>1.0318783351812588</v>
      </c>
      <c r="H405" s="10">
        <v>2025</v>
      </c>
    </row>
    <row r="406" spans="1:8" hidden="1" x14ac:dyDescent="0.3">
      <c r="A406" s="16" t="s">
        <v>77</v>
      </c>
      <c r="B406" s="16" t="s">
        <v>206</v>
      </c>
      <c r="C406" s="15">
        <v>9</v>
      </c>
      <c r="D406" s="17">
        <v>308454</v>
      </c>
      <c r="E406" s="17">
        <v>298225</v>
      </c>
      <c r="F406" s="17">
        <v>-10229</v>
      </c>
      <c r="G406" s="18">
        <v>0.96683784291985198</v>
      </c>
      <c r="H406" s="10">
        <v>2025</v>
      </c>
    </row>
    <row r="407" spans="1:8" hidden="1" x14ac:dyDescent="0.3">
      <c r="A407" s="16" t="s">
        <v>77</v>
      </c>
      <c r="B407" s="16" t="s">
        <v>206</v>
      </c>
      <c r="C407" s="15">
        <v>10</v>
      </c>
      <c r="D407" s="17">
        <v>308454</v>
      </c>
      <c r="E407" s="17">
        <v>308455</v>
      </c>
      <c r="F407" s="17">
        <v>1</v>
      </c>
      <c r="G407" s="18">
        <v>1.0000032419744922</v>
      </c>
      <c r="H407" s="10">
        <v>2025</v>
      </c>
    </row>
    <row r="408" spans="1:8" hidden="1" x14ac:dyDescent="0.3">
      <c r="A408" s="16" t="s">
        <v>77</v>
      </c>
      <c r="B408" s="16" t="s">
        <v>206</v>
      </c>
      <c r="C408" s="15">
        <v>4</v>
      </c>
      <c r="D408" s="17">
        <v>698722</v>
      </c>
      <c r="E408" s="17">
        <v>109656</v>
      </c>
      <c r="F408" s="17">
        <v>-589066</v>
      </c>
      <c r="G408" s="18">
        <v>0.15693795243315653</v>
      </c>
      <c r="H408" s="10">
        <v>2025</v>
      </c>
    </row>
    <row r="409" spans="1:8" hidden="1" x14ac:dyDescent="0.3">
      <c r="A409" s="16" t="s">
        <v>77</v>
      </c>
      <c r="B409" s="16" t="s">
        <v>206</v>
      </c>
      <c r="C409" s="15">
        <v>5</v>
      </c>
      <c r="D409" s="17">
        <v>0</v>
      </c>
      <c r="E409" s="17">
        <v>492645</v>
      </c>
      <c r="F409" s="17">
        <v>492645</v>
      </c>
      <c r="G409" s="18">
        <v>0</v>
      </c>
      <c r="H409" s="10">
        <v>2025</v>
      </c>
    </row>
    <row r="410" spans="1:8" hidden="1" x14ac:dyDescent="0.3">
      <c r="A410" s="16" t="s">
        <v>77</v>
      </c>
      <c r="B410" s="16" t="s">
        <v>206</v>
      </c>
      <c r="C410" s="15">
        <v>8</v>
      </c>
      <c r="D410" s="17">
        <v>278547</v>
      </c>
      <c r="E410" s="17">
        <v>530422</v>
      </c>
      <c r="F410" s="17">
        <v>251875</v>
      </c>
      <c r="G410" s="18">
        <v>1.9042459620818031</v>
      </c>
      <c r="H410" s="10">
        <v>2025</v>
      </c>
    </row>
    <row r="411" spans="1:8" hidden="1" x14ac:dyDescent="0.3">
      <c r="A411" s="16" t="s">
        <v>77</v>
      </c>
      <c r="B411" s="16" t="s">
        <v>177</v>
      </c>
      <c r="C411" s="15">
        <v>1</v>
      </c>
      <c r="D411" s="17">
        <v>192583</v>
      </c>
      <c r="E411" s="17">
        <v>0</v>
      </c>
      <c r="F411" s="17">
        <v>-192583</v>
      </c>
      <c r="G411" s="18">
        <v>0</v>
      </c>
      <c r="H411" s="10">
        <v>2025</v>
      </c>
    </row>
    <row r="412" spans="1:8" hidden="1" x14ac:dyDescent="0.3">
      <c r="A412" s="16" t="s">
        <v>77</v>
      </c>
      <c r="B412" s="16" t="s">
        <v>177</v>
      </c>
      <c r="C412" s="15">
        <v>2</v>
      </c>
      <c r="D412" s="17">
        <v>192583</v>
      </c>
      <c r="E412" s="17">
        <v>0</v>
      </c>
      <c r="F412" s="17">
        <v>-192583</v>
      </c>
      <c r="G412" s="18">
        <v>0</v>
      </c>
      <c r="H412" s="10">
        <v>2025</v>
      </c>
    </row>
    <row r="413" spans="1:8" hidden="1" x14ac:dyDescent="0.3">
      <c r="A413" s="16" t="s">
        <v>77</v>
      </c>
      <c r="B413" s="16" t="s">
        <v>177</v>
      </c>
      <c r="C413" s="15">
        <v>3</v>
      </c>
      <c r="D413" s="17">
        <v>192583</v>
      </c>
      <c r="E413" s="17">
        <v>0</v>
      </c>
      <c r="F413" s="17">
        <v>-192583</v>
      </c>
      <c r="G413" s="18">
        <v>0</v>
      </c>
      <c r="H413" s="10">
        <v>2025</v>
      </c>
    </row>
    <row r="414" spans="1:8" hidden="1" x14ac:dyDescent="0.3">
      <c r="A414" s="16" t="s">
        <v>77</v>
      </c>
      <c r="B414" s="16" t="s">
        <v>177</v>
      </c>
      <c r="C414" s="15">
        <v>4</v>
      </c>
      <c r="D414" s="17">
        <v>192583</v>
      </c>
      <c r="E414" s="17">
        <v>0</v>
      </c>
      <c r="F414" s="17">
        <v>-192583</v>
      </c>
      <c r="G414" s="18">
        <v>0</v>
      </c>
      <c r="H414" s="10">
        <v>2025</v>
      </c>
    </row>
    <row r="415" spans="1:8" hidden="1" x14ac:dyDescent="0.3">
      <c r="A415" s="16" t="s">
        <v>77</v>
      </c>
      <c r="B415" s="16" t="s">
        <v>177</v>
      </c>
      <c r="C415" s="15">
        <v>5</v>
      </c>
      <c r="D415" s="17">
        <v>192583</v>
      </c>
      <c r="E415" s="17">
        <v>0</v>
      </c>
      <c r="F415" s="17">
        <v>-192583</v>
      </c>
      <c r="G415" s="18">
        <v>0</v>
      </c>
      <c r="H415" s="10">
        <v>2025</v>
      </c>
    </row>
    <row r="416" spans="1:8" hidden="1" x14ac:dyDescent="0.3">
      <c r="A416" s="16" t="s">
        <v>77</v>
      </c>
      <c r="B416" s="16" t="s">
        <v>177</v>
      </c>
      <c r="C416" s="15">
        <v>6</v>
      </c>
      <c r="D416" s="17">
        <v>192583</v>
      </c>
      <c r="E416" s="17">
        <v>7846</v>
      </c>
      <c r="F416" s="17">
        <v>-184737</v>
      </c>
      <c r="G416" s="18">
        <v>4.0740875362830574E-2</v>
      </c>
      <c r="H416" s="10">
        <v>2025</v>
      </c>
    </row>
    <row r="417" spans="1:8" hidden="1" x14ac:dyDescent="0.3">
      <c r="A417" s="16" t="s">
        <v>77</v>
      </c>
      <c r="B417" s="16" t="s">
        <v>177</v>
      </c>
      <c r="C417" s="15">
        <v>7</v>
      </c>
      <c r="D417" s="17">
        <v>192583</v>
      </c>
      <c r="E417" s="17">
        <v>0</v>
      </c>
      <c r="F417" s="17">
        <v>-192583</v>
      </c>
      <c r="G417" s="18">
        <v>0</v>
      </c>
      <c r="H417" s="10">
        <v>2025</v>
      </c>
    </row>
    <row r="418" spans="1:8" hidden="1" x14ac:dyDescent="0.3">
      <c r="A418" s="16" t="s">
        <v>77</v>
      </c>
      <c r="B418" s="16" t="s">
        <v>177</v>
      </c>
      <c r="C418" s="15">
        <v>8</v>
      </c>
      <c r="D418" s="17">
        <v>192583</v>
      </c>
      <c r="E418" s="17">
        <v>0</v>
      </c>
      <c r="F418" s="17">
        <v>-192583</v>
      </c>
      <c r="G418" s="18">
        <v>0</v>
      </c>
      <c r="H418" s="10">
        <v>2025</v>
      </c>
    </row>
    <row r="419" spans="1:8" hidden="1" x14ac:dyDescent="0.3">
      <c r="A419" s="16" t="s">
        <v>77</v>
      </c>
      <c r="B419" s="16" t="s">
        <v>177</v>
      </c>
      <c r="C419" s="15">
        <v>9</v>
      </c>
      <c r="D419" s="17">
        <v>192583</v>
      </c>
      <c r="E419" s="17">
        <v>0</v>
      </c>
      <c r="F419" s="17">
        <v>-192583</v>
      </c>
      <c r="G419" s="18">
        <v>0</v>
      </c>
      <c r="H419" s="10">
        <v>2025</v>
      </c>
    </row>
    <row r="420" spans="1:8" hidden="1" x14ac:dyDescent="0.3">
      <c r="A420" s="16" t="s">
        <v>77</v>
      </c>
      <c r="B420" s="16" t="s">
        <v>177</v>
      </c>
      <c r="C420" s="15">
        <v>10</v>
      </c>
      <c r="D420" s="17">
        <v>192583</v>
      </c>
      <c r="E420" s="17">
        <v>0</v>
      </c>
      <c r="F420" s="17">
        <v>-192583</v>
      </c>
      <c r="G420" s="18">
        <v>0</v>
      </c>
      <c r="H420" s="10">
        <v>2025</v>
      </c>
    </row>
    <row r="421" spans="1:8" hidden="1" x14ac:dyDescent="0.3">
      <c r="A421" s="16" t="s">
        <v>77</v>
      </c>
      <c r="B421" s="16" t="s">
        <v>177</v>
      </c>
      <c r="C421" s="15">
        <v>1</v>
      </c>
      <c r="D421" s="17">
        <v>173911</v>
      </c>
      <c r="E421" s="17">
        <v>178200</v>
      </c>
      <c r="F421" s="17">
        <v>4289</v>
      </c>
      <c r="G421" s="18">
        <v>1.0246620397789674</v>
      </c>
      <c r="H421" s="10">
        <v>2025</v>
      </c>
    </row>
    <row r="422" spans="1:8" hidden="1" x14ac:dyDescent="0.3">
      <c r="A422" s="16" t="s">
        <v>77</v>
      </c>
      <c r="B422" s="16" t="s">
        <v>177</v>
      </c>
      <c r="C422" s="15">
        <v>2</v>
      </c>
      <c r="D422" s="17">
        <v>200661</v>
      </c>
      <c r="E422" s="17">
        <v>185500</v>
      </c>
      <c r="F422" s="17">
        <v>-15161</v>
      </c>
      <c r="G422" s="18">
        <v>0.92444471023268104</v>
      </c>
      <c r="H422" s="10">
        <v>2025</v>
      </c>
    </row>
    <row r="423" spans="1:8" hidden="1" x14ac:dyDescent="0.3">
      <c r="A423" s="16" t="s">
        <v>77</v>
      </c>
      <c r="B423" s="16" t="s">
        <v>177</v>
      </c>
      <c r="C423" s="15">
        <v>3</v>
      </c>
      <c r="D423" s="17">
        <v>202642</v>
      </c>
      <c r="E423" s="17">
        <v>233100</v>
      </c>
      <c r="F423" s="17">
        <v>30458</v>
      </c>
      <c r="G423" s="18">
        <v>1.1503044778476328</v>
      </c>
      <c r="H423" s="10">
        <v>2025</v>
      </c>
    </row>
    <row r="424" spans="1:8" hidden="1" x14ac:dyDescent="0.3">
      <c r="A424" s="16" t="s">
        <v>77</v>
      </c>
      <c r="B424" s="16" t="s">
        <v>184</v>
      </c>
      <c r="C424" s="15">
        <v>4</v>
      </c>
      <c r="D424" s="17">
        <v>196943</v>
      </c>
      <c r="E424" s="17">
        <v>187600</v>
      </c>
      <c r="F424" s="17">
        <v>-9343</v>
      </c>
      <c r="G424" s="18">
        <v>0.95255987773112016</v>
      </c>
      <c r="H424" s="10">
        <v>2025</v>
      </c>
    </row>
    <row r="425" spans="1:8" hidden="1" x14ac:dyDescent="0.3">
      <c r="A425" s="16" t="s">
        <v>77</v>
      </c>
      <c r="B425" s="16" t="s">
        <v>184</v>
      </c>
      <c r="C425" s="15">
        <v>5</v>
      </c>
      <c r="D425" s="17">
        <v>183350</v>
      </c>
      <c r="E425" s="17">
        <v>193000</v>
      </c>
      <c r="F425" s="17">
        <v>9650</v>
      </c>
      <c r="G425" s="18">
        <v>1.0526315789473684</v>
      </c>
      <c r="H425" s="10">
        <v>2025</v>
      </c>
    </row>
    <row r="426" spans="1:8" hidden="1" x14ac:dyDescent="0.3">
      <c r="A426" s="16" t="s">
        <v>77</v>
      </c>
      <c r="B426" s="16" t="s">
        <v>184</v>
      </c>
      <c r="C426" s="15">
        <v>6</v>
      </c>
      <c r="D426" s="17">
        <v>192917</v>
      </c>
      <c r="E426" s="17">
        <v>172100</v>
      </c>
      <c r="F426" s="17">
        <v>-20817</v>
      </c>
      <c r="G426" s="18">
        <v>0.89209349098316892</v>
      </c>
      <c r="H426" s="10">
        <v>2025</v>
      </c>
    </row>
    <row r="427" spans="1:8" hidden="1" x14ac:dyDescent="0.3">
      <c r="A427" s="16" t="s">
        <v>77</v>
      </c>
      <c r="B427" s="16" t="s">
        <v>184</v>
      </c>
      <c r="C427" s="15">
        <v>7</v>
      </c>
      <c r="D427" s="17">
        <v>184090</v>
      </c>
      <c r="E427" s="17">
        <v>197700</v>
      </c>
      <c r="F427" s="17">
        <v>13610</v>
      </c>
      <c r="G427" s="18">
        <v>1.0739312292900212</v>
      </c>
      <c r="H427" s="10">
        <v>2025</v>
      </c>
    </row>
    <row r="428" spans="1:8" hidden="1" x14ac:dyDescent="0.3">
      <c r="A428" s="16" t="s">
        <v>77</v>
      </c>
      <c r="B428" s="16" t="s">
        <v>184</v>
      </c>
      <c r="C428" s="15">
        <v>8</v>
      </c>
      <c r="D428" s="17">
        <v>195374</v>
      </c>
      <c r="E428" s="17">
        <v>198500</v>
      </c>
      <c r="F428" s="17">
        <v>3126</v>
      </c>
      <c r="G428" s="18">
        <v>1.0160000818942132</v>
      </c>
      <c r="H428" s="10">
        <v>2025</v>
      </c>
    </row>
    <row r="429" spans="1:8" hidden="1" x14ac:dyDescent="0.3">
      <c r="A429" s="16" t="s">
        <v>77</v>
      </c>
      <c r="B429" s="16" t="s">
        <v>184</v>
      </c>
      <c r="C429" s="15">
        <v>9</v>
      </c>
      <c r="D429" s="17">
        <v>195441</v>
      </c>
      <c r="E429" s="17">
        <v>191000</v>
      </c>
      <c r="F429" s="17">
        <v>-4441</v>
      </c>
      <c r="G429" s="18">
        <v>0.97727702989649057</v>
      </c>
      <c r="H429" s="10">
        <v>2025</v>
      </c>
    </row>
    <row r="430" spans="1:8" hidden="1" x14ac:dyDescent="0.3">
      <c r="A430" s="16" t="s">
        <v>77</v>
      </c>
      <c r="B430" s="16" t="s">
        <v>184</v>
      </c>
      <c r="C430" s="15">
        <v>10</v>
      </c>
      <c r="D430" s="17">
        <v>193071</v>
      </c>
      <c r="E430" s="17">
        <v>224900</v>
      </c>
      <c r="F430" s="17">
        <v>31829</v>
      </c>
      <c r="G430" s="18">
        <v>1.164856451771628</v>
      </c>
      <c r="H430" s="10">
        <v>2025</v>
      </c>
    </row>
    <row r="431" spans="1:8" hidden="1" x14ac:dyDescent="0.3">
      <c r="A431" s="16" t="s">
        <v>77</v>
      </c>
      <c r="B431" s="16" t="s">
        <v>184</v>
      </c>
      <c r="C431" s="15">
        <v>1</v>
      </c>
      <c r="D431" s="17">
        <v>0</v>
      </c>
      <c r="E431" s="17">
        <v>140</v>
      </c>
      <c r="F431" s="17">
        <v>140</v>
      </c>
      <c r="G431" s="18">
        <v>0</v>
      </c>
      <c r="H431" s="10">
        <v>2025</v>
      </c>
    </row>
    <row r="432" spans="1:8" hidden="1" x14ac:dyDescent="0.3">
      <c r="A432" s="16" t="s">
        <v>77</v>
      </c>
      <c r="B432" s="16" t="s">
        <v>184</v>
      </c>
      <c r="C432" s="15">
        <v>2</v>
      </c>
      <c r="D432" s="17">
        <v>0</v>
      </c>
      <c r="E432" s="17">
        <v>170</v>
      </c>
      <c r="F432" s="17">
        <v>170</v>
      </c>
      <c r="G432" s="18">
        <v>0</v>
      </c>
      <c r="H432" s="10">
        <v>2025</v>
      </c>
    </row>
    <row r="433" spans="1:8" hidden="1" x14ac:dyDescent="0.3">
      <c r="A433" s="16" t="s">
        <v>77</v>
      </c>
      <c r="B433" s="16" t="s">
        <v>184</v>
      </c>
      <c r="C433" s="15">
        <v>3</v>
      </c>
      <c r="D433" s="17">
        <v>0</v>
      </c>
      <c r="E433" s="17">
        <v>76</v>
      </c>
      <c r="F433" s="17">
        <v>76</v>
      </c>
      <c r="G433" s="18">
        <v>0</v>
      </c>
      <c r="H433" s="10">
        <v>2025</v>
      </c>
    </row>
    <row r="434" spans="1:8" hidden="1" x14ac:dyDescent="0.3">
      <c r="A434" s="16" t="s">
        <v>77</v>
      </c>
      <c r="B434" s="16" t="s">
        <v>184</v>
      </c>
      <c r="C434" s="15">
        <v>4</v>
      </c>
      <c r="D434" s="17">
        <v>0</v>
      </c>
      <c r="E434" s="17">
        <v>152</v>
      </c>
      <c r="F434" s="17">
        <v>152</v>
      </c>
      <c r="G434" s="18">
        <v>0</v>
      </c>
      <c r="H434" s="10">
        <v>2025</v>
      </c>
    </row>
    <row r="435" spans="1:8" hidden="1" x14ac:dyDescent="0.3">
      <c r="A435" s="16" t="s">
        <v>77</v>
      </c>
      <c r="B435" s="16" t="s">
        <v>184</v>
      </c>
      <c r="C435" s="15">
        <v>5</v>
      </c>
      <c r="D435" s="17">
        <v>0</v>
      </c>
      <c r="E435" s="17">
        <v>164</v>
      </c>
      <c r="F435" s="17">
        <v>164</v>
      </c>
      <c r="G435" s="18">
        <v>0</v>
      </c>
      <c r="H435" s="10">
        <v>2025</v>
      </c>
    </row>
    <row r="436" spans="1:8" hidden="1" x14ac:dyDescent="0.3">
      <c r="A436" s="16" t="s">
        <v>77</v>
      </c>
      <c r="B436" s="16" t="s">
        <v>184</v>
      </c>
      <c r="C436" s="15">
        <v>6</v>
      </c>
      <c r="D436" s="17">
        <v>0</v>
      </c>
      <c r="E436" s="17">
        <v>144</v>
      </c>
      <c r="F436" s="17">
        <v>144</v>
      </c>
      <c r="G436" s="18">
        <v>0</v>
      </c>
      <c r="H436" s="10">
        <v>2025</v>
      </c>
    </row>
    <row r="437" spans="1:8" hidden="1" x14ac:dyDescent="0.3">
      <c r="A437" s="16" t="s">
        <v>77</v>
      </c>
      <c r="B437" s="16" t="s">
        <v>193</v>
      </c>
      <c r="C437" s="15">
        <v>7</v>
      </c>
      <c r="D437" s="17">
        <v>0</v>
      </c>
      <c r="E437" s="17">
        <v>125</v>
      </c>
      <c r="F437" s="17">
        <v>125</v>
      </c>
      <c r="G437" s="18">
        <v>0</v>
      </c>
      <c r="H437" s="10">
        <v>2025</v>
      </c>
    </row>
    <row r="438" spans="1:8" hidden="1" x14ac:dyDescent="0.3">
      <c r="A438" s="16" t="s">
        <v>77</v>
      </c>
      <c r="B438" s="16" t="s">
        <v>193</v>
      </c>
      <c r="C438" s="15">
        <v>8</v>
      </c>
      <c r="D438" s="17">
        <v>0</v>
      </c>
      <c r="E438" s="17">
        <v>31865</v>
      </c>
      <c r="F438" s="17">
        <v>31865</v>
      </c>
      <c r="G438" s="18">
        <v>0</v>
      </c>
      <c r="H438" s="10">
        <v>2025</v>
      </c>
    </row>
    <row r="439" spans="1:8" hidden="1" x14ac:dyDescent="0.3">
      <c r="A439" s="16" t="s">
        <v>77</v>
      </c>
      <c r="B439" s="16" t="s">
        <v>193</v>
      </c>
      <c r="C439" s="15">
        <v>9</v>
      </c>
      <c r="D439" s="17">
        <v>0</v>
      </c>
      <c r="E439" s="17">
        <v>10600</v>
      </c>
      <c r="F439" s="17">
        <v>10600</v>
      </c>
      <c r="G439" s="18">
        <v>0</v>
      </c>
      <c r="H439" s="10">
        <v>2025</v>
      </c>
    </row>
    <row r="440" spans="1:8" hidden="1" x14ac:dyDescent="0.3">
      <c r="A440" s="16" t="s">
        <v>77</v>
      </c>
      <c r="B440" s="16" t="s">
        <v>194</v>
      </c>
      <c r="C440" s="15">
        <v>1</v>
      </c>
      <c r="D440" s="17">
        <v>851813</v>
      </c>
      <c r="E440" s="17">
        <v>877240</v>
      </c>
      <c r="F440" s="17">
        <v>25427</v>
      </c>
      <c r="G440" s="18">
        <v>1.0298504483965378</v>
      </c>
      <c r="H440" s="10">
        <v>2025</v>
      </c>
    </row>
    <row r="441" spans="1:8" hidden="1" x14ac:dyDescent="0.3">
      <c r="A441" s="16" t="s">
        <v>77</v>
      </c>
      <c r="B441" s="16" t="s">
        <v>194</v>
      </c>
      <c r="C441" s="15">
        <v>2</v>
      </c>
      <c r="D441" s="17">
        <v>982831</v>
      </c>
      <c r="E441" s="17">
        <v>913170</v>
      </c>
      <c r="F441" s="17">
        <v>-69661</v>
      </c>
      <c r="G441" s="18">
        <v>0.92912209728834361</v>
      </c>
      <c r="H441" s="10">
        <v>2025</v>
      </c>
    </row>
    <row r="442" spans="1:8" hidden="1" x14ac:dyDescent="0.3">
      <c r="A442" s="16" t="s">
        <v>77</v>
      </c>
      <c r="B442" s="16" t="s">
        <v>194</v>
      </c>
      <c r="C442" s="15">
        <v>3</v>
      </c>
      <c r="D442" s="17">
        <v>992532</v>
      </c>
      <c r="E442" s="17">
        <v>1147376</v>
      </c>
      <c r="F442" s="17">
        <v>154844</v>
      </c>
      <c r="G442" s="18">
        <v>1.1560090757779096</v>
      </c>
      <c r="H442" s="10">
        <v>2025</v>
      </c>
    </row>
    <row r="443" spans="1:8" hidden="1" x14ac:dyDescent="0.3">
      <c r="A443" s="16" t="s">
        <v>77</v>
      </c>
      <c r="B443" s="16" t="s">
        <v>194</v>
      </c>
      <c r="C443" s="15">
        <v>4</v>
      </c>
      <c r="D443" s="17">
        <v>964621</v>
      </c>
      <c r="E443" s="17">
        <v>923652</v>
      </c>
      <c r="F443" s="17">
        <v>-40969</v>
      </c>
      <c r="G443" s="18">
        <v>0.95752839716323823</v>
      </c>
      <c r="H443" s="10">
        <v>2025</v>
      </c>
    </row>
    <row r="444" spans="1:8" hidden="1" x14ac:dyDescent="0.3">
      <c r="A444" s="16" t="s">
        <v>77</v>
      </c>
      <c r="B444" s="16" t="s">
        <v>194</v>
      </c>
      <c r="C444" s="15">
        <v>5</v>
      </c>
      <c r="D444" s="17">
        <v>898043</v>
      </c>
      <c r="E444" s="17">
        <v>979764</v>
      </c>
      <c r="F444" s="17">
        <v>81721</v>
      </c>
      <c r="G444" s="18">
        <v>1.0909989833448956</v>
      </c>
      <c r="H444" s="10">
        <v>2025</v>
      </c>
    </row>
    <row r="445" spans="1:8" hidden="1" x14ac:dyDescent="0.3">
      <c r="A445" s="16" t="s">
        <v>77</v>
      </c>
      <c r="B445" s="16" t="s">
        <v>194</v>
      </c>
      <c r="C445" s="15">
        <v>6</v>
      </c>
      <c r="D445" s="17">
        <v>944899</v>
      </c>
      <c r="E445" s="17">
        <v>1010744</v>
      </c>
      <c r="F445" s="17">
        <v>65845</v>
      </c>
      <c r="G445" s="18">
        <v>1.0696846964596216</v>
      </c>
      <c r="H445" s="10">
        <v>2025</v>
      </c>
    </row>
    <row r="446" spans="1:8" hidden="1" x14ac:dyDescent="0.3">
      <c r="A446" s="16" t="s">
        <v>77</v>
      </c>
      <c r="B446" s="16" t="s">
        <v>194</v>
      </c>
      <c r="C446" s="15">
        <v>7</v>
      </c>
      <c r="D446" s="17">
        <v>901668</v>
      </c>
      <c r="E446" s="17">
        <v>973325</v>
      </c>
      <c r="F446" s="17">
        <v>71657</v>
      </c>
      <c r="G446" s="18">
        <v>1.0794716015207371</v>
      </c>
      <c r="H446" s="10">
        <v>2025</v>
      </c>
    </row>
    <row r="447" spans="1:8" hidden="1" x14ac:dyDescent="0.3">
      <c r="A447" s="16" t="s">
        <v>77</v>
      </c>
      <c r="B447" s="16" t="s">
        <v>194</v>
      </c>
      <c r="C447" s="15">
        <v>8</v>
      </c>
      <c r="D447" s="17">
        <v>956938</v>
      </c>
      <c r="E447" s="17">
        <v>1123465</v>
      </c>
      <c r="F447" s="17">
        <v>166527</v>
      </c>
      <c r="G447" s="18">
        <v>1.1740206784556575</v>
      </c>
      <c r="H447" s="10">
        <v>2025</v>
      </c>
    </row>
    <row r="448" spans="1:8" hidden="1" x14ac:dyDescent="0.3">
      <c r="A448" s="16" t="s">
        <v>77</v>
      </c>
      <c r="B448" s="16" t="s">
        <v>194</v>
      </c>
      <c r="C448" s="15">
        <v>9</v>
      </c>
      <c r="D448" s="17">
        <v>957265</v>
      </c>
      <c r="E448" s="17">
        <v>982600</v>
      </c>
      <c r="F448" s="17">
        <v>25335</v>
      </c>
      <c r="G448" s="18">
        <v>1.0264660256041953</v>
      </c>
      <c r="H448" s="10">
        <v>2025</v>
      </c>
    </row>
    <row r="449" spans="1:8" hidden="1" x14ac:dyDescent="0.3">
      <c r="A449" s="16" t="s">
        <v>77</v>
      </c>
      <c r="B449" s="16" t="s">
        <v>194</v>
      </c>
      <c r="C449" s="15">
        <v>10</v>
      </c>
      <c r="D449" s="17">
        <v>945657</v>
      </c>
      <c r="E449" s="17">
        <v>1106900</v>
      </c>
      <c r="F449" s="17">
        <v>161243</v>
      </c>
      <c r="G449" s="18">
        <v>1.1705089688967565</v>
      </c>
      <c r="H449" s="10">
        <v>2025</v>
      </c>
    </row>
    <row r="450" spans="1:8" hidden="1" x14ac:dyDescent="0.3">
      <c r="A450" s="16" t="s">
        <v>77</v>
      </c>
      <c r="B450" s="16" t="s">
        <v>195</v>
      </c>
      <c r="C450" s="15">
        <v>1</v>
      </c>
      <c r="D450" s="17">
        <v>283937</v>
      </c>
      <c r="E450" s="17">
        <v>292500</v>
      </c>
      <c r="F450" s="17">
        <v>8563</v>
      </c>
      <c r="G450" s="18">
        <v>1.0301580984514171</v>
      </c>
      <c r="H450" s="10">
        <v>2025</v>
      </c>
    </row>
    <row r="451" spans="1:8" hidden="1" x14ac:dyDescent="0.3">
      <c r="A451" s="16" t="s">
        <v>77</v>
      </c>
      <c r="B451" s="16" t="s">
        <v>195</v>
      </c>
      <c r="C451" s="15">
        <v>2</v>
      </c>
      <c r="D451" s="17">
        <v>327610</v>
      </c>
      <c r="E451" s="17">
        <v>304500</v>
      </c>
      <c r="F451" s="17">
        <v>-23110</v>
      </c>
      <c r="G451" s="18">
        <v>0.92945880772870182</v>
      </c>
      <c r="H451" s="10">
        <v>2025</v>
      </c>
    </row>
    <row r="452" spans="1:8" hidden="1" x14ac:dyDescent="0.3">
      <c r="A452" s="16" t="s">
        <v>77</v>
      </c>
      <c r="B452" s="16" t="s">
        <v>195</v>
      </c>
      <c r="C452" s="15">
        <v>3</v>
      </c>
      <c r="D452" s="17">
        <v>330844</v>
      </c>
      <c r="E452" s="17">
        <v>382500</v>
      </c>
      <c r="F452" s="17">
        <v>51656</v>
      </c>
      <c r="G452" s="18">
        <v>1.1561340087775509</v>
      </c>
      <c r="H452" s="10">
        <v>2025</v>
      </c>
    </row>
    <row r="453" spans="1:8" hidden="1" x14ac:dyDescent="0.3">
      <c r="A453" s="16" t="s">
        <v>77</v>
      </c>
      <c r="B453" s="16" t="s">
        <v>195</v>
      </c>
      <c r="C453" s="15">
        <v>4</v>
      </c>
      <c r="D453" s="17">
        <v>321540</v>
      </c>
      <c r="E453" s="17">
        <v>308000</v>
      </c>
      <c r="F453" s="17">
        <v>-13540</v>
      </c>
      <c r="G453" s="18">
        <v>0.95789015363562857</v>
      </c>
      <c r="H453" s="10">
        <v>2025</v>
      </c>
    </row>
    <row r="454" spans="1:8" hidden="1" x14ac:dyDescent="0.3">
      <c r="A454" s="16" t="s">
        <v>77</v>
      </c>
      <c r="B454" s="16" t="s">
        <v>195</v>
      </c>
      <c r="C454" s="15">
        <v>5</v>
      </c>
      <c r="D454" s="17">
        <v>299347</v>
      </c>
      <c r="E454" s="17">
        <v>326700</v>
      </c>
      <c r="F454" s="17">
        <v>27353</v>
      </c>
      <c r="G454" s="18">
        <v>1.0913755608040168</v>
      </c>
      <c r="H454" s="10">
        <v>2025</v>
      </c>
    </row>
    <row r="455" spans="1:8" hidden="1" x14ac:dyDescent="0.3">
      <c r="A455" s="16" t="s">
        <v>77</v>
      </c>
      <c r="B455" s="16" t="s">
        <v>195</v>
      </c>
      <c r="C455" s="15">
        <v>6</v>
      </c>
      <c r="D455" s="17">
        <v>314966</v>
      </c>
      <c r="E455" s="17">
        <v>337000</v>
      </c>
      <c r="F455" s="17">
        <v>22034</v>
      </c>
      <c r="G455" s="18">
        <v>1.0699567572372892</v>
      </c>
      <c r="H455" s="10">
        <v>2025</v>
      </c>
    </row>
    <row r="456" spans="1:8" hidden="1" x14ac:dyDescent="0.3">
      <c r="A456" s="16" t="s">
        <v>77</v>
      </c>
      <c r="B456" s="16" t="s">
        <v>195</v>
      </c>
      <c r="C456" s="15">
        <v>7</v>
      </c>
      <c r="D456" s="17">
        <v>300556</v>
      </c>
      <c r="E456" s="17">
        <v>324500</v>
      </c>
      <c r="F456" s="17">
        <v>23944</v>
      </c>
      <c r="G456" s="18">
        <v>1.0796656862614622</v>
      </c>
      <c r="H456" s="10">
        <v>2025</v>
      </c>
    </row>
    <row r="457" spans="1:8" hidden="1" x14ac:dyDescent="0.3">
      <c r="A457" s="16" t="s">
        <v>77</v>
      </c>
      <c r="B457" s="16" t="s">
        <v>195</v>
      </c>
      <c r="C457" s="15">
        <v>8</v>
      </c>
      <c r="D457" s="17">
        <v>318979</v>
      </c>
      <c r="E457" s="17">
        <v>357400</v>
      </c>
      <c r="F457" s="17">
        <v>38421</v>
      </c>
      <c r="G457" s="18">
        <v>1.1204499355756963</v>
      </c>
      <c r="H457" s="10">
        <v>2025</v>
      </c>
    </row>
    <row r="458" spans="1:8" hidden="1" x14ac:dyDescent="0.3">
      <c r="A458" s="16" t="s">
        <v>77</v>
      </c>
      <c r="B458" s="16" t="s">
        <v>195</v>
      </c>
      <c r="C458" s="15">
        <v>9</v>
      </c>
      <c r="D458" s="17">
        <v>319088</v>
      </c>
      <c r="E458" s="17">
        <v>313400</v>
      </c>
      <c r="F458" s="17">
        <v>-5688</v>
      </c>
      <c r="G458" s="18">
        <v>0.98217419645991078</v>
      </c>
      <c r="H458" s="10">
        <v>2025</v>
      </c>
    </row>
    <row r="459" spans="1:8" hidden="1" x14ac:dyDescent="0.3">
      <c r="A459" s="16" t="s">
        <v>77</v>
      </c>
      <c r="B459" s="16" t="s">
        <v>195</v>
      </c>
      <c r="C459" s="15">
        <v>10</v>
      </c>
      <c r="D459" s="17">
        <v>315219</v>
      </c>
      <c r="E459" s="17">
        <v>369100</v>
      </c>
      <c r="F459" s="17">
        <v>53881</v>
      </c>
      <c r="G459" s="18">
        <v>1.1709319552438147</v>
      </c>
      <c r="H459" s="10">
        <v>2025</v>
      </c>
    </row>
    <row r="460" spans="1:8" hidden="1" x14ac:dyDescent="0.3">
      <c r="A460" s="16" t="s">
        <v>77</v>
      </c>
      <c r="B460" s="16" t="s">
        <v>199</v>
      </c>
      <c r="C460" s="15">
        <v>1</v>
      </c>
      <c r="D460" s="17">
        <v>63253</v>
      </c>
      <c r="E460" s="17">
        <v>245318</v>
      </c>
      <c r="F460" s="17">
        <v>182065</v>
      </c>
      <c r="G460" s="18">
        <v>3.8783615006402861</v>
      </c>
      <c r="H460" s="10">
        <v>2025</v>
      </c>
    </row>
    <row r="461" spans="1:8" hidden="1" x14ac:dyDescent="0.3">
      <c r="A461" s="16" t="s">
        <v>77</v>
      </c>
      <c r="B461" s="16" t="s">
        <v>199</v>
      </c>
      <c r="C461" s="15">
        <v>2</v>
      </c>
      <c r="D461" s="17">
        <v>63253</v>
      </c>
      <c r="E461" s="17">
        <v>0</v>
      </c>
      <c r="F461" s="17">
        <v>-63253</v>
      </c>
      <c r="G461" s="18">
        <v>0</v>
      </c>
      <c r="H461" s="10">
        <v>2025</v>
      </c>
    </row>
    <row r="462" spans="1:8" hidden="1" x14ac:dyDescent="0.3">
      <c r="A462" s="16" t="s">
        <v>77</v>
      </c>
      <c r="B462" s="16" t="s">
        <v>199</v>
      </c>
      <c r="C462" s="15">
        <v>3</v>
      </c>
      <c r="D462" s="17">
        <v>63253</v>
      </c>
      <c r="E462" s="17">
        <v>0</v>
      </c>
      <c r="F462" s="17">
        <v>-63253</v>
      </c>
      <c r="G462" s="18">
        <v>0</v>
      </c>
      <c r="H462" s="10">
        <v>2025</v>
      </c>
    </row>
    <row r="463" spans="1:8" hidden="1" x14ac:dyDescent="0.3">
      <c r="A463" s="16" t="s">
        <v>77</v>
      </c>
      <c r="B463" s="16" t="s">
        <v>199</v>
      </c>
      <c r="C463" s="15">
        <v>4</v>
      </c>
      <c r="D463" s="17">
        <v>63253</v>
      </c>
      <c r="E463" s="17">
        <v>0</v>
      </c>
      <c r="F463" s="17">
        <v>-63253</v>
      </c>
      <c r="G463" s="18">
        <v>0</v>
      </c>
      <c r="H463" s="10">
        <v>2025</v>
      </c>
    </row>
    <row r="464" spans="1:8" hidden="1" x14ac:dyDescent="0.3">
      <c r="A464" s="16" t="s">
        <v>77</v>
      </c>
      <c r="B464" s="16" t="s">
        <v>199</v>
      </c>
      <c r="C464" s="15">
        <v>5</v>
      </c>
      <c r="D464" s="17">
        <v>63253</v>
      </c>
      <c r="E464" s="17">
        <v>74100</v>
      </c>
      <c r="F464" s="17">
        <v>10847</v>
      </c>
      <c r="G464" s="18">
        <v>1.1714859374258928</v>
      </c>
      <c r="H464" s="10">
        <v>2025</v>
      </c>
    </row>
    <row r="465" spans="1:8" hidden="1" x14ac:dyDescent="0.3">
      <c r="A465" s="16" t="s">
        <v>77</v>
      </c>
      <c r="B465" s="16" t="s">
        <v>199</v>
      </c>
      <c r="C465" s="15">
        <v>6</v>
      </c>
      <c r="D465" s="17">
        <v>160475</v>
      </c>
      <c r="E465" s="17">
        <v>0</v>
      </c>
      <c r="F465" s="17">
        <v>-160475</v>
      </c>
      <c r="G465" s="18">
        <v>0</v>
      </c>
      <c r="H465" s="10">
        <v>2025</v>
      </c>
    </row>
    <row r="466" spans="1:8" hidden="1" x14ac:dyDescent="0.3">
      <c r="A466" s="16" t="s">
        <v>77</v>
      </c>
      <c r="B466" s="16" t="s">
        <v>199</v>
      </c>
      <c r="C466" s="15">
        <v>7</v>
      </c>
      <c r="D466" s="17">
        <v>63253</v>
      </c>
      <c r="E466" s="17">
        <v>0</v>
      </c>
      <c r="F466" s="17">
        <v>-63253</v>
      </c>
      <c r="G466" s="18">
        <v>0</v>
      </c>
      <c r="H466" s="10">
        <v>2025</v>
      </c>
    </row>
    <row r="467" spans="1:8" hidden="1" x14ac:dyDescent="0.3">
      <c r="A467" s="16" t="s">
        <v>77</v>
      </c>
      <c r="B467" s="16" t="s">
        <v>199</v>
      </c>
      <c r="C467" s="15">
        <v>8</v>
      </c>
      <c r="D467" s="17">
        <v>63253</v>
      </c>
      <c r="E467" s="17">
        <v>0</v>
      </c>
      <c r="F467" s="17">
        <v>-63253</v>
      </c>
      <c r="G467" s="18">
        <v>0</v>
      </c>
      <c r="H467" s="10">
        <v>2025</v>
      </c>
    </row>
    <row r="468" spans="1:8" hidden="1" x14ac:dyDescent="0.3">
      <c r="A468" s="16" t="s">
        <v>77</v>
      </c>
      <c r="B468" s="16" t="s">
        <v>199</v>
      </c>
      <c r="C468" s="15">
        <v>9</v>
      </c>
      <c r="D468" s="17">
        <v>63253</v>
      </c>
      <c r="E468" s="17">
        <v>0</v>
      </c>
      <c r="F468" s="17">
        <v>-63253</v>
      </c>
      <c r="G468" s="18">
        <v>0</v>
      </c>
      <c r="H468" s="10">
        <v>2025</v>
      </c>
    </row>
    <row r="469" spans="1:8" hidden="1" x14ac:dyDescent="0.3">
      <c r="A469" s="16" t="s">
        <v>77</v>
      </c>
      <c r="B469" s="16" t="s">
        <v>199</v>
      </c>
      <c r="C469" s="15">
        <v>10</v>
      </c>
      <c r="D469" s="17">
        <v>63253</v>
      </c>
      <c r="E469" s="17">
        <v>0</v>
      </c>
      <c r="F469" s="17">
        <v>-63253</v>
      </c>
      <c r="G469" s="18">
        <v>0</v>
      </c>
      <c r="H469" s="10">
        <v>2025</v>
      </c>
    </row>
    <row r="470" spans="1:8" hidden="1" x14ac:dyDescent="0.3">
      <c r="A470" s="16" t="s">
        <v>77</v>
      </c>
      <c r="B470" s="16" t="s">
        <v>200</v>
      </c>
      <c r="C470" s="15">
        <v>1</v>
      </c>
      <c r="D470" s="17">
        <v>6846793</v>
      </c>
      <c r="E470" s="17">
        <v>6908775</v>
      </c>
      <c r="F470" s="17">
        <v>61982</v>
      </c>
      <c r="G470" s="18">
        <v>1.0090527054052898</v>
      </c>
      <c r="H470" s="10">
        <v>2025</v>
      </c>
    </row>
    <row r="471" spans="1:8" hidden="1" x14ac:dyDescent="0.3">
      <c r="A471" s="16" t="s">
        <v>77</v>
      </c>
      <c r="B471" s="16" t="s">
        <v>200</v>
      </c>
      <c r="C471" s="15">
        <v>2</v>
      </c>
      <c r="D471" s="17">
        <v>7186686</v>
      </c>
      <c r="E471" s="17">
        <v>5689816</v>
      </c>
      <c r="F471" s="17">
        <v>-1496870</v>
      </c>
      <c r="G471" s="18">
        <v>0.79171623749806241</v>
      </c>
      <c r="H471" s="10">
        <v>2025</v>
      </c>
    </row>
    <row r="472" spans="1:8" hidden="1" x14ac:dyDescent="0.3">
      <c r="A472" s="16" t="s">
        <v>77</v>
      </c>
      <c r="B472" s="4" t="s">
        <v>200</v>
      </c>
      <c r="C472" s="15">
        <v>3</v>
      </c>
      <c r="D472" s="17">
        <v>6825629</v>
      </c>
      <c r="E472" s="17">
        <v>5725572</v>
      </c>
      <c r="F472" s="17">
        <v>-1100057</v>
      </c>
      <c r="G472" s="18">
        <v>0.83883434039558846</v>
      </c>
      <c r="H472" s="10">
        <v>2025</v>
      </c>
    </row>
    <row r="473" spans="1:8" hidden="1" x14ac:dyDescent="0.3">
      <c r="A473" s="16" t="s">
        <v>77</v>
      </c>
      <c r="B473" s="4" t="s">
        <v>200</v>
      </c>
      <c r="C473" s="15">
        <v>4</v>
      </c>
      <c r="D473" s="17">
        <v>9549852</v>
      </c>
      <c r="E473" s="17">
        <v>7225616</v>
      </c>
      <c r="F473" s="17">
        <v>-2324236</v>
      </c>
      <c r="G473" s="18">
        <v>0.75662073087624815</v>
      </c>
      <c r="H473" s="10">
        <v>2025</v>
      </c>
    </row>
    <row r="474" spans="1:8" hidden="1" x14ac:dyDescent="0.3">
      <c r="A474" s="16" t="s">
        <v>77</v>
      </c>
      <c r="B474" s="4" t="s">
        <v>200</v>
      </c>
      <c r="C474" s="15">
        <v>5</v>
      </c>
      <c r="D474" s="17">
        <v>9199328</v>
      </c>
      <c r="E474" s="17">
        <v>9963290</v>
      </c>
      <c r="F474" s="17">
        <v>763962</v>
      </c>
      <c r="G474" s="18">
        <v>1.083045413751961</v>
      </c>
      <c r="H474" s="10">
        <v>2025</v>
      </c>
    </row>
    <row r="475" spans="1:8" hidden="1" x14ac:dyDescent="0.3">
      <c r="A475" s="16" t="s">
        <v>77</v>
      </c>
      <c r="B475" s="4" t="s">
        <v>200</v>
      </c>
      <c r="C475" s="15">
        <v>6</v>
      </c>
      <c r="D475" s="17">
        <v>9446019</v>
      </c>
      <c r="E475" s="17">
        <v>10828719</v>
      </c>
      <c r="F475" s="17">
        <v>1382700</v>
      </c>
      <c r="G475" s="18">
        <v>1.1463791254283948</v>
      </c>
      <c r="H475" s="10">
        <v>2025</v>
      </c>
    </row>
    <row r="476" spans="1:8" hidden="1" x14ac:dyDescent="0.3">
      <c r="A476" s="16" t="s">
        <v>77</v>
      </c>
      <c r="B476" s="16" t="s">
        <v>200</v>
      </c>
      <c r="C476" s="15">
        <v>7</v>
      </c>
      <c r="D476" s="17">
        <v>9218413</v>
      </c>
      <c r="E476" s="17">
        <v>10950168</v>
      </c>
      <c r="F476" s="17">
        <v>1731755</v>
      </c>
      <c r="G476" s="18">
        <v>1.1878582571642213</v>
      </c>
      <c r="H476" s="10">
        <v>2025</v>
      </c>
    </row>
    <row r="477" spans="1:8" hidden="1" x14ac:dyDescent="0.3">
      <c r="A477" s="16" t="s">
        <v>77</v>
      </c>
      <c r="B477" s="16" t="s">
        <v>200</v>
      </c>
      <c r="C477" s="15">
        <v>8</v>
      </c>
      <c r="D477" s="17">
        <v>9509401</v>
      </c>
      <c r="E477" s="17">
        <v>11162364</v>
      </c>
      <c r="F477" s="17">
        <v>1652963</v>
      </c>
      <c r="G477" s="18">
        <v>1.173824092600575</v>
      </c>
      <c r="H477" s="10">
        <v>2025</v>
      </c>
    </row>
    <row r="478" spans="1:8" hidden="1" x14ac:dyDescent="0.3">
      <c r="A478" s="16" t="s">
        <v>77</v>
      </c>
      <c r="B478" s="16" t="s">
        <v>200</v>
      </c>
      <c r="C478" s="15">
        <v>9</v>
      </c>
      <c r="D478" s="17">
        <v>9511122</v>
      </c>
      <c r="E478" s="17">
        <v>8219225</v>
      </c>
      <c r="F478" s="17">
        <v>-1291897</v>
      </c>
      <c r="G478" s="18">
        <v>0.86416986345039004</v>
      </c>
      <c r="H478" s="10">
        <v>2025</v>
      </c>
    </row>
    <row r="479" spans="1:8" hidden="1" x14ac:dyDescent="0.3">
      <c r="A479" s="16" t="s">
        <v>77</v>
      </c>
      <c r="B479" s="16" t="s">
        <v>200</v>
      </c>
      <c r="C479" s="15">
        <v>10</v>
      </c>
      <c r="D479" s="17">
        <v>9450010</v>
      </c>
      <c r="E479" s="17">
        <v>10162228</v>
      </c>
      <c r="F479" s="17">
        <v>712218</v>
      </c>
      <c r="G479" s="18">
        <v>1.0753669043736462</v>
      </c>
      <c r="H479" s="10">
        <v>2025</v>
      </c>
    </row>
    <row r="480" spans="1:8" hidden="1" x14ac:dyDescent="0.3">
      <c r="A480" s="16" t="s">
        <v>77</v>
      </c>
      <c r="B480" s="4" t="s">
        <v>201</v>
      </c>
      <c r="C480" s="15">
        <v>1</v>
      </c>
      <c r="D480" s="17">
        <v>847500</v>
      </c>
      <c r="E480" s="17">
        <v>847500</v>
      </c>
      <c r="F480" s="17">
        <v>0</v>
      </c>
      <c r="G480" s="18">
        <v>1</v>
      </c>
      <c r="H480" s="10">
        <v>2025</v>
      </c>
    </row>
    <row r="481" spans="1:8" hidden="1" x14ac:dyDescent="0.3">
      <c r="A481" s="16" t="s">
        <v>77</v>
      </c>
      <c r="B481" s="4" t="s">
        <v>201</v>
      </c>
      <c r="C481" s="15">
        <v>2</v>
      </c>
      <c r="D481" s="17">
        <v>467000</v>
      </c>
      <c r="E481" s="17">
        <v>447506</v>
      </c>
      <c r="F481" s="17">
        <v>-19494</v>
      </c>
      <c r="G481" s="18">
        <v>0.95825695931477517</v>
      </c>
      <c r="H481" s="10">
        <v>2025</v>
      </c>
    </row>
    <row r="482" spans="1:8" hidden="1" x14ac:dyDescent="0.3">
      <c r="A482" s="16" t="s">
        <v>77</v>
      </c>
      <c r="B482" s="4" t="s">
        <v>201</v>
      </c>
      <c r="C482" s="15">
        <v>3</v>
      </c>
      <c r="D482" s="17">
        <v>450620</v>
      </c>
      <c r="E482" s="17">
        <v>218144</v>
      </c>
      <c r="F482" s="17">
        <v>-232476</v>
      </c>
      <c r="G482" s="18">
        <v>0.48409746571390533</v>
      </c>
      <c r="H482" s="10">
        <v>2025</v>
      </c>
    </row>
    <row r="483" spans="1:8" hidden="1" x14ac:dyDescent="0.3">
      <c r="A483" s="16" t="s">
        <v>77</v>
      </c>
      <c r="B483" s="4" t="s">
        <v>201</v>
      </c>
      <c r="C483" s="15">
        <v>4</v>
      </c>
      <c r="D483" s="17">
        <v>560240</v>
      </c>
      <c r="E483" s="17">
        <v>554602</v>
      </c>
      <c r="F483" s="17">
        <v>-5638</v>
      </c>
      <c r="G483" s="18">
        <v>0.98993645580465517</v>
      </c>
      <c r="H483" s="10">
        <v>2025</v>
      </c>
    </row>
    <row r="484" spans="1:8" hidden="1" x14ac:dyDescent="0.3">
      <c r="A484" s="16" t="s">
        <v>77</v>
      </c>
      <c r="B484" s="4" t="s">
        <v>201</v>
      </c>
      <c r="C484" s="15">
        <v>5</v>
      </c>
      <c r="D484" s="17">
        <v>560240</v>
      </c>
      <c r="E484" s="17">
        <v>796303</v>
      </c>
      <c r="F484" s="17">
        <v>236063</v>
      </c>
      <c r="G484" s="18">
        <v>1.4213604883621305</v>
      </c>
      <c r="H484" s="10">
        <v>2025</v>
      </c>
    </row>
    <row r="485" spans="1:8" hidden="1" x14ac:dyDescent="0.3">
      <c r="A485" s="16" t="s">
        <v>77</v>
      </c>
      <c r="B485" s="4" t="s">
        <v>201</v>
      </c>
      <c r="C485" s="15">
        <v>6</v>
      </c>
      <c r="D485" s="17">
        <v>560240</v>
      </c>
      <c r="E485" s="17">
        <v>814990</v>
      </c>
      <c r="F485" s="17">
        <v>254750</v>
      </c>
      <c r="G485" s="18">
        <v>1.4547158360702557</v>
      </c>
      <c r="H485" s="10">
        <v>2025</v>
      </c>
    </row>
    <row r="486" spans="1:8" hidden="1" x14ac:dyDescent="0.3">
      <c r="A486" s="16" t="s">
        <v>77</v>
      </c>
      <c r="B486" s="16" t="s">
        <v>201</v>
      </c>
      <c r="C486" s="15">
        <v>7</v>
      </c>
      <c r="D486" s="17">
        <v>560240</v>
      </c>
      <c r="E486" s="17">
        <v>807413</v>
      </c>
      <c r="F486" s="17">
        <v>247173</v>
      </c>
      <c r="G486" s="18">
        <v>1.4411912751677853</v>
      </c>
      <c r="H486" s="10">
        <v>2025</v>
      </c>
    </row>
    <row r="487" spans="1:8" hidden="1" x14ac:dyDescent="0.3">
      <c r="A487" s="16" t="s">
        <v>77</v>
      </c>
      <c r="B487" s="16" t="s">
        <v>201</v>
      </c>
      <c r="C487" s="15">
        <v>8</v>
      </c>
      <c r="D487" s="17">
        <v>560240</v>
      </c>
      <c r="E487" s="17">
        <v>856933</v>
      </c>
      <c r="F487" s="17">
        <v>296693</v>
      </c>
      <c r="G487" s="18">
        <v>1.5295819648721978</v>
      </c>
      <c r="H487" s="10">
        <v>2025</v>
      </c>
    </row>
    <row r="488" spans="1:8" hidden="1" x14ac:dyDescent="0.3">
      <c r="A488" s="16" t="s">
        <v>77</v>
      </c>
      <c r="B488" s="16" t="s">
        <v>201</v>
      </c>
      <c r="C488" s="15">
        <v>9</v>
      </c>
      <c r="D488" s="17">
        <v>560240</v>
      </c>
      <c r="E488" s="17">
        <v>654720</v>
      </c>
      <c r="F488" s="17">
        <v>94480</v>
      </c>
      <c r="G488" s="18">
        <v>1.1686420105669</v>
      </c>
      <c r="H488" s="10">
        <v>2025</v>
      </c>
    </row>
    <row r="489" spans="1:8" hidden="1" x14ac:dyDescent="0.3">
      <c r="A489" s="16" t="s">
        <v>77</v>
      </c>
      <c r="B489" s="16" t="s">
        <v>201</v>
      </c>
      <c r="C489" s="15">
        <v>10</v>
      </c>
      <c r="D489" s="17">
        <v>560240</v>
      </c>
      <c r="E489" s="17">
        <v>709887</v>
      </c>
      <c r="F489" s="17">
        <v>149647</v>
      </c>
      <c r="G489" s="18">
        <v>1.2671123090104242</v>
      </c>
      <c r="H489" s="10">
        <v>2025</v>
      </c>
    </row>
    <row r="490" spans="1:8" hidden="1" x14ac:dyDescent="0.3">
      <c r="A490" s="16" t="s">
        <v>77</v>
      </c>
      <c r="B490" s="16" t="s">
        <v>202</v>
      </c>
      <c r="C490" s="15">
        <v>1</v>
      </c>
      <c r="D490" s="17">
        <v>172050</v>
      </c>
      <c r="E490" s="17">
        <v>173422</v>
      </c>
      <c r="F490" s="17">
        <v>1372</v>
      </c>
      <c r="G490" s="18">
        <v>1.0079744260389423</v>
      </c>
      <c r="H490" s="10">
        <v>2025</v>
      </c>
    </row>
    <row r="491" spans="1:8" hidden="1" x14ac:dyDescent="0.3">
      <c r="A491" s="16" t="s">
        <v>77</v>
      </c>
      <c r="B491" s="16" t="s">
        <v>202</v>
      </c>
      <c r="C491" s="15">
        <v>2</v>
      </c>
      <c r="D491" s="17">
        <v>176250</v>
      </c>
      <c r="E491" s="17">
        <v>136811</v>
      </c>
      <c r="F491" s="17">
        <v>-39439</v>
      </c>
      <c r="G491" s="18">
        <v>0.77623262411347516</v>
      </c>
      <c r="H491" s="10">
        <v>2025</v>
      </c>
    </row>
    <row r="492" spans="1:8" hidden="1" x14ac:dyDescent="0.3">
      <c r="A492" s="16" t="s">
        <v>77</v>
      </c>
      <c r="B492" s="16" t="s">
        <v>202</v>
      </c>
      <c r="C492" s="15">
        <v>3</v>
      </c>
      <c r="D492" s="17">
        <v>166890</v>
      </c>
      <c r="E492" s="17">
        <v>124654</v>
      </c>
      <c r="F492" s="17">
        <v>-42236</v>
      </c>
      <c r="G492" s="18">
        <v>0.74692312301515973</v>
      </c>
      <c r="H492" s="10">
        <v>2025</v>
      </c>
    </row>
    <row r="493" spans="1:8" hidden="1" x14ac:dyDescent="0.3">
      <c r="A493" s="16" t="s">
        <v>77</v>
      </c>
      <c r="B493" s="16" t="s">
        <v>202</v>
      </c>
      <c r="C493" s="15">
        <v>4</v>
      </c>
      <c r="D493" s="17">
        <v>229530</v>
      </c>
      <c r="E493" s="17">
        <v>169552</v>
      </c>
      <c r="F493" s="17">
        <v>-59978</v>
      </c>
      <c r="G493" s="18">
        <v>0.73869210996383916</v>
      </c>
      <c r="H493" s="10">
        <v>2025</v>
      </c>
    </row>
    <row r="494" spans="1:8" hidden="1" x14ac:dyDescent="0.3">
      <c r="A494" s="16" t="s">
        <v>77</v>
      </c>
      <c r="B494" s="16" t="s">
        <v>202</v>
      </c>
      <c r="C494" s="15">
        <v>5</v>
      </c>
      <c r="D494" s="17">
        <v>229530</v>
      </c>
      <c r="E494" s="17">
        <v>243445</v>
      </c>
      <c r="F494" s="17">
        <v>13915</v>
      </c>
      <c r="G494" s="18">
        <v>1.060623883588202</v>
      </c>
      <c r="H494" s="10">
        <v>2025</v>
      </c>
    </row>
    <row r="495" spans="1:8" hidden="1" x14ac:dyDescent="0.3">
      <c r="A495" s="16" t="s">
        <v>77</v>
      </c>
      <c r="B495" s="16" t="s">
        <v>202</v>
      </c>
      <c r="C495" s="15">
        <v>6</v>
      </c>
      <c r="D495" s="17">
        <v>229530</v>
      </c>
      <c r="E495" s="17">
        <v>249158</v>
      </c>
      <c r="F495" s="17">
        <v>19628</v>
      </c>
      <c r="G495" s="18">
        <v>1.0855138761817629</v>
      </c>
      <c r="H495" s="10">
        <v>2025</v>
      </c>
    </row>
    <row r="496" spans="1:8" hidden="1" x14ac:dyDescent="0.3">
      <c r="A496" s="16" t="s">
        <v>77</v>
      </c>
      <c r="B496" s="16" t="s">
        <v>202</v>
      </c>
      <c r="C496" s="15">
        <v>7</v>
      </c>
      <c r="D496" s="17">
        <v>229530</v>
      </c>
      <c r="E496" s="17">
        <v>246842</v>
      </c>
      <c r="F496" s="17">
        <v>17312</v>
      </c>
      <c r="G496" s="18">
        <v>1.0754236918921274</v>
      </c>
      <c r="H496" s="10">
        <v>2025</v>
      </c>
    </row>
    <row r="497" spans="1:8" hidden="1" x14ac:dyDescent="0.3">
      <c r="A497" s="16" t="s">
        <v>77</v>
      </c>
      <c r="B497" s="16" t="s">
        <v>202</v>
      </c>
      <c r="C497" s="15">
        <v>8</v>
      </c>
      <c r="D497" s="17">
        <v>229530</v>
      </c>
      <c r="E497" s="17">
        <v>261980</v>
      </c>
      <c r="F497" s="17">
        <v>32450</v>
      </c>
      <c r="G497" s="18">
        <v>1.1413758550080599</v>
      </c>
      <c r="H497" s="10">
        <v>2025</v>
      </c>
    </row>
    <row r="498" spans="1:8" hidden="1" x14ac:dyDescent="0.3">
      <c r="A498" s="16" t="s">
        <v>77</v>
      </c>
      <c r="B498" s="16" t="s">
        <v>202</v>
      </c>
      <c r="C498" s="15">
        <v>9</v>
      </c>
      <c r="D498" s="17">
        <v>229530</v>
      </c>
      <c r="E498" s="17">
        <v>200160</v>
      </c>
      <c r="F498" s="17">
        <v>-29370</v>
      </c>
      <c r="G498" s="18">
        <v>0.87204287021304405</v>
      </c>
      <c r="H498" s="10">
        <v>2025</v>
      </c>
    </row>
    <row r="499" spans="1:8" hidden="1" x14ac:dyDescent="0.3">
      <c r="A499" s="16" t="s">
        <v>77</v>
      </c>
      <c r="B499" s="16" t="s">
        <v>202</v>
      </c>
      <c r="C499" s="15">
        <v>10</v>
      </c>
      <c r="D499" s="17">
        <v>229530</v>
      </c>
      <c r="E499" s="17">
        <v>217026</v>
      </c>
      <c r="F499" s="17">
        <v>-12504</v>
      </c>
      <c r="G499" s="18">
        <v>0.94552346098549211</v>
      </c>
      <c r="H499" s="10">
        <v>2025</v>
      </c>
    </row>
    <row r="500" spans="1:8" hidden="1" x14ac:dyDescent="0.3">
      <c r="A500" s="16" t="s">
        <v>77</v>
      </c>
      <c r="B500" s="16" t="s">
        <v>203</v>
      </c>
      <c r="C500" s="15">
        <v>4</v>
      </c>
      <c r="D500" s="17">
        <v>468817</v>
      </c>
      <c r="E500" s="17">
        <v>0</v>
      </c>
      <c r="F500" s="17">
        <v>-468817</v>
      </c>
      <c r="G500" s="18">
        <v>0</v>
      </c>
      <c r="H500" s="10">
        <v>2025</v>
      </c>
    </row>
    <row r="501" spans="1:8" hidden="1" x14ac:dyDescent="0.3">
      <c r="A501" s="16" t="s">
        <v>77</v>
      </c>
      <c r="B501" s="16" t="s">
        <v>208</v>
      </c>
      <c r="C501" s="15">
        <v>7</v>
      </c>
      <c r="D501" s="17">
        <v>0</v>
      </c>
      <c r="E501" s="17">
        <v>86345</v>
      </c>
      <c r="F501" s="17">
        <v>86345</v>
      </c>
      <c r="G501" s="18">
        <v>0</v>
      </c>
      <c r="H501" s="10">
        <v>2025</v>
      </c>
    </row>
    <row r="502" spans="1:8" hidden="1" x14ac:dyDescent="0.3">
      <c r="A502" s="16" t="s">
        <v>77</v>
      </c>
      <c r="B502" s="16" t="s">
        <v>187</v>
      </c>
      <c r="C502" s="15">
        <v>11</v>
      </c>
      <c r="D502" s="17">
        <v>308454</v>
      </c>
      <c r="E502" s="17">
        <v>308556</v>
      </c>
      <c r="F502" s="17">
        <v>102</v>
      </c>
      <c r="G502" s="18">
        <v>1.0003306813981987</v>
      </c>
      <c r="H502" s="10">
        <v>2025</v>
      </c>
    </row>
    <row r="503" spans="1:8" hidden="1" x14ac:dyDescent="0.3">
      <c r="A503" s="16" t="s">
        <v>77</v>
      </c>
      <c r="B503" s="16" t="s">
        <v>202</v>
      </c>
      <c r="C503" s="15">
        <v>11</v>
      </c>
      <c r="D503" s="17">
        <v>229530</v>
      </c>
      <c r="E503" s="17">
        <v>250033</v>
      </c>
      <c r="F503" s="17">
        <v>20503</v>
      </c>
      <c r="G503" s="18">
        <v>1.0893260140286674</v>
      </c>
      <c r="H503" s="10">
        <v>2025</v>
      </c>
    </row>
    <row r="504" spans="1:8" hidden="1" x14ac:dyDescent="0.3">
      <c r="A504" s="16" t="s">
        <v>77</v>
      </c>
      <c r="B504" s="16" t="s">
        <v>185</v>
      </c>
      <c r="C504" s="15">
        <v>11</v>
      </c>
      <c r="D504" s="17">
        <v>117633</v>
      </c>
      <c r="E504" s="17">
        <v>117435</v>
      </c>
      <c r="F504" s="17">
        <v>-198</v>
      </c>
      <c r="G504" s="18">
        <v>0.99831679885746349</v>
      </c>
      <c r="H504" s="10">
        <v>2025</v>
      </c>
    </row>
    <row r="505" spans="1:8" hidden="1" x14ac:dyDescent="0.3">
      <c r="A505" s="16" t="s">
        <v>77</v>
      </c>
      <c r="B505" s="16" t="s">
        <v>192</v>
      </c>
      <c r="C505" s="15">
        <v>11</v>
      </c>
      <c r="D505" s="17">
        <v>208842</v>
      </c>
      <c r="E505" s="17">
        <v>191400</v>
      </c>
      <c r="F505" s="17">
        <v>-17442</v>
      </c>
      <c r="G505" s="18">
        <v>0.91648231677536129</v>
      </c>
      <c r="H505" s="10">
        <v>2025</v>
      </c>
    </row>
    <row r="506" spans="1:8" hidden="1" x14ac:dyDescent="0.3">
      <c r="A506" s="16" t="s">
        <v>77</v>
      </c>
      <c r="B506" s="16" t="s">
        <v>195</v>
      </c>
      <c r="C506" s="15">
        <v>11</v>
      </c>
      <c r="D506" s="17">
        <v>340967</v>
      </c>
      <c r="E506" s="17">
        <v>340600</v>
      </c>
      <c r="F506" s="17">
        <v>-367</v>
      </c>
      <c r="G506" s="18">
        <v>0.99892364950273782</v>
      </c>
      <c r="H506" s="10">
        <v>2025</v>
      </c>
    </row>
    <row r="507" spans="1:8" hidden="1" x14ac:dyDescent="0.3">
      <c r="A507" s="16" t="s">
        <v>77</v>
      </c>
      <c r="B507" s="16" t="s">
        <v>194</v>
      </c>
      <c r="C507" s="15">
        <v>11</v>
      </c>
      <c r="D507" s="17">
        <v>1022902</v>
      </c>
      <c r="E507" s="17">
        <v>1021000</v>
      </c>
      <c r="F507" s="17">
        <v>-1902</v>
      </c>
      <c r="G507" s="18">
        <v>0.99814058433750252</v>
      </c>
      <c r="H507" s="10">
        <v>2025</v>
      </c>
    </row>
    <row r="508" spans="1:8" hidden="1" x14ac:dyDescent="0.3">
      <c r="A508" s="16" t="s">
        <v>77</v>
      </c>
      <c r="B508" s="16" t="s">
        <v>207</v>
      </c>
      <c r="C508" s="15">
        <v>11</v>
      </c>
      <c r="D508" s="17">
        <v>0</v>
      </c>
      <c r="E508" s="17">
        <v>200000</v>
      </c>
      <c r="F508" s="17">
        <v>200000</v>
      </c>
      <c r="G508" s="18">
        <v>0</v>
      </c>
      <c r="H508" s="10">
        <v>2025</v>
      </c>
    </row>
    <row r="509" spans="1:8" hidden="1" x14ac:dyDescent="0.3">
      <c r="A509" s="16" t="s">
        <v>77</v>
      </c>
      <c r="B509" s="16" t="s">
        <v>186</v>
      </c>
      <c r="C509" s="15">
        <v>11</v>
      </c>
      <c r="D509" s="17">
        <v>1008950</v>
      </c>
      <c r="E509" s="17">
        <v>1009282</v>
      </c>
      <c r="F509" s="17">
        <v>332</v>
      </c>
      <c r="G509" s="18">
        <v>1.0003290549581247</v>
      </c>
      <c r="H509" s="10">
        <v>2025</v>
      </c>
    </row>
    <row r="510" spans="1:8" hidden="1" x14ac:dyDescent="0.3">
      <c r="A510" s="16" t="s">
        <v>77</v>
      </c>
      <c r="B510" s="16" t="s">
        <v>201</v>
      </c>
      <c r="C510" s="15">
        <v>11</v>
      </c>
      <c r="D510" s="17">
        <v>560240</v>
      </c>
      <c r="E510" s="17">
        <v>817854</v>
      </c>
      <c r="F510" s="17">
        <v>257614</v>
      </c>
      <c r="G510" s="18">
        <v>1.4598279308867628</v>
      </c>
      <c r="H510" s="10">
        <v>2025</v>
      </c>
    </row>
    <row r="511" spans="1:8" hidden="1" x14ac:dyDescent="0.3">
      <c r="A511" s="16" t="s">
        <v>77</v>
      </c>
      <c r="B511" s="16" t="s">
        <v>181</v>
      </c>
      <c r="C511" s="15">
        <v>11</v>
      </c>
      <c r="D511" s="17">
        <v>743384</v>
      </c>
      <c r="E511" s="17">
        <v>742182</v>
      </c>
      <c r="F511" s="17">
        <v>-1202</v>
      </c>
      <c r="G511" s="18">
        <v>0.99838306985353464</v>
      </c>
      <c r="H511" s="10">
        <v>2025</v>
      </c>
    </row>
    <row r="512" spans="1:8" hidden="1" x14ac:dyDescent="0.3">
      <c r="A512" s="16" t="s">
        <v>77</v>
      </c>
      <c r="B512" s="16" t="s">
        <v>208</v>
      </c>
      <c r="C512" s="15">
        <v>11</v>
      </c>
      <c r="D512" s="17">
        <v>0</v>
      </c>
      <c r="E512" s="17">
        <v>62306</v>
      </c>
      <c r="F512" s="17">
        <v>62306</v>
      </c>
      <c r="G512" s="18">
        <v>0</v>
      </c>
      <c r="H512" s="10">
        <v>2025</v>
      </c>
    </row>
    <row r="513" spans="1:8" hidden="1" x14ac:dyDescent="0.3">
      <c r="A513" s="16" t="s">
        <v>77</v>
      </c>
      <c r="B513" s="16" t="s">
        <v>189</v>
      </c>
      <c r="C513" s="15">
        <v>11</v>
      </c>
      <c r="D513" s="17">
        <v>192583</v>
      </c>
      <c r="E513" s="17">
        <v>0</v>
      </c>
      <c r="F513" s="17">
        <v>-192583</v>
      </c>
      <c r="G513" s="18">
        <v>0</v>
      </c>
      <c r="H513" s="10">
        <v>2025</v>
      </c>
    </row>
    <row r="514" spans="1:8" hidden="1" x14ac:dyDescent="0.3">
      <c r="A514" s="16" t="s">
        <v>77</v>
      </c>
      <c r="B514" s="16" t="s">
        <v>199</v>
      </c>
      <c r="C514" s="15">
        <v>11</v>
      </c>
      <c r="D514" s="17">
        <v>63253</v>
      </c>
      <c r="E514" s="17">
        <v>0</v>
      </c>
      <c r="F514" s="17">
        <v>-63253</v>
      </c>
      <c r="G514" s="18">
        <v>0</v>
      </c>
      <c r="H514" s="10">
        <v>2025</v>
      </c>
    </row>
    <row r="515" spans="1:8" hidden="1" x14ac:dyDescent="0.3">
      <c r="A515" s="16" t="s">
        <v>77</v>
      </c>
      <c r="B515" s="16" t="s">
        <v>205</v>
      </c>
      <c r="C515" s="15">
        <v>11</v>
      </c>
      <c r="D515" s="17">
        <v>1127187</v>
      </c>
      <c r="E515" s="17">
        <v>1110321</v>
      </c>
      <c r="F515" s="17">
        <v>-16866</v>
      </c>
      <c r="G515" s="18">
        <v>0.98503708790112021</v>
      </c>
      <c r="H515" s="10">
        <v>2025</v>
      </c>
    </row>
    <row r="516" spans="1:8" hidden="1" x14ac:dyDescent="0.3">
      <c r="A516" s="16" t="s">
        <v>77</v>
      </c>
      <c r="B516" s="16" t="s">
        <v>182</v>
      </c>
      <c r="C516" s="15">
        <v>11</v>
      </c>
      <c r="D516" s="17">
        <v>89206</v>
      </c>
      <c r="E516" s="17">
        <v>89097</v>
      </c>
      <c r="F516" s="17">
        <v>-109</v>
      </c>
      <c r="G516" s="18">
        <v>0.99877810909580078</v>
      </c>
      <c r="H516" s="10">
        <v>2025</v>
      </c>
    </row>
    <row r="517" spans="1:8" hidden="1" x14ac:dyDescent="0.3">
      <c r="A517" s="16" t="s">
        <v>77</v>
      </c>
      <c r="B517" s="16" t="s">
        <v>200</v>
      </c>
      <c r="C517" s="15">
        <v>11</v>
      </c>
      <c r="D517" s="17">
        <v>9856688</v>
      </c>
      <c r="E517" s="17">
        <v>11486444</v>
      </c>
      <c r="F517" s="17">
        <v>1629756</v>
      </c>
      <c r="G517" s="18">
        <v>1.1653451950594358</v>
      </c>
      <c r="H517" s="10">
        <v>2025</v>
      </c>
    </row>
    <row r="518" spans="1:8" hidden="1" x14ac:dyDescent="0.3">
      <c r="A518" s="16" t="s">
        <v>77</v>
      </c>
      <c r="B518" s="16" t="s">
        <v>183</v>
      </c>
      <c r="C518" s="15">
        <v>11</v>
      </c>
      <c r="D518" s="17">
        <v>743384</v>
      </c>
      <c r="E518" s="17">
        <v>742182</v>
      </c>
      <c r="F518" s="17">
        <v>-1202</v>
      </c>
      <c r="G518" s="18">
        <v>0.99838306985353464</v>
      </c>
      <c r="H518" s="10">
        <v>2025</v>
      </c>
    </row>
    <row r="519" spans="1:8" hidden="1" x14ac:dyDescent="0.3">
      <c r="A519" s="16" t="s">
        <v>77</v>
      </c>
      <c r="B519" s="16" t="s">
        <v>206</v>
      </c>
      <c r="C519" s="15">
        <v>11</v>
      </c>
      <c r="D519" s="17">
        <v>400000</v>
      </c>
      <c r="E519" s="17">
        <v>400000</v>
      </c>
      <c r="F519" s="17">
        <v>0</v>
      </c>
      <c r="G519" s="18">
        <v>1</v>
      </c>
      <c r="H519" s="10">
        <v>2025</v>
      </c>
    </row>
    <row r="520" spans="1:8" hidden="1" x14ac:dyDescent="0.3">
      <c r="A520" s="16" t="s">
        <v>77</v>
      </c>
      <c r="B520" s="16" t="s">
        <v>177</v>
      </c>
      <c r="C520" s="15">
        <v>11</v>
      </c>
      <c r="D520" s="17">
        <v>7397000</v>
      </c>
      <c r="E520" s="17">
        <v>6653600</v>
      </c>
      <c r="F520" s="17">
        <v>-743400</v>
      </c>
      <c r="G520" s="18">
        <v>0.89949979721508722</v>
      </c>
      <c r="H520" s="10">
        <v>2025</v>
      </c>
    </row>
    <row r="521" spans="1:8" hidden="1" x14ac:dyDescent="0.3">
      <c r="A521" s="16" t="s">
        <v>77</v>
      </c>
      <c r="B521" s="16" t="s">
        <v>184</v>
      </c>
      <c r="C521" s="15">
        <v>11</v>
      </c>
      <c r="D521" s="17">
        <v>355458</v>
      </c>
      <c r="E521" s="17">
        <v>354857</v>
      </c>
      <c r="F521" s="17">
        <v>-601</v>
      </c>
      <c r="G521" s="18">
        <v>0.99830922359322338</v>
      </c>
      <c r="H521" s="10">
        <v>2025</v>
      </c>
    </row>
    <row r="522" spans="1:8" hidden="1" x14ac:dyDescent="0.3">
      <c r="A522" s="16" t="s">
        <v>77</v>
      </c>
      <c r="B522" s="16" t="s">
        <v>177</v>
      </c>
      <c r="C522" s="15">
        <v>12</v>
      </c>
      <c r="D522" s="17">
        <v>7397000</v>
      </c>
      <c r="E522" s="17">
        <v>7149200</v>
      </c>
      <c r="F522" s="17">
        <v>-247800</v>
      </c>
      <c r="G522" s="18">
        <v>0.96649993240502907</v>
      </c>
      <c r="H522" s="10">
        <v>2025</v>
      </c>
    </row>
    <row r="523" spans="1:8" hidden="1" x14ac:dyDescent="0.3">
      <c r="A523" s="16" t="s">
        <v>77</v>
      </c>
      <c r="B523" s="16" t="s">
        <v>205</v>
      </c>
      <c r="C523" s="15">
        <v>12</v>
      </c>
      <c r="D523" s="17">
        <v>787493</v>
      </c>
      <c r="E523" s="17">
        <v>423496</v>
      </c>
      <c r="F523" s="17">
        <v>-363997</v>
      </c>
      <c r="G523" s="18">
        <v>0.53777747865695313</v>
      </c>
      <c r="H523" s="10">
        <v>2025</v>
      </c>
    </row>
    <row r="524" spans="1:8" hidden="1" x14ac:dyDescent="0.3">
      <c r="A524" s="16" t="s">
        <v>77</v>
      </c>
      <c r="B524" s="16" t="s">
        <v>179</v>
      </c>
      <c r="C524" s="15">
        <v>12</v>
      </c>
      <c r="D524" s="17">
        <v>0</v>
      </c>
      <c r="E524" s="17">
        <v>165208</v>
      </c>
      <c r="F524" s="17">
        <v>165208</v>
      </c>
      <c r="G524" s="18">
        <v>0</v>
      </c>
      <c r="H524" s="10">
        <v>2025</v>
      </c>
    </row>
    <row r="525" spans="1:8" hidden="1" x14ac:dyDescent="0.3">
      <c r="A525" s="16" t="s">
        <v>77</v>
      </c>
      <c r="B525" s="16" t="s">
        <v>206</v>
      </c>
      <c r="C525" s="15">
        <v>12</v>
      </c>
      <c r="D525" s="17">
        <v>400000</v>
      </c>
      <c r="E525" s="17">
        <v>373334</v>
      </c>
      <c r="F525" s="17">
        <v>-26666</v>
      </c>
      <c r="G525" s="18">
        <v>0.93333500000000003</v>
      </c>
      <c r="H525" s="10">
        <v>2025</v>
      </c>
    </row>
    <row r="526" spans="1:8" hidden="1" x14ac:dyDescent="0.3">
      <c r="A526" s="16" t="s">
        <v>77</v>
      </c>
      <c r="B526" s="16" t="s">
        <v>181</v>
      </c>
      <c r="C526" s="15">
        <v>12</v>
      </c>
      <c r="D526" s="17">
        <v>715088</v>
      </c>
      <c r="E526" s="17">
        <v>713274</v>
      </c>
      <c r="F526" s="17">
        <v>-1814</v>
      </c>
      <c r="G526" s="18">
        <v>0.99746324927841046</v>
      </c>
      <c r="H526" s="10">
        <v>2025</v>
      </c>
    </row>
    <row r="527" spans="1:8" hidden="1" x14ac:dyDescent="0.3">
      <c r="A527" s="16" t="s">
        <v>77</v>
      </c>
      <c r="B527" s="16" t="s">
        <v>182</v>
      </c>
      <c r="C527" s="15">
        <v>12</v>
      </c>
      <c r="D527" s="17">
        <v>85810</v>
      </c>
      <c r="E527" s="17">
        <v>85214</v>
      </c>
      <c r="F527" s="17">
        <v>-596</v>
      </c>
      <c r="G527" s="18">
        <v>0.99305442256147303</v>
      </c>
      <c r="H527" s="10">
        <v>2025</v>
      </c>
    </row>
    <row r="528" spans="1:8" hidden="1" x14ac:dyDescent="0.3">
      <c r="A528" s="16" t="s">
        <v>77</v>
      </c>
      <c r="B528" s="16" t="s">
        <v>183</v>
      </c>
      <c r="C528" s="15">
        <v>12</v>
      </c>
      <c r="D528" s="17">
        <v>715088</v>
      </c>
      <c r="E528" s="17">
        <v>647168</v>
      </c>
      <c r="F528" s="17">
        <v>-67920</v>
      </c>
      <c r="G528" s="18">
        <v>0.90501868301523736</v>
      </c>
      <c r="H528" s="10">
        <v>2025</v>
      </c>
    </row>
    <row r="529" spans="1:8" hidden="1" x14ac:dyDescent="0.3">
      <c r="A529" s="16" t="s">
        <v>77</v>
      </c>
      <c r="B529" s="16" t="s">
        <v>184</v>
      </c>
      <c r="C529" s="15">
        <v>12</v>
      </c>
      <c r="D529" s="17">
        <v>341293</v>
      </c>
      <c r="E529" s="17">
        <v>-852365</v>
      </c>
      <c r="F529" s="17">
        <v>-1193658</v>
      </c>
      <c r="G529" s="18">
        <v>-2.4974581957438331</v>
      </c>
      <c r="H529" s="10">
        <v>2025</v>
      </c>
    </row>
    <row r="530" spans="1:8" hidden="1" x14ac:dyDescent="0.3">
      <c r="A530" s="16" t="s">
        <v>77</v>
      </c>
      <c r="B530" s="16" t="s">
        <v>185</v>
      </c>
      <c r="C530" s="15">
        <v>12</v>
      </c>
      <c r="D530" s="17">
        <v>112946</v>
      </c>
      <c r="E530" s="17">
        <v>117469</v>
      </c>
      <c r="F530" s="17">
        <v>4523</v>
      </c>
      <c r="G530" s="18">
        <v>1.0400456855488465</v>
      </c>
      <c r="H530" s="10">
        <v>2025</v>
      </c>
    </row>
    <row r="531" spans="1:8" hidden="1" x14ac:dyDescent="0.3">
      <c r="A531" s="16" t="s">
        <v>77</v>
      </c>
      <c r="B531" s="16" t="s">
        <v>186</v>
      </c>
      <c r="C531" s="15">
        <v>12</v>
      </c>
      <c r="D531" s="17">
        <v>1008950</v>
      </c>
      <c r="E531" s="17">
        <v>-2745280</v>
      </c>
      <c r="F531" s="17">
        <v>-3754230</v>
      </c>
      <c r="G531" s="18">
        <v>-2.720927697110858</v>
      </c>
      <c r="H531" s="10">
        <v>2025</v>
      </c>
    </row>
    <row r="532" spans="1:8" hidden="1" x14ac:dyDescent="0.3">
      <c r="A532" s="16" t="s">
        <v>77</v>
      </c>
      <c r="B532" s="16" t="s">
        <v>187</v>
      </c>
      <c r="C532" s="15">
        <v>12</v>
      </c>
      <c r="D532" s="17">
        <v>308454</v>
      </c>
      <c r="E532" s="17">
        <v>313589</v>
      </c>
      <c r="F532" s="17">
        <v>5135</v>
      </c>
      <c r="G532" s="18">
        <v>1.016647539017163</v>
      </c>
      <c r="H532" s="10">
        <v>2025</v>
      </c>
    </row>
    <row r="533" spans="1:8" hidden="1" x14ac:dyDescent="0.3">
      <c r="A533" s="16" t="s">
        <v>77</v>
      </c>
      <c r="B533" s="16" t="s">
        <v>188</v>
      </c>
      <c r="C533" s="15">
        <v>12</v>
      </c>
      <c r="D533" s="17">
        <v>278547</v>
      </c>
      <c r="E533" s="17">
        <v>182540</v>
      </c>
      <c r="F533" s="17">
        <v>-96007</v>
      </c>
      <c r="G533" s="18">
        <v>0.65532926220709609</v>
      </c>
      <c r="H533" s="10">
        <v>2025</v>
      </c>
    </row>
    <row r="534" spans="1:8" hidden="1" x14ac:dyDescent="0.3">
      <c r="A534" s="16" t="s">
        <v>77</v>
      </c>
      <c r="B534" s="16" t="s">
        <v>189</v>
      </c>
      <c r="C534" s="15">
        <v>12</v>
      </c>
      <c r="D534" s="17">
        <v>192583</v>
      </c>
      <c r="E534" s="17">
        <v>0</v>
      </c>
      <c r="F534" s="17">
        <v>-192583</v>
      </c>
      <c r="G534" s="18">
        <v>0</v>
      </c>
      <c r="H534" s="10">
        <v>2025</v>
      </c>
    </row>
    <row r="535" spans="1:8" hidden="1" x14ac:dyDescent="0.3">
      <c r="A535" s="16" t="s">
        <v>77</v>
      </c>
      <c r="B535" s="16" t="s">
        <v>190</v>
      </c>
      <c r="C535" s="15">
        <v>12</v>
      </c>
      <c r="D535" s="17">
        <v>0</v>
      </c>
      <c r="E535" s="17">
        <v>22095500</v>
      </c>
      <c r="F535" s="17">
        <v>22095500</v>
      </c>
      <c r="G535" s="18">
        <v>0</v>
      </c>
      <c r="H535" s="10">
        <v>2025</v>
      </c>
    </row>
    <row r="536" spans="1:8" hidden="1" x14ac:dyDescent="0.3">
      <c r="A536" s="16" t="s">
        <v>77</v>
      </c>
      <c r="B536" s="16" t="s">
        <v>192</v>
      </c>
      <c r="C536" s="15">
        <v>12</v>
      </c>
      <c r="D536" s="17">
        <v>200520</v>
      </c>
      <c r="E536" s="17">
        <v>175900</v>
      </c>
      <c r="F536" s="17">
        <v>-24620</v>
      </c>
      <c r="G536" s="18">
        <v>0.87721923000199487</v>
      </c>
      <c r="H536" s="10">
        <v>2025</v>
      </c>
    </row>
    <row r="537" spans="1:8" hidden="1" x14ac:dyDescent="0.3">
      <c r="A537" s="16" t="s">
        <v>77</v>
      </c>
      <c r="B537" s="16" t="s">
        <v>194</v>
      </c>
      <c r="C537" s="15">
        <v>12</v>
      </c>
      <c r="D537" s="17">
        <v>982139</v>
      </c>
      <c r="E537" s="17">
        <v>937600</v>
      </c>
      <c r="F537" s="17">
        <v>-44539</v>
      </c>
      <c r="G537" s="18">
        <v>0.9546510219021952</v>
      </c>
      <c r="H537" s="10">
        <v>2025</v>
      </c>
    </row>
    <row r="538" spans="1:8" hidden="1" x14ac:dyDescent="0.3">
      <c r="A538" s="16" t="s">
        <v>77</v>
      </c>
      <c r="B538" s="16" t="s">
        <v>195</v>
      </c>
      <c r="C538" s="15">
        <v>12</v>
      </c>
      <c r="D538" s="17">
        <v>327379</v>
      </c>
      <c r="E538" s="17">
        <v>334200</v>
      </c>
      <c r="F538" s="17">
        <v>6821</v>
      </c>
      <c r="G538" s="18">
        <v>1.0208351787988845</v>
      </c>
      <c r="H538" s="10">
        <v>2025</v>
      </c>
    </row>
    <row r="539" spans="1:8" hidden="1" x14ac:dyDescent="0.3">
      <c r="A539" s="16" t="s">
        <v>77</v>
      </c>
      <c r="B539" s="16" t="s">
        <v>199</v>
      </c>
      <c r="C539" s="15">
        <v>12</v>
      </c>
      <c r="D539" s="17">
        <v>63253</v>
      </c>
      <c r="E539" s="17">
        <v>58800</v>
      </c>
      <c r="F539" s="17">
        <v>-4453</v>
      </c>
      <c r="G539" s="18">
        <v>0.92960017706670039</v>
      </c>
      <c r="H539" s="10">
        <v>2025</v>
      </c>
    </row>
    <row r="540" spans="1:8" hidden="1" x14ac:dyDescent="0.3">
      <c r="A540" s="16" t="s">
        <v>77</v>
      </c>
      <c r="B540" s="16" t="s">
        <v>200</v>
      </c>
      <c r="C540" s="15">
        <v>12</v>
      </c>
      <c r="D540" s="17">
        <v>9642077</v>
      </c>
      <c r="E540" s="17">
        <v>9256693</v>
      </c>
      <c r="F540" s="17">
        <v>-385384</v>
      </c>
      <c r="G540" s="18">
        <v>0.96003101821319203</v>
      </c>
      <c r="H540" s="10">
        <v>2025</v>
      </c>
    </row>
    <row r="541" spans="1:8" hidden="1" x14ac:dyDescent="0.3">
      <c r="A541" s="16" t="s">
        <v>77</v>
      </c>
      <c r="B541" s="16" t="s">
        <v>201</v>
      </c>
      <c r="C541" s="15">
        <v>12</v>
      </c>
      <c r="D541" s="17">
        <v>560240</v>
      </c>
      <c r="E541" s="17">
        <v>-1850852</v>
      </c>
      <c r="F541" s="17">
        <v>-2411092</v>
      </c>
      <c r="G541" s="18">
        <v>-3.3036769955733258</v>
      </c>
      <c r="H541" s="10">
        <v>2025</v>
      </c>
    </row>
    <row r="542" spans="1:8" hidden="1" x14ac:dyDescent="0.3">
      <c r="A542" s="16" t="s">
        <v>77</v>
      </c>
      <c r="B542" s="16" t="s">
        <v>202</v>
      </c>
      <c r="C542" s="15">
        <v>12</v>
      </c>
      <c r="D542" s="17">
        <v>229530</v>
      </c>
      <c r="E542" s="17">
        <v>741917</v>
      </c>
      <c r="F542" s="17">
        <v>512387</v>
      </c>
      <c r="G542" s="18">
        <v>3.2323312856707185</v>
      </c>
      <c r="H542" s="10">
        <v>2025</v>
      </c>
    </row>
    <row r="543" spans="1:8" hidden="1" x14ac:dyDescent="0.3">
      <c r="A543" s="4" t="s">
        <v>43</v>
      </c>
      <c r="B543" s="16" t="s">
        <v>181</v>
      </c>
      <c r="C543" s="15">
        <v>11</v>
      </c>
      <c r="D543" s="17">
        <v>4769283</v>
      </c>
      <c r="E543" s="17">
        <v>4946398</v>
      </c>
      <c r="F543" s="17">
        <v>177115</v>
      </c>
      <c r="G543" s="18">
        <v>1.0371366094232615</v>
      </c>
      <c r="H543" s="10">
        <v>2025</v>
      </c>
    </row>
    <row r="544" spans="1:8" hidden="1" x14ac:dyDescent="0.3">
      <c r="A544" s="4" t="s">
        <v>43</v>
      </c>
      <c r="B544" s="16" t="s">
        <v>187</v>
      </c>
      <c r="C544" s="15">
        <v>11</v>
      </c>
      <c r="D544" s="17">
        <v>637155</v>
      </c>
      <c r="E544" s="17">
        <v>675923</v>
      </c>
      <c r="F544" s="17">
        <v>38768</v>
      </c>
      <c r="G544" s="18">
        <v>1.0608454771601887</v>
      </c>
      <c r="H544" s="10">
        <v>2025</v>
      </c>
    </row>
    <row r="545" spans="1:8" hidden="1" x14ac:dyDescent="0.3">
      <c r="A545" s="4" t="s">
        <v>43</v>
      </c>
      <c r="B545" s="16" t="s">
        <v>202</v>
      </c>
      <c r="C545" s="15">
        <v>11</v>
      </c>
      <c r="D545" s="17">
        <v>893756</v>
      </c>
      <c r="E545" s="17">
        <v>856560</v>
      </c>
      <c r="F545" s="17">
        <v>-37196</v>
      </c>
      <c r="G545" s="18">
        <v>0.95838237729313147</v>
      </c>
      <c r="H545" s="10">
        <v>2025</v>
      </c>
    </row>
    <row r="546" spans="1:8" hidden="1" x14ac:dyDescent="0.3">
      <c r="A546" s="16" t="s">
        <v>43</v>
      </c>
      <c r="B546" s="16" t="s">
        <v>185</v>
      </c>
      <c r="C546" s="15">
        <v>11</v>
      </c>
      <c r="D546" s="17">
        <v>787349</v>
      </c>
      <c r="E546" s="17">
        <v>818532</v>
      </c>
      <c r="F546" s="17">
        <v>31183</v>
      </c>
      <c r="G546" s="18">
        <v>1.0396050544294844</v>
      </c>
      <c r="H546" s="10">
        <v>2025</v>
      </c>
    </row>
    <row r="547" spans="1:8" hidden="1" x14ac:dyDescent="0.3">
      <c r="A547" s="16" t="s">
        <v>43</v>
      </c>
      <c r="B547" s="16" t="s">
        <v>177</v>
      </c>
      <c r="C547" s="15">
        <v>1</v>
      </c>
      <c r="D547" s="17">
        <v>11235000</v>
      </c>
      <c r="E547" s="17">
        <v>10618407</v>
      </c>
      <c r="F547" s="17">
        <v>-616593</v>
      </c>
      <c r="G547" s="18">
        <v>0.94511855807743661</v>
      </c>
      <c r="H547" s="10">
        <v>2025</v>
      </c>
    </row>
    <row r="548" spans="1:8" hidden="1" x14ac:dyDescent="0.3">
      <c r="A548" s="16" t="s">
        <v>43</v>
      </c>
      <c r="B548" s="16" t="s">
        <v>177</v>
      </c>
      <c r="C548" s="15">
        <v>2</v>
      </c>
      <c r="D548" s="17">
        <v>12429500</v>
      </c>
      <c r="E548" s="17">
        <v>11894833</v>
      </c>
      <c r="F548" s="17">
        <v>-534667</v>
      </c>
      <c r="G548" s="18">
        <v>0.9569840299287985</v>
      </c>
      <c r="H548" s="10">
        <v>2025</v>
      </c>
    </row>
    <row r="549" spans="1:8" hidden="1" x14ac:dyDescent="0.3">
      <c r="A549" s="16" t="s">
        <v>43</v>
      </c>
      <c r="B549" s="16" t="s">
        <v>177</v>
      </c>
      <c r="C549" s="15">
        <v>3</v>
      </c>
      <c r="D549" s="17">
        <v>13834166</v>
      </c>
      <c r="E549" s="17">
        <v>13834166</v>
      </c>
      <c r="F549" s="17">
        <v>0</v>
      </c>
      <c r="G549" s="18">
        <v>1</v>
      </c>
      <c r="H549" s="10">
        <v>2025</v>
      </c>
    </row>
    <row r="550" spans="1:8" hidden="1" x14ac:dyDescent="0.3">
      <c r="A550" s="16" t="s">
        <v>43</v>
      </c>
      <c r="B550" s="16" t="s">
        <v>177</v>
      </c>
      <c r="C550" s="15">
        <v>4</v>
      </c>
      <c r="D550" s="17">
        <v>15279500</v>
      </c>
      <c r="E550" s="17">
        <v>14962332</v>
      </c>
      <c r="F550" s="17">
        <v>-317168</v>
      </c>
      <c r="G550" s="18">
        <v>0.97924225269151477</v>
      </c>
      <c r="H550" s="10">
        <v>2025</v>
      </c>
    </row>
    <row r="551" spans="1:8" hidden="1" x14ac:dyDescent="0.3">
      <c r="A551" s="16" t="s">
        <v>43</v>
      </c>
      <c r="B551" s="16" t="s">
        <v>177</v>
      </c>
      <c r="C551" s="15">
        <v>5</v>
      </c>
      <c r="D551" s="17">
        <v>15279500</v>
      </c>
      <c r="E551" s="17">
        <v>15098767</v>
      </c>
      <c r="F551" s="17">
        <v>-180733</v>
      </c>
      <c r="G551" s="18">
        <v>0.98817153702673521</v>
      </c>
      <c r="H551" s="10">
        <v>2025</v>
      </c>
    </row>
    <row r="552" spans="1:8" hidden="1" x14ac:dyDescent="0.3">
      <c r="A552" s="16" t="s">
        <v>43</v>
      </c>
      <c r="B552" s="16" t="s">
        <v>177</v>
      </c>
      <c r="C552" s="15">
        <v>6</v>
      </c>
      <c r="D552" s="17">
        <v>15279500</v>
      </c>
      <c r="E552" s="17">
        <v>13059333</v>
      </c>
      <c r="F552" s="17">
        <v>-2220167</v>
      </c>
      <c r="G552" s="18">
        <v>0.85469635786511344</v>
      </c>
      <c r="H552" s="10">
        <v>2025</v>
      </c>
    </row>
    <row r="553" spans="1:8" hidden="1" x14ac:dyDescent="0.3">
      <c r="A553" s="16" t="s">
        <v>43</v>
      </c>
      <c r="B553" s="16" t="s">
        <v>177</v>
      </c>
      <c r="C553" s="15">
        <v>7</v>
      </c>
      <c r="D553" s="17">
        <v>15279500</v>
      </c>
      <c r="E553" s="17">
        <v>15279500</v>
      </c>
      <c r="F553" s="17">
        <v>0</v>
      </c>
      <c r="G553" s="18">
        <v>1</v>
      </c>
      <c r="H553" s="10">
        <v>2025</v>
      </c>
    </row>
    <row r="554" spans="1:8" hidden="1" x14ac:dyDescent="0.3">
      <c r="A554" s="16" t="s">
        <v>43</v>
      </c>
      <c r="B554" s="16" t="s">
        <v>177</v>
      </c>
      <c r="C554" s="15">
        <v>8</v>
      </c>
      <c r="D554" s="17">
        <v>15279500</v>
      </c>
      <c r="E554" s="17">
        <v>11790667</v>
      </c>
      <c r="F554" s="17">
        <v>-3488833</v>
      </c>
      <c r="G554" s="18">
        <v>0.77166576131417919</v>
      </c>
      <c r="H554" s="10">
        <v>2025</v>
      </c>
    </row>
    <row r="555" spans="1:8" hidden="1" x14ac:dyDescent="0.3">
      <c r="A555" s="16" t="s">
        <v>43</v>
      </c>
      <c r="B555" s="16" t="s">
        <v>177</v>
      </c>
      <c r="C555" s="15">
        <v>9</v>
      </c>
      <c r="D555" s="17">
        <v>15279500</v>
      </c>
      <c r="E555" s="17">
        <v>15279500</v>
      </c>
      <c r="F555" s="17">
        <v>0</v>
      </c>
      <c r="G555" s="18">
        <v>1</v>
      </c>
      <c r="H555" s="10">
        <v>2025</v>
      </c>
    </row>
    <row r="556" spans="1:8" hidden="1" x14ac:dyDescent="0.3">
      <c r="A556" s="4" t="s">
        <v>43</v>
      </c>
      <c r="B556" s="16" t="s">
        <v>177</v>
      </c>
      <c r="C556" s="15">
        <v>10</v>
      </c>
      <c r="D556" s="17">
        <v>15279500</v>
      </c>
      <c r="E556" s="17">
        <v>15279500</v>
      </c>
      <c r="F556" s="17">
        <v>0</v>
      </c>
      <c r="G556" s="18">
        <v>1</v>
      </c>
      <c r="H556" s="10">
        <v>2025</v>
      </c>
    </row>
    <row r="557" spans="1:8" hidden="1" x14ac:dyDescent="0.3">
      <c r="A557" s="4" t="s">
        <v>43</v>
      </c>
      <c r="B557" s="16" t="s">
        <v>209</v>
      </c>
      <c r="C557" s="15">
        <v>1</v>
      </c>
      <c r="D557" s="17">
        <v>41999012</v>
      </c>
      <c r="E557" s="17">
        <v>41999011</v>
      </c>
      <c r="F557" s="17">
        <v>-1</v>
      </c>
      <c r="G557" s="18">
        <v>0.9999999761899161</v>
      </c>
      <c r="H557" s="10">
        <v>2025</v>
      </c>
    </row>
    <row r="558" spans="1:8" hidden="1" x14ac:dyDescent="0.3">
      <c r="A558" s="4" t="s">
        <v>43</v>
      </c>
      <c r="B558" s="16" t="s">
        <v>209</v>
      </c>
      <c r="C558" s="15">
        <v>2</v>
      </c>
      <c r="D558" s="17">
        <v>32490762</v>
      </c>
      <c r="E558" s="17">
        <v>32490764</v>
      </c>
      <c r="F558" s="17">
        <v>2</v>
      </c>
      <c r="G558" s="18">
        <v>1.0000000615559586</v>
      </c>
      <c r="H558" s="10">
        <v>2025</v>
      </c>
    </row>
    <row r="559" spans="1:8" hidden="1" x14ac:dyDescent="0.3">
      <c r="A559" s="4" t="s">
        <v>43</v>
      </c>
      <c r="B559" s="16" t="s">
        <v>209</v>
      </c>
      <c r="C559" s="15">
        <v>3</v>
      </c>
      <c r="D559" s="17">
        <v>34144751</v>
      </c>
      <c r="E559" s="17">
        <v>33685670</v>
      </c>
      <c r="F559" s="17">
        <v>-459081</v>
      </c>
      <c r="G559" s="18">
        <v>0.98655485875413185</v>
      </c>
      <c r="H559" s="10">
        <v>2025</v>
      </c>
    </row>
    <row r="560" spans="1:8" hidden="1" x14ac:dyDescent="0.3">
      <c r="A560" s="4" t="s">
        <v>43</v>
      </c>
      <c r="B560" s="16" t="s">
        <v>209</v>
      </c>
      <c r="C560" s="15">
        <v>4</v>
      </c>
      <c r="D560" s="17">
        <v>42207092</v>
      </c>
      <c r="E560" s="17">
        <v>42207093</v>
      </c>
      <c r="F560" s="17">
        <v>1</v>
      </c>
      <c r="G560" s="18">
        <v>1.0000000236927007</v>
      </c>
      <c r="H560" s="10">
        <v>2025</v>
      </c>
    </row>
    <row r="561" spans="1:8" hidden="1" x14ac:dyDescent="0.3">
      <c r="A561" s="4" t="s">
        <v>43</v>
      </c>
      <c r="B561" s="16" t="s">
        <v>209</v>
      </c>
      <c r="C561" s="15">
        <v>5</v>
      </c>
      <c r="D561" s="17">
        <v>34203835</v>
      </c>
      <c r="E561" s="17">
        <v>34203888</v>
      </c>
      <c r="F561" s="17">
        <v>53</v>
      </c>
      <c r="G561" s="18">
        <v>1.0000015495338461</v>
      </c>
      <c r="H561" s="10">
        <v>2025</v>
      </c>
    </row>
    <row r="562" spans="1:8" hidden="1" x14ac:dyDescent="0.3">
      <c r="A562" s="4" t="s">
        <v>43</v>
      </c>
      <c r="B562" s="16" t="s">
        <v>209</v>
      </c>
      <c r="C562" s="15">
        <v>6</v>
      </c>
      <c r="D562" s="17">
        <v>40925571</v>
      </c>
      <c r="E562" s="17">
        <v>40925571</v>
      </c>
      <c r="F562" s="17">
        <v>0</v>
      </c>
      <c r="G562" s="18">
        <v>1</v>
      </c>
      <c r="H562" s="10">
        <v>2025</v>
      </c>
    </row>
    <row r="563" spans="1:8" hidden="1" x14ac:dyDescent="0.3">
      <c r="A563" s="4" t="s">
        <v>43</v>
      </c>
      <c r="B563" s="16" t="s">
        <v>209</v>
      </c>
      <c r="C563" s="15">
        <v>7</v>
      </c>
      <c r="D563" s="17">
        <v>36636754</v>
      </c>
      <c r="E563" s="17">
        <v>36636752</v>
      </c>
      <c r="F563" s="17">
        <v>-2</v>
      </c>
      <c r="G563" s="18">
        <v>0.99999994541001103</v>
      </c>
      <c r="H563" s="10">
        <v>2025</v>
      </c>
    </row>
    <row r="564" spans="1:8" hidden="1" x14ac:dyDescent="0.3">
      <c r="A564" s="4" t="s">
        <v>43</v>
      </c>
      <c r="B564" s="16" t="s">
        <v>209</v>
      </c>
      <c r="C564" s="15">
        <v>8</v>
      </c>
      <c r="D564" s="17">
        <v>36750798</v>
      </c>
      <c r="E564" s="17">
        <v>37329579</v>
      </c>
      <c r="F564" s="17">
        <v>578781</v>
      </c>
      <c r="G564" s="18">
        <v>1.0157488008831808</v>
      </c>
      <c r="H564" s="10">
        <v>2025</v>
      </c>
    </row>
    <row r="565" spans="1:8" hidden="1" x14ac:dyDescent="0.3">
      <c r="A565" s="4" t="s">
        <v>43</v>
      </c>
      <c r="B565" s="16" t="s">
        <v>209</v>
      </c>
      <c r="C565" s="15">
        <v>9</v>
      </c>
      <c r="D565" s="17">
        <v>41774806</v>
      </c>
      <c r="E565" s="17">
        <v>38939279</v>
      </c>
      <c r="F565" s="17">
        <v>-2835527</v>
      </c>
      <c r="G565" s="18">
        <v>0.93212351482853095</v>
      </c>
      <c r="H565" s="10">
        <v>2025</v>
      </c>
    </row>
    <row r="566" spans="1:8" hidden="1" x14ac:dyDescent="0.3">
      <c r="A566" s="16" t="s">
        <v>43</v>
      </c>
      <c r="B566" s="16" t="s">
        <v>209</v>
      </c>
      <c r="C566" s="15">
        <v>10</v>
      </c>
      <c r="D566" s="17">
        <v>41774806</v>
      </c>
      <c r="E566" s="17">
        <v>41472500</v>
      </c>
      <c r="F566" s="17">
        <v>-302306</v>
      </c>
      <c r="G566" s="18">
        <v>0.99276343736940398</v>
      </c>
      <c r="H566" s="10">
        <v>2025</v>
      </c>
    </row>
    <row r="567" spans="1:8" hidden="1" x14ac:dyDescent="0.3">
      <c r="A567" s="16" t="s">
        <v>43</v>
      </c>
      <c r="B567" s="16" t="s">
        <v>179</v>
      </c>
      <c r="C567" s="15">
        <v>1</v>
      </c>
      <c r="D567" s="17">
        <v>0</v>
      </c>
      <c r="E567" s="17">
        <v>1272667</v>
      </c>
      <c r="F567" s="17">
        <v>1272667</v>
      </c>
      <c r="G567" s="18">
        <v>0</v>
      </c>
      <c r="H567" s="10">
        <v>2025</v>
      </c>
    </row>
    <row r="568" spans="1:8" hidden="1" x14ac:dyDescent="0.3">
      <c r="A568" s="16" t="s">
        <v>43</v>
      </c>
      <c r="B568" s="16" t="s">
        <v>179</v>
      </c>
      <c r="C568" s="15">
        <v>6</v>
      </c>
      <c r="D568" s="17">
        <v>0</v>
      </c>
      <c r="E568" s="17">
        <v>2220167</v>
      </c>
      <c r="F568" s="17">
        <v>2220167</v>
      </c>
      <c r="G568" s="18">
        <v>0</v>
      </c>
      <c r="H568" s="10">
        <v>2025</v>
      </c>
    </row>
    <row r="569" spans="1:8" hidden="1" x14ac:dyDescent="0.3">
      <c r="A569" s="16" t="s">
        <v>43</v>
      </c>
      <c r="B569" s="16" t="s">
        <v>206</v>
      </c>
      <c r="C569" s="15">
        <v>1</v>
      </c>
      <c r="D569" s="17">
        <v>0</v>
      </c>
      <c r="E569" s="17">
        <v>200000</v>
      </c>
      <c r="F569" s="17">
        <v>200000</v>
      </c>
      <c r="G569" s="18">
        <v>0</v>
      </c>
      <c r="H569" s="10">
        <v>2025</v>
      </c>
    </row>
    <row r="570" spans="1:8" hidden="1" x14ac:dyDescent="0.3">
      <c r="A570" s="16" t="s">
        <v>43</v>
      </c>
      <c r="B570" s="16" t="s">
        <v>206</v>
      </c>
      <c r="C570" s="15">
        <v>2</v>
      </c>
      <c r="D570" s="17">
        <v>0</v>
      </c>
      <c r="E570" s="17">
        <v>1036670</v>
      </c>
      <c r="F570" s="17">
        <v>1036670</v>
      </c>
      <c r="G570" s="18">
        <v>0</v>
      </c>
      <c r="H570" s="10">
        <v>2025</v>
      </c>
    </row>
    <row r="571" spans="1:8" hidden="1" x14ac:dyDescent="0.3">
      <c r="A571" s="16" t="s">
        <v>43</v>
      </c>
      <c r="B571" s="16" t="s">
        <v>206</v>
      </c>
      <c r="C571" s="15">
        <v>3</v>
      </c>
      <c r="D571" s="17">
        <v>200000</v>
      </c>
      <c r="E571" s="17">
        <v>293333</v>
      </c>
      <c r="F571" s="17">
        <v>93333</v>
      </c>
      <c r="G571" s="18">
        <v>1.4666650000000001</v>
      </c>
      <c r="H571" s="10">
        <v>2025</v>
      </c>
    </row>
    <row r="572" spans="1:8" hidden="1" x14ac:dyDescent="0.3">
      <c r="A572" s="16" t="s">
        <v>43</v>
      </c>
      <c r="B572" s="16" t="s">
        <v>206</v>
      </c>
      <c r="C572" s="15">
        <v>4</v>
      </c>
      <c r="D572" s="17">
        <v>200000</v>
      </c>
      <c r="E572" s="17">
        <v>400000</v>
      </c>
      <c r="F572" s="17">
        <v>200000</v>
      </c>
      <c r="G572" s="18">
        <v>2</v>
      </c>
      <c r="H572" s="10">
        <v>2025</v>
      </c>
    </row>
    <row r="573" spans="1:8" hidden="1" x14ac:dyDescent="0.3">
      <c r="A573" s="16" t="s">
        <v>43</v>
      </c>
      <c r="B573" s="16" t="s">
        <v>206</v>
      </c>
      <c r="C573" s="15">
        <v>5</v>
      </c>
      <c r="D573" s="17">
        <v>200000</v>
      </c>
      <c r="E573" s="17">
        <v>400000</v>
      </c>
      <c r="F573" s="17">
        <v>200000</v>
      </c>
      <c r="G573" s="18">
        <v>2</v>
      </c>
      <c r="H573" s="10">
        <v>2025</v>
      </c>
    </row>
    <row r="574" spans="1:8" hidden="1" x14ac:dyDescent="0.3">
      <c r="A574" s="16" t="s">
        <v>43</v>
      </c>
      <c r="B574" s="16" t="s">
        <v>206</v>
      </c>
      <c r="C574" s="15">
        <v>6</v>
      </c>
      <c r="D574" s="17">
        <v>200000</v>
      </c>
      <c r="E574" s="17">
        <v>400000</v>
      </c>
      <c r="F574" s="17">
        <v>200000</v>
      </c>
      <c r="G574" s="18">
        <v>2</v>
      </c>
      <c r="H574" s="10">
        <v>2025</v>
      </c>
    </row>
    <row r="575" spans="1:8" hidden="1" x14ac:dyDescent="0.3">
      <c r="A575" s="16" t="s">
        <v>43</v>
      </c>
      <c r="B575" s="16" t="s">
        <v>206</v>
      </c>
      <c r="C575" s="15">
        <v>7</v>
      </c>
      <c r="D575" s="17">
        <v>200000</v>
      </c>
      <c r="E575" s="17">
        <v>400000</v>
      </c>
      <c r="F575" s="17">
        <v>200000</v>
      </c>
      <c r="G575" s="18">
        <v>2</v>
      </c>
      <c r="H575" s="10">
        <v>2025</v>
      </c>
    </row>
    <row r="576" spans="1:8" hidden="1" x14ac:dyDescent="0.3">
      <c r="A576" s="16" t="s">
        <v>43</v>
      </c>
      <c r="B576" s="16" t="s">
        <v>206</v>
      </c>
      <c r="C576" s="15">
        <v>8</v>
      </c>
      <c r="D576" s="17">
        <v>200000</v>
      </c>
      <c r="E576" s="17">
        <v>200000</v>
      </c>
      <c r="F576" s="17">
        <v>0</v>
      </c>
      <c r="G576" s="18">
        <v>1</v>
      </c>
      <c r="H576" s="10">
        <v>2025</v>
      </c>
    </row>
    <row r="577" spans="1:8" hidden="1" x14ac:dyDescent="0.3">
      <c r="A577" s="16" t="s">
        <v>43</v>
      </c>
      <c r="B577" s="16" t="s">
        <v>206</v>
      </c>
      <c r="C577" s="15">
        <v>9</v>
      </c>
      <c r="D577" s="17">
        <v>200000</v>
      </c>
      <c r="E577" s="17">
        <v>200000</v>
      </c>
      <c r="F577" s="17">
        <v>0</v>
      </c>
      <c r="G577" s="18">
        <v>1</v>
      </c>
      <c r="H577" s="10">
        <v>2025</v>
      </c>
    </row>
    <row r="578" spans="1:8" hidden="1" x14ac:dyDescent="0.3">
      <c r="A578" s="16" t="s">
        <v>43</v>
      </c>
      <c r="B578" s="16" t="s">
        <v>206</v>
      </c>
      <c r="C578" s="15">
        <v>10</v>
      </c>
      <c r="D578" s="17">
        <v>200000</v>
      </c>
      <c r="E578" s="17">
        <v>200000</v>
      </c>
      <c r="F578" s="17">
        <v>0</v>
      </c>
      <c r="G578" s="18">
        <v>1</v>
      </c>
      <c r="H578" s="10">
        <v>2025</v>
      </c>
    </row>
    <row r="579" spans="1:8" hidden="1" x14ac:dyDescent="0.3">
      <c r="A579" s="16" t="s">
        <v>43</v>
      </c>
      <c r="B579" s="16" t="s">
        <v>181</v>
      </c>
      <c r="C579" s="15">
        <v>1</v>
      </c>
      <c r="D579" s="17">
        <v>4434393</v>
      </c>
      <c r="E579" s="17">
        <v>4863836</v>
      </c>
      <c r="F579" s="17">
        <v>429443</v>
      </c>
      <c r="G579" s="18">
        <v>1.0968436942778865</v>
      </c>
      <c r="H579" s="10">
        <v>2025</v>
      </c>
    </row>
    <row r="580" spans="1:8" hidden="1" x14ac:dyDescent="0.3">
      <c r="A580" s="16" t="s">
        <v>43</v>
      </c>
      <c r="B580" s="16" t="s">
        <v>181</v>
      </c>
      <c r="C580" s="15">
        <v>2</v>
      </c>
      <c r="D580" s="17">
        <v>3741857</v>
      </c>
      <c r="E580" s="17">
        <v>3862356</v>
      </c>
      <c r="F580" s="17">
        <v>120499</v>
      </c>
      <c r="G580" s="18">
        <v>1.0322029943955635</v>
      </c>
      <c r="H580" s="10">
        <v>2025</v>
      </c>
    </row>
    <row r="581" spans="1:8" hidden="1" x14ac:dyDescent="0.3">
      <c r="A581" s="16" t="s">
        <v>43</v>
      </c>
      <c r="B581" s="16" t="s">
        <v>181</v>
      </c>
      <c r="C581" s="15">
        <v>3</v>
      </c>
      <c r="D581" s="17">
        <v>4013303</v>
      </c>
      <c r="E581" s="17">
        <v>3982838</v>
      </c>
      <c r="F581" s="17">
        <v>-30465</v>
      </c>
      <c r="G581" s="18">
        <v>0.99240899578227715</v>
      </c>
      <c r="H581" s="10">
        <v>2025</v>
      </c>
    </row>
    <row r="582" spans="1:8" hidden="1" x14ac:dyDescent="0.3">
      <c r="A582" s="16" t="s">
        <v>43</v>
      </c>
      <c r="B582" s="16" t="s">
        <v>181</v>
      </c>
      <c r="C582" s="15">
        <v>4</v>
      </c>
      <c r="D582" s="17">
        <v>4805293</v>
      </c>
      <c r="E582" s="17">
        <v>4922140</v>
      </c>
      <c r="F582" s="17">
        <v>116847</v>
      </c>
      <c r="G582" s="18">
        <v>1.0243163112010027</v>
      </c>
      <c r="H582" s="10">
        <v>2025</v>
      </c>
    </row>
    <row r="583" spans="1:8" hidden="1" x14ac:dyDescent="0.3">
      <c r="A583" s="16" t="s">
        <v>43</v>
      </c>
      <c r="B583" s="16" t="s">
        <v>181</v>
      </c>
      <c r="C583" s="15">
        <v>5</v>
      </c>
      <c r="D583" s="17">
        <v>4138621</v>
      </c>
      <c r="E583" s="17">
        <v>4203754</v>
      </c>
      <c r="F583" s="17">
        <v>65133</v>
      </c>
      <c r="G583" s="18">
        <v>1.0157378508445205</v>
      </c>
      <c r="H583" s="10">
        <v>2025</v>
      </c>
    </row>
    <row r="584" spans="1:8" hidden="1" x14ac:dyDescent="0.3">
      <c r="A584" s="16" t="s">
        <v>43</v>
      </c>
      <c r="B584" s="16" t="s">
        <v>181</v>
      </c>
      <c r="C584" s="15">
        <v>6</v>
      </c>
      <c r="D584" s="17">
        <v>4698542</v>
      </c>
      <c r="E584" s="17">
        <v>4715203</v>
      </c>
      <c r="F584" s="17">
        <v>16661</v>
      </c>
      <c r="G584" s="18">
        <v>1.0035459936295132</v>
      </c>
      <c r="H584" s="10">
        <v>2025</v>
      </c>
    </row>
    <row r="585" spans="1:8" hidden="1" x14ac:dyDescent="0.3">
      <c r="A585" s="16" t="s">
        <v>43</v>
      </c>
      <c r="B585" s="16" t="s">
        <v>181</v>
      </c>
      <c r="C585" s="15">
        <v>7</v>
      </c>
      <c r="D585" s="17">
        <v>4341283</v>
      </c>
      <c r="E585" s="17">
        <v>4357944</v>
      </c>
      <c r="F585" s="17">
        <v>16661</v>
      </c>
      <c r="G585" s="18">
        <v>1.0038378055519532</v>
      </c>
      <c r="H585" s="10">
        <v>2025</v>
      </c>
    </row>
    <row r="586" spans="1:8" hidden="1" x14ac:dyDescent="0.3">
      <c r="A586" s="16" t="s">
        <v>43</v>
      </c>
      <c r="B586" s="16" t="s">
        <v>181</v>
      </c>
      <c r="C586" s="15">
        <v>8</v>
      </c>
      <c r="D586" s="17">
        <v>4350783</v>
      </c>
      <c r="E586" s="17">
        <v>5570172</v>
      </c>
      <c r="F586" s="17">
        <v>1219389</v>
      </c>
      <c r="G586" s="18">
        <v>1.2802688619496767</v>
      </c>
      <c r="H586" s="10">
        <v>2025</v>
      </c>
    </row>
    <row r="587" spans="1:8" hidden="1" x14ac:dyDescent="0.3">
      <c r="A587" s="16" t="s">
        <v>43</v>
      </c>
      <c r="B587" s="16" t="s">
        <v>181</v>
      </c>
      <c r="C587" s="15">
        <v>9</v>
      </c>
      <c r="D587" s="17">
        <v>4769283</v>
      </c>
      <c r="E587" s="17">
        <v>4533083</v>
      </c>
      <c r="F587" s="17">
        <v>-236200</v>
      </c>
      <c r="G587" s="18">
        <v>0.95047473592990817</v>
      </c>
      <c r="H587" s="10">
        <v>2025</v>
      </c>
    </row>
    <row r="588" spans="1:8" hidden="1" x14ac:dyDescent="0.3">
      <c r="A588" s="16" t="s">
        <v>43</v>
      </c>
      <c r="B588" s="16" t="s">
        <v>181</v>
      </c>
      <c r="C588" s="15">
        <v>10</v>
      </c>
      <c r="D588" s="17">
        <v>4769283</v>
      </c>
      <c r="E588" s="17">
        <v>4744101</v>
      </c>
      <c r="F588" s="17">
        <v>-25182</v>
      </c>
      <c r="G588" s="18">
        <v>0.99471996105074922</v>
      </c>
      <c r="H588" s="10">
        <v>2025</v>
      </c>
    </row>
    <row r="589" spans="1:8" hidden="1" x14ac:dyDescent="0.3">
      <c r="A589" s="16" t="s">
        <v>43</v>
      </c>
      <c r="B589" s="16" t="s">
        <v>182</v>
      </c>
      <c r="C589" s="15">
        <v>1</v>
      </c>
      <c r="D589" s="17">
        <v>532127</v>
      </c>
      <c r="E589" s="17">
        <v>583893</v>
      </c>
      <c r="F589" s="17">
        <v>51766</v>
      </c>
      <c r="G589" s="18">
        <v>1.0972812881135519</v>
      </c>
      <c r="H589" s="10">
        <v>2025</v>
      </c>
    </row>
    <row r="590" spans="1:8" hidden="1" x14ac:dyDescent="0.3">
      <c r="A590" s="16" t="s">
        <v>43</v>
      </c>
      <c r="B590" s="16" t="s">
        <v>182</v>
      </c>
      <c r="C590" s="15">
        <v>2</v>
      </c>
      <c r="D590" s="17">
        <v>449022</v>
      </c>
      <c r="E590" s="17">
        <v>463668</v>
      </c>
      <c r="F590" s="17">
        <v>14646</v>
      </c>
      <c r="G590" s="18">
        <v>1.032617555487259</v>
      </c>
      <c r="H590" s="10">
        <v>2025</v>
      </c>
    </row>
    <row r="591" spans="1:8" hidden="1" x14ac:dyDescent="0.3">
      <c r="A591" s="16" t="s">
        <v>43</v>
      </c>
      <c r="B591" s="16" t="s">
        <v>182</v>
      </c>
      <c r="C591" s="15">
        <v>3</v>
      </c>
      <c r="D591" s="17">
        <v>481596</v>
      </c>
      <c r="E591" s="17">
        <v>478132</v>
      </c>
      <c r="F591" s="17">
        <v>-3464</v>
      </c>
      <c r="G591" s="18">
        <v>0.99280724922964481</v>
      </c>
      <c r="H591" s="10">
        <v>2025</v>
      </c>
    </row>
    <row r="592" spans="1:8" hidden="1" x14ac:dyDescent="0.3">
      <c r="A592" s="16" t="s">
        <v>43</v>
      </c>
      <c r="B592" s="16" t="s">
        <v>182</v>
      </c>
      <c r="C592" s="15">
        <v>4</v>
      </c>
      <c r="D592" s="17">
        <v>576635</v>
      </c>
      <c r="E592" s="17">
        <v>590892</v>
      </c>
      <c r="F592" s="17">
        <v>14257</v>
      </c>
      <c r="G592" s="18">
        <v>1.0247244790898922</v>
      </c>
      <c r="H592" s="10">
        <v>2025</v>
      </c>
    </row>
    <row r="593" spans="1:8" hidden="1" x14ac:dyDescent="0.3">
      <c r="A593" s="16" t="s">
        <v>43</v>
      </c>
      <c r="B593" s="16" t="s">
        <v>182</v>
      </c>
      <c r="C593" s="15">
        <v>5</v>
      </c>
      <c r="D593" s="17">
        <v>496634</v>
      </c>
      <c r="E593" s="17">
        <v>504653</v>
      </c>
      <c r="F593" s="17">
        <v>8019</v>
      </c>
      <c r="G593" s="18">
        <v>1.0161466995815833</v>
      </c>
      <c r="H593" s="10">
        <v>2025</v>
      </c>
    </row>
    <row r="594" spans="1:8" hidden="1" x14ac:dyDescent="0.3">
      <c r="A594" s="16" t="s">
        <v>43</v>
      </c>
      <c r="B594" s="16" t="s">
        <v>182</v>
      </c>
      <c r="C594" s="15">
        <v>6</v>
      </c>
      <c r="D594" s="17">
        <v>563825</v>
      </c>
      <c r="E594" s="17">
        <v>566052</v>
      </c>
      <c r="F594" s="17">
        <v>2227</v>
      </c>
      <c r="G594" s="18">
        <v>1.0039498071210038</v>
      </c>
      <c r="H594" s="10">
        <v>2025</v>
      </c>
    </row>
    <row r="595" spans="1:8" hidden="1" x14ac:dyDescent="0.3">
      <c r="A595" s="16" t="s">
        <v>43</v>
      </c>
      <c r="B595" s="16" t="s">
        <v>182</v>
      </c>
      <c r="C595" s="15">
        <v>7</v>
      </c>
      <c r="D595" s="17">
        <v>520953</v>
      </c>
      <c r="E595" s="17">
        <v>523162</v>
      </c>
      <c r="F595" s="17">
        <v>2209</v>
      </c>
      <c r="G595" s="18">
        <v>1.0042403057473515</v>
      </c>
      <c r="H595" s="10">
        <v>2025</v>
      </c>
    </row>
    <row r="596" spans="1:8" hidden="1" x14ac:dyDescent="0.3">
      <c r="A596" s="16" t="s">
        <v>43</v>
      </c>
      <c r="B596" s="16" t="s">
        <v>182</v>
      </c>
      <c r="C596" s="15">
        <v>8</v>
      </c>
      <c r="D596" s="17">
        <v>522093</v>
      </c>
      <c r="E596" s="17">
        <v>668690</v>
      </c>
      <c r="F596" s="17">
        <v>146597</v>
      </c>
      <c r="G596" s="18">
        <v>1.2807871394559973</v>
      </c>
      <c r="H596" s="10">
        <v>2025</v>
      </c>
    </row>
    <row r="597" spans="1:8" hidden="1" x14ac:dyDescent="0.3">
      <c r="A597" s="16" t="s">
        <v>43</v>
      </c>
      <c r="B597" s="16" t="s">
        <v>182</v>
      </c>
      <c r="C597" s="15">
        <v>9</v>
      </c>
      <c r="D597" s="17">
        <v>572313</v>
      </c>
      <c r="E597" s="17">
        <v>544188</v>
      </c>
      <c r="F597" s="17">
        <v>-28125</v>
      </c>
      <c r="G597" s="18">
        <v>0.95085731059752276</v>
      </c>
      <c r="H597" s="10">
        <v>2025</v>
      </c>
    </row>
    <row r="598" spans="1:8" hidden="1" x14ac:dyDescent="0.3">
      <c r="A598" s="16" t="s">
        <v>43</v>
      </c>
      <c r="B598" s="16" t="s">
        <v>182</v>
      </c>
      <c r="C598" s="15">
        <v>10</v>
      </c>
      <c r="D598" s="17">
        <v>572313</v>
      </c>
      <c r="E598" s="17">
        <v>569520</v>
      </c>
      <c r="F598" s="17">
        <v>-2793</v>
      </c>
      <c r="G598" s="18">
        <v>0.99511980332440464</v>
      </c>
      <c r="H598" s="10">
        <v>2025</v>
      </c>
    </row>
    <row r="599" spans="1:8" hidden="1" x14ac:dyDescent="0.3">
      <c r="A599" s="16" t="s">
        <v>43</v>
      </c>
      <c r="B599" s="16" t="s">
        <v>183</v>
      </c>
      <c r="C599" s="15">
        <v>1</v>
      </c>
      <c r="D599" s="17">
        <v>4434393</v>
      </c>
      <c r="E599" s="17">
        <v>4863836</v>
      </c>
      <c r="F599" s="17">
        <v>429443</v>
      </c>
      <c r="G599" s="18">
        <v>1.0968436942778865</v>
      </c>
      <c r="H599" s="10">
        <v>2025</v>
      </c>
    </row>
    <row r="600" spans="1:8" hidden="1" x14ac:dyDescent="0.3">
      <c r="A600" s="16" t="s">
        <v>43</v>
      </c>
      <c r="B600" s="16" t="s">
        <v>183</v>
      </c>
      <c r="C600" s="15">
        <v>2</v>
      </c>
      <c r="D600" s="17">
        <v>3741857</v>
      </c>
      <c r="E600" s="17">
        <v>3862356</v>
      </c>
      <c r="F600" s="17">
        <v>120499</v>
      </c>
      <c r="G600" s="18">
        <v>1.0322029943955635</v>
      </c>
      <c r="H600" s="10">
        <v>2025</v>
      </c>
    </row>
    <row r="601" spans="1:8" hidden="1" x14ac:dyDescent="0.3">
      <c r="A601" s="16" t="s">
        <v>43</v>
      </c>
      <c r="B601" s="16" t="s">
        <v>183</v>
      </c>
      <c r="C601" s="15">
        <v>3</v>
      </c>
      <c r="D601" s="17">
        <v>4013303</v>
      </c>
      <c r="E601" s="17">
        <v>3982838</v>
      </c>
      <c r="F601" s="17">
        <v>-30465</v>
      </c>
      <c r="G601" s="18">
        <v>0.99240899578227715</v>
      </c>
      <c r="H601" s="10">
        <v>2025</v>
      </c>
    </row>
    <row r="602" spans="1:8" hidden="1" x14ac:dyDescent="0.3">
      <c r="A602" s="16" t="s">
        <v>43</v>
      </c>
      <c r="B602" s="16" t="s">
        <v>183</v>
      </c>
      <c r="C602" s="15">
        <v>4</v>
      </c>
      <c r="D602" s="17">
        <v>4805293</v>
      </c>
      <c r="E602" s="17">
        <v>4922140</v>
      </c>
      <c r="F602" s="17">
        <v>116847</v>
      </c>
      <c r="G602" s="18">
        <v>1.0243163112010027</v>
      </c>
      <c r="H602" s="10">
        <v>2025</v>
      </c>
    </row>
    <row r="603" spans="1:8" hidden="1" x14ac:dyDescent="0.3">
      <c r="A603" s="16" t="s">
        <v>43</v>
      </c>
      <c r="B603" s="16" t="s">
        <v>183</v>
      </c>
      <c r="C603" s="15">
        <v>5</v>
      </c>
      <c r="D603" s="17">
        <v>4138621</v>
      </c>
      <c r="E603" s="17">
        <v>4203754</v>
      </c>
      <c r="F603" s="17">
        <v>65133</v>
      </c>
      <c r="G603" s="18">
        <v>1.0157378508445205</v>
      </c>
      <c r="H603" s="10">
        <v>2025</v>
      </c>
    </row>
    <row r="604" spans="1:8" hidden="1" x14ac:dyDescent="0.3">
      <c r="A604" s="16" t="s">
        <v>43</v>
      </c>
      <c r="B604" s="16" t="s">
        <v>183</v>
      </c>
      <c r="C604" s="15">
        <v>6</v>
      </c>
      <c r="D604" s="17">
        <v>4698542</v>
      </c>
      <c r="E604" s="17">
        <v>4715203</v>
      </c>
      <c r="F604" s="17">
        <v>16661</v>
      </c>
      <c r="G604" s="18">
        <v>1.0035459936295132</v>
      </c>
      <c r="H604" s="10">
        <v>2025</v>
      </c>
    </row>
    <row r="605" spans="1:8" hidden="1" x14ac:dyDescent="0.3">
      <c r="A605" s="16" t="s">
        <v>43</v>
      </c>
      <c r="B605" s="16" t="s">
        <v>183</v>
      </c>
      <c r="C605" s="15">
        <v>7</v>
      </c>
      <c r="D605" s="17">
        <v>4341283</v>
      </c>
      <c r="E605" s="17">
        <v>4357944</v>
      </c>
      <c r="F605" s="17">
        <v>16661</v>
      </c>
      <c r="G605" s="18">
        <v>1.0038378055519532</v>
      </c>
      <c r="H605" s="10">
        <v>2025</v>
      </c>
    </row>
    <row r="606" spans="1:8" hidden="1" x14ac:dyDescent="0.3">
      <c r="A606" s="4" t="s">
        <v>43</v>
      </c>
      <c r="B606" s="16" t="s">
        <v>183</v>
      </c>
      <c r="C606" s="15">
        <v>8</v>
      </c>
      <c r="D606" s="17">
        <v>4350783</v>
      </c>
      <c r="E606" s="17">
        <v>5570172</v>
      </c>
      <c r="F606" s="17">
        <v>1219389</v>
      </c>
      <c r="G606" s="18">
        <v>1.2802688619496767</v>
      </c>
      <c r="H606" s="10">
        <v>2025</v>
      </c>
    </row>
    <row r="607" spans="1:8" hidden="1" x14ac:dyDescent="0.3">
      <c r="A607" s="4" t="s">
        <v>43</v>
      </c>
      <c r="B607" s="16" t="s">
        <v>183</v>
      </c>
      <c r="C607" s="15">
        <v>9</v>
      </c>
      <c r="D607" s="17">
        <v>4769283</v>
      </c>
      <c r="E607" s="17">
        <v>4533083</v>
      </c>
      <c r="F607" s="17">
        <v>-236200</v>
      </c>
      <c r="G607" s="18">
        <v>0.95047473592990817</v>
      </c>
      <c r="H607" s="10">
        <v>2025</v>
      </c>
    </row>
    <row r="608" spans="1:8" hidden="1" x14ac:dyDescent="0.3">
      <c r="A608" s="4" t="s">
        <v>43</v>
      </c>
      <c r="B608" s="16" t="s">
        <v>183</v>
      </c>
      <c r="C608" s="15">
        <v>10</v>
      </c>
      <c r="D608" s="17">
        <v>4769283</v>
      </c>
      <c r="E608" s="17">
        <v>4744101</v>
      </c>
      <c r="F608" s="17">
        <v>-25182</v>
      </c>
      <c r="G608" s="18">
        <v>0.99471996105074922</v>
      </c>
      <c r="H608" s="10">
        <v>2025</v>
      </c>
    </row>
    <row r="609" spans="1:8" hidden="1" x14ac:dyDescent="0.3">
      <c r="A609" s="4" t="s">
        <v>43</v>
      </c>
      <c r="B609" s="16" t="s">
        <v>184</v>
      </c>
      <c r="C609" s="15">
        <v>1</v>
      </c>
      <c r="D609" s="17">
        <v>2219858</v>
      </c>
      <c r="E609" s="17">
        <v>2426499</v>
      </c>
      <c r="F609" s="17">
        <v>206641</v>
      </c>
      <c r="G609" s="18">
        <v>1.0930874857761173</v>
      </c>
      <c r="H609" s="10">
        <v>2025</v>
      </c>
    </row>
    <row r="610" spans="1:8" hidden="1" x14ac:dyDescent="0.3">
      <c r="A610" s="4" t="s">
        <v>43</v>
      </c>
      <c r="B610" s="16" t="s">
        <v>184</v>
      </c>
      <c r="C610" s="15">
        <v>2</v>
      </c>
      <c r="D610" s="17">
        <v>1873174</v>
      </c>
      <c r="E610" s="17">
        <v>1890266</v>
      </c>
      <c r="F610" s="17">
        <v>17092</v>
      </c>
      <c r="G610" s="18">
        <v>1.0091246194961065</v>
      </c>
      <c r="H610" s="10">
        <v>2025</v>
      </c>
    </row>
    <row r="611" spans="1:8" hidden="1" x14ac:dyDescent="0.3">
      <c r="A611" s="4" t="s">
        <v>43</v>
      </c>
      <c r="B611" s="16" t="s">
        <v>184</v>
      </c>
      <c r="C611" s="15">
        <v>3</v>
      </c>
      <c r="D611" s="17">
        <v>2000720</v>
      </c>
      <c r="E611" s="17">
        <v>1981578</v>
      </c>
      <c r="F611" s="17">
        <v>-19142</v>
      </c>
      <c r="G611" s="18">
        <v>0.99043244432004485</v>
      </c>
      <c r="H611" s="10">
        <v>2025</v>
      </c>
    </row>
    <row r="612" spans="1:8" hidden="1" x14ac:dyDescent="0.3">
      <c r="A612" s="4" t="s">
        <v>43</v>
      </c>
      <c r="B612" s="16" t="s">
        <v>184</v>
      </c>
      <c r="C612" s="15">
        <v>4</v>
      </c>
      <c r="D612" s="17">
        <v>2397190</v>
      </c>
      <c r="E612" s="17">
        <v>2447346</v>
      </c>
      <c r="F612" s="17">
        <v>50156</v>
      </c>
      <c r="G612" s="18">
        <v>1.0209228304806879</v>
      </c>
      <c r="H612" s="10">
        <v>2025</v>
      </c>
    </row>
    <row r="613" spans="1:8" hidden="1" x14ac:dyDescent="0.3">
      <c r="A613" s="4" t="s">
        <v>43</v>
      </c>
      <c r="B613" s="16" t="s">
        <v>184</v>
      </c>
      <c r="C613" s="15">
        <v>5</v>
      </c>
      <c r="D613" s="17">
        <v>2063455</v>
      </c>
      <c r="E613" s="17">
        <v>2087721</v>
      </c>
      <c r="F613" s="17">
        <v>24266</v>
      </c>
      <c r="G613" s="18">
        <v>1.0117598881487602</v>
      </c>
      <c r="H613" s="10">
        <v>2025</v>
      </c>
    </row>
    <row r="614" spans="1:8" hidden="1" x14ac:dyDescent="0.3">
      <c r="A614" s="4" t="s">
        <v>43</v>
      </c>
      <c r="B614" s="16" t="s">
        <v>184</v>
      </c>
      <c r="C614" s="15">
        <v>6</v>
      </c>
      <c r="D614" s="17">
        <v>2343751</v>
      </c>
      <c r="E614" s="17">
        <v>2343751</v>
      </c>
      <c r="F614" s="17">
        <v>0</v>
      </c>
      <c r="G614" s="18">
        <v>1</v>
      </c>
      <c r="H614" s="10">
        <v>2025</v>
      </c>
    </row>
    <row r="615" spans="1:8" hidden="1" x14ac:dyDescent="0.3">
      <c r="A615" s="4" t="s">
        <v>43</v>
      </c>
      <c r="B615" s="16" t="s">
        <v>184</v>
      </c>
      <c r="C615" s="15">
        <v>7</v>
      </c>
      <c r="D615" s="17">
        <v>2164907</v>
      </c>
      <c r="E615" s="17">
        <v>2164910</v>
      </c>
      <c r="F615" s="17">
        <v>3</v>
      </c>
      <c r="G615" s="18">
        <v>1.0000013857408194</v>
      </c>
      <c r="H615" s="10">
        <v>2025</v>
      </c>
    </row>
    <row r="616" spans="1:8" hidden="1" x14ac:dyDescent="0.3">
      <c r="A616" s="16" t="s">
        <v>43</v>
      </c>
      <c r="B616" s="16" t="s">
        <v>184</v>
      </c>
      <c r="C616" s="15">
        <v>8</v>
      </c>
      <c r="D616" s="17">
        <v>2169663</v>
      </c>
      <c r="E616" s="17">
        <v>2780091</v>
      </c>
      <c r="F616" s="17">
        <v>610428</v>
      </c>
      <c r="G616" s="18">
        <v>1.2813469188532967</v>
      </c>
      <c r="H616" s="10">
        <v>2025</v>
      </c>
    </row>
    <row r="617" spans="1:8" hidden="1" x14ac:dyDescent="0.3">
      <c r="A617" s="16" t="s">
        <v>43</v>
      </c>
      <c r="B617" s="16" t="s">
        <v>184</v>
      </c>
      <c r="C617" s="15">
        <v>9</v>
      </c>
      <c r="D617" s="17">
        <v>2379164</v>
      </c>
      <c r="E617" s="17">
        <v>2260925</v>
      </c>
      <c r="F617" s="17">
        <v>-118239</v>
      </c>
      <c r="G617" s="18">
        <v>0.95030229105685871</v>
      </c>
      <c r="H617" s="10">
        <v>2025</v>
      </c>
    </row>
    <row r="618" spans="1:8" hidden="1" x14ac:dyDescent="0.3">
      <c r="A618" s="16" t="s">
        <v>43</v>
      </c>
      <c r="B618" s="16" t="s">
        <v>184</v>
      </c>
      <c r="C618" s="15">
        <v>10</v>
      </c>
      <c r="D618" s="17">
        <v>2379164</v>
      </c>
      <c r="E618" s="17">
        <v>2366559</v>
      </c>
      <c r="F618" s="17">
        <v>-12605</v>
      </c>
      <c r="G618" s="18">
        <v>0.99470192050653095</v>
      </c>
      <c r="H618" s="10">
        <v>2025</v>
      </c>
    </row>
    <row r="619" spans="1:8" hidden="1" x14ac:dyDescent="0.3">
      <c r="A619" s="16" t="s">
        <v>43</v>
      </c>
      <c r="B619" s="16" t="s">
        <v>185</v>
      </c>
      <c r="C619" s="15">
        <v>1</v>
      </c>
      <c r="D619" s="17">
        <v>734629</v>
      </c>
      <c r="E619" s="17">
        <v>803013</v>
      </c>
      <c r="F619" s="17">
        <v>68384</v>
      </c>
      <c r="G619" s="18">
        <v>1.0930864422722217</v>
      </c>
      <c r="H619" s="10">
        <v>2025</v>
      </c>
    </row>
    <row r="620" spans="1:8" hidden="1" x14ac:dyDescent="0.3">
      <c r="A620" s="16" t="s">
        <v>43</v>
      </c>
      <c r="B620" s="16" t="s">
        <v>185</v>
      </c>
      <c r="C620" s="15">
        <v>2</v>
      </c>
      <c r="D620" s="17">
        <v>619899</v>
      </c>
      <c r="E620" s="17">
        <v>625558</v>
      </c>
      <c r="F620" s="17">
        <v>5659</v>
      </c>
      <c r="G620" s="18">
        <v>1.009128906483153</v>
      </c>
      <c r="H620" s="10">
        <v>2025</v>
      </c>
    </row>
    <row r="621" spans="1:8" hidden="1" x14ac:dyDescent="0.3">
      <c r="A621" s="16" t="s">
        <v>43</v>
      </c>
      <c r="B621" s="16" t="s">
        <v>185</v>
      </c>
      <c r="C621" s="15">
        <v>3</v>
      </c>
      <c r="D621" s="17">
        <v>662109</v>
      </c>
      <c r="E621" s="17">
        <v>655772</v>
      </c>
      <c r="F621" s="17">
        <v>-6337</v>
      </c>
      <c r="G621" s="18">
        <v>0.99042906832560806</v>
      </c>
      <c r="H621" s="10">
        <v>2025</v>
      </c>
    </row>
    <row r="622" spans="1:8" hidden="1" x14ac:dyDescent="0.3">
      <c r="A622" s="16" t="s">
        <v>43</v>
      </c>
      <c r="B622" s="16" t="s">
        <v>185</v>
      </c>
      <c r="C622" s="15">
        <v>4</v>
      </c>
      <c r="D622" s="17">
        <v>793314</v>
      </c>
      <c r="E622" s="17">
        <v>809914</v>
      </c>
      <c r="F622" s="17">
        <v>16600</v>
      </c>
      <c r="G622" s="18">
        <v>1.0209248796819419</v>
      </c>
      <c r="H622" s="10">
        <v>2025</v>
      </c>
    </row>
    <row r="623" spans="1:8" hidden="1" x14ac:dyDescent="0.3">
      <c r="A623" s="16" t="s">
        <v>43</v>
      </c>
      <c r="B623" s="16" t="s">
        <v>185</v>
      </c>
      <c r="C623" s="15">
        <v>5</v>
      </c>
      <c r="D623" s="17">
        <v>682870</v>
      </c>
      <c r="E623" s="17">
        <v>690899</v>
      </c>
      <c r="F623" s="17">
        <v>8029</v>
      </c>
      <c r="G623" s="18">
        <v>1.0117577284109713</v>
      </c>
      <c r="H623" s="10">
        <v>2025</v>
      </c>
    </row>
    <row r="624" spans="1:8" hidden="1" x14ac:dyDescent="0.3">
      <c r="A624" s="16" t="s">
        <v>43</v>
      </c>
      <c r="B624" s="16" t="s">
        <v>185</v>
      </c>
      <c r="C624" s="15">
        <v>6</v>
      </c>
      <c r="D624" s="17">
        <v>775629</v>
      </c>
      <c r="E624" s="17">
        <v>775630</v>
      </c>
      <c r="F624" s="17">
        <v>1</v>
      </c>
      <c r="G624" s="18">
        <v>1.0000012892761876</v>
      </c>
      <c r="H624" s="10">
        <v>2025</v>
      </c>
    </row>
    <row r="625" spans="1:8" hidden="1" x14ac:dyDescent="0.3">
      <c r="A625" s="16" t="s">
        <v>43</v>
      </c>
      <c r="B625" s="16" t="s">
        <v>185</v>
      </c>
      <c r="C625" s="15">
        <v>7</v>
      </c>
      <c r="D625" s="17">
        <v>716444</v>
      </c>
      <c r="E625" s="17">
        <v>716444</v>
      </c>
      <c r="F625" s="17">
        <v>0</v>
      </c>
      <c r="G625" s="18">
        <v>1</v>
      </c>
      <c r="H625" s="10">
        <v>2025</v>
      </c>
    </row>
    <row r="626" spans="1:8" hidden="1" x14ac:dyDescent="0.3">
      <c r="A626" s="4" t="s">
        <v>43</v>
      </c>
      <c r="B626" s="16" t="s">
        <v>185</v>
      </c>
      <c r="C626" s="15">
        <v>8</v>
      </c>
      <c r="D626" s="17">
        <v>718018</v>
      </c>
      <c r="E626" s="17">
        <v>920030</v>
      </c>
      <c r="F626" s="17">
        <v>202012</v>
      </c>
      <c r="G626" s="18">
        <v>1.2813467071856137</v>
      </c>
      <c r="H626" s="10">
        <v>2025</v>
      </c>
    </row>
    <row r="627" spans="1:8" hidden="1" x14ac:dyDescent="0.3">
      <c r="A627" s="4" t="s">
        <v>43</v>
      </c>
      <c r="B627" s="16" t="s">
        <v>185</v>
      </c>
      <c r="C627" s="15">
        <v>9</v>
      </c>
      <c r="D627" s="17">
        <v>787349</v>
      </c>
      <c r="E627" s="17">
        <v>748219</v>
      </c>
      <c r="F627" s="17">
        <v>-39130</v>
      </c>
      <c r="G627" s="18">
        <v>0.95030158163660594</v>
      </c>
      <c r="H627" s="10">
        <v>2025</v>
      </c>
    </row>
    <row r="628" spans="1:8" hidden="1" x14ac:dyDescent="0.3">
      <c r="A628" s="4" t="s">
        <v>43</v>
      </c>
      <c r="B628" s="16" t="s">
        <v>185</v>
      </c>
      <c r="C628" s="15">
        <v>10</v>
      </c>
      <c r="D628" s="17">
        <v>787349</v>
      </c>
      <c r="E628" s="17">
        <v>783177</v>
      </c>
      <c r="F628" s="17">
        <v>-4172</v>
      </c>
      <c r="G628" s="18">
        <v>0.99470120619953795</v>
      </c>
      <c r="H628" s="10">
        <v>2025</v>
      </c>
    </row>
    <row r="629" spans="1:8" hidden="1" x14ac:dyDescent="0.3">
      <c r="A629" s="4" t="s">
        <v>43</v>
      </c>
      <c r="B629" s="16" t="s">
        <v>207</v>
      </c>
      <c r="C629" s="15">
        <v>1</v>
      </c>
      <c r="D629" s="17">
        <v>400000</v>
      </c>
      <c r="E629" s="17">
        <v>0</v>
      </c>
      <c r="F629" s="17">
        <v>-400000</v>
      </c>
      <c r="G629" s="18">
        <v>0</v>
      </c>
      <c r="H629" s="10">
        <v>2025</v>
      </c>
    </row>
    <row r="630" spans="1:8" hidden="1" x14ac:dyDescent="0.3">
      <c r="A630" s="4" t="s">
        <v>43</v>
      </c>
      <c r="B630" s="16" t="s">
        <v>207</v>
      </c>
      <c r="C630" s="15">
        <v>2</v>
      </c>
      <c r="D630" s="17">
        <v>400000</v>
      </c>
      <c r="E630" s="17">
        <v>400000</v>
      </c>
      <c r="F630" s="17">
        <v>0</v>
      </c>
      <c r="G630" s="18">
        <v>1</v>
      </c>
      <c r="H630" s="10">
        <v>2025</v>
      </c>
    </row>
    <row r="631" spans="1:8" hidden="1" x14ac:dyDescent="0.3">
      <c r="A631" s="4" t="s">
        <v>43</v>
      </c>
      <c r="B631" s="16" t="s">
        <v>207</v>
      </c>
      <c r="C631" s="15">
        <v>3</v>
      </c>
      <c r="D631" s="17">
        <v>400000</v>
      </c>
      <c r="E631" s="17">
        <v>400000</v>
      </c>
      <c r="F631" s="17">
        <v>0</v>
      </c>
      <c r="G631" s="18">
        <v>1</v>
      </c>
      <c r="H631" s="10">
        <v>2025</v>
      </c>
    </row>
    <row r="632" spans="1:8" hidden="1" x14ac:dyDescent="0.3">
      <c r="A632" s="4" t="s">
        <v>43</v>
      </c>
      <c r="B632" s="16" t="s">
        <v>207</v>
      </c>
      <c r="C632" s="15">
        <v>4</v>
      </c>
      <c r="D632" s="17">
        <v>400000</v>
      </c>
      <c r="E632" s="17">
        <v>400000</v>
      </c>
      <c r="F632" s="17">
        <v>0</v>
      </c>
      <c r="G632" s="18">
        <v>1</v>
      </c>
      <c r="H632" s="10">
        <v>2025</v>
      </c>
    </row>
    <row r="633" spans="1:8" hidden="1" x14ac:dyDescent="0.3">
      <c r="A633" s="4" t="s">
        <v>43</v>
      </c>
      <c r="B633" s="16" t="s">
        <v>207</v>
      </c>
      <c r="C633" s="15">
        <v>5</v>
      </c>
      <c r="D633" s="17">
        <v>400000</v>
      </c>
      <c r="E633" s="17">
        <v>400000</v>
      </c>
      <c r="F633" s="17">
        <v>0</v>
      </c>
      <c r="G633" s="18">
        <v>1</v>
      </c>
      <c r="H633" s="10">
        <v>2025</v>
      </c>
    </row>
    <row r="634" spans="1:8" hidden="1" x14ac:dyDescent="0.3">
      <c r="A634" s="4" t="s">
        <v>43</v>
      </c>
      <c r="B634" s="16" t="s">
        <v>207</v>
      </c>
      <c r="C634" s="15">
        <v>6</v>
      </c>
      <c r="D634" s="17">
        <v>400000</v>
      </c>
      <c r="E634" s="17">
        <v>400000</v>
      </c>
      <c r="F634" s="17">
        <v>0</v>
      </c>
      <c r="G634" s="18">
        <v>1</v>
      </c>
      <c r="H634" s="10">
        <v>2025</v>
      </c>
    </row>
    <row r="635" spans="1:8" hidden="1" x14ac:dyDescent="0.3">
      <c r="A635" s="4" t="s">
        <v>43</v>
      </c>
      <c r="B635" s="16" t="s">
        <v>207</v>
      </c>
      <c r="C635" s="15">
        <v>7</v>
      </c>
      <c r="D635" s="17">
        <v>400000</v>
      </c>
      <c r="E635" s="17">
        <v>400000</v>
      </c>
      <c r="F635" s="17">
        <v>0</v>
      </c>
      <c r="G635" s="18">
        <v>1</v>
      </c>
      <c r="H635" s="10">
        <v>2025</v>
      </c>
    </row>
    <row r="636" spans="1:8" hidden="1" x14ac:dyDescent="0.3">
      <c r="A636" s="16" t="s">
        <v>43</v>
      </c>
      <c r="B636" s="16" t="s">
        <v>207</v>
      </c>
      <c r="C636" s="15">
        <v>8</v>
      </c>
      <c r="D636" s="17">
        <v>400000</v>
      </c>
      <c r="E636" s="17">
        <v>800000</v>
      </c>
      <c r="F636" s="17">
        <v>400000</v>
      </c>
      <c r="G636" s="18">
        <v>2</v>
      </c>
      <c r="H636" s="10">
        <v>2025</v>
      </c>
    </row>
    <row r="637" spans="1:8" hidden="1" x14ac:dyDescent="0.3">
      <c r="A637" s="16" t="s">
        <v>43</v>
      </c>
      <c r="B637" s="16" t="s">
        <v>207</v>
      </c>
      <c r="C637" s="15">
        <v>9</v>
      </c>
      <c r="D637" s="17">
        <v>400000</v>
      </c>
      <c r="E637" s="17">
        <v>800000</v>
      </c>
      <c r="F637" s="17">
        <v>400000</v>
      </c>
      <c r="G637" s="18">
        <v>2</v>
      </c>
      <c r="H637" s="10">
        <v>2025</v>
      </c>
    </row>
    <row r="638" spans="1:8" hidden="1" x14ac:dyDescent="0.3">
      <c r="A638" s="16" t="s">
        <v>43</v>
      </c>
      <c r="B638" s="16" t="s">
        <v>207</v>
      </c>
      <c r="C638" s="15">
        <v>10</v>
      </c>
      <c r="D638" s="17">
        <v>400000</v>
      </c>
      <c r="E638" s="17">
        <v>800000</v>
      </c>
      <c r="F638" s="17">
        <v>400000</v>
      </c>
      <c r="G638" s="18">
        <v>2</v>
      </c>
      <c r="H638" s="10">
        <v>2025</v>
      </c>
    </row>
    <row r="639" spans="1:8" hidden="1" x14ac:dyDescent="0.3">
      <c r="A639" s="16" t="s">
        <v>43</v>
      </c>
      <c r="B639" s="16" t="s">
        <v>186</v>
      </c>
      <c r="C639" s="15">
        <v>1</v>
      </c>
      <c r="D639" s="17">
        <v>4760000</v>
      </c>
      <c r="E639" s="17">
        <v>4760000</v>
      </c>
      <c r="F639" s="17">
        <v>0</v>
      </c>
      <c r="G639" s="18">
        <v>1</v>
      </c>
      <c r="H639" s="10">
        <v>2025</v>
      </c>
    </row>
    <row r="640" spans="1:8" hidden="1" x14ac:dyDescent="0.3">
      <c r="A640" s="16" t="s">
        <v>43</v>
      </c>
      <c r="B640" s="16" t="s">
        <v>186</v>
      </c>
      <c r="C640" s="15">
        <v>2</v>
      </c>
      <c r="D640" s="17">
        <v>3263983</v>
      </c>
      <c r="E640" s="17">
        <v>1751290</v>
      </c>
      <c r="F640" s="17">
        <v>-1512693</v>
      </c>
      <c r="G640" s="18">
        <v>0.53654997590367359</v>
      </c>
      <c r="H640" s="10">
        <v>2025</v>
      </c>
    </row>
    <row r="641" spans="1:8" hidden="1" x14ac:dyDescent="0.3">
      <c r="A641" s="16" t="s">
        <v>43</v>
      </c>
      <c r="B641" s="16" t="s">
        <v>186</v>
      </c>
      <c r="C641" s="15">
        <v>3</v>
      </c>
      <c r="D641" s="17">
        <v>3455580</v>
      </c>
      <c r="E641" s="17">
        <v>1886979</v>
      </c>
      <c r="F641" s="17">
        <v>-1568601</v>
      </c>
      <c r="G641" s="18">
        <v>0.54606723039258243</v>
      </c>
      <c r="H641" s="10">
        <v>2025</v>
      </c>
    </row>
    <row r="642" spans="1:8" hidden="1" x14ac:dyDescent="0.3">
      <c r="A642" s="16" t="s">
        <v>43</v>
      </c>
      <c r="B642" s="16" t="s">
        <v>186</v>
      </c>
      <c r="C642" s="15">
        <v>4</v>
      </c>
      <c r="D642" s="17">
        <v>3652723</v>
      </c>
      <c r="E642" s="17">
        <v>2248175</v>
      </c>
      <c r="F642" s="17">
        <v>-1404548</v>
      </c>
      <c r="G642" s="18">
        <v>0.61547919182483868</v>
      </c>
      <c r="H642" s="10">
        <v>2025</v>
      </c>
    </row>
    <row r="643" spans="1:8" hidden="1" x14ac:dyDescent="0.3">
      <c r="A643" s="16" t="s">
        <v>43</v>
      </c>
      <c r="B643" s="16" t="s">
        <v>186</v>
      </c>
      <c r="C643" s="15">
        <v>5</v>
      </c>
      <c r="D643" s="17">
        <v>3652723</v>
      </c>
      <c r="E643" s="17">
        <v>2163487</v>
      </c>
      <c r="F643" s="17">
        <v>-1489236</v>
      </c>
      <c r="G643" s="18">
        <v>0.59229429661104882</v>
      </c>
      <c r="H643" s="10">
        <v>2025</v>
      </c>
    </row>
    <row r="644" spans="1:8" hidden="1" x14ac:dyDescent="0.3">
      <c r="A644" s="16" t="s">
        <v>43</v>
      </c>
      <c r="B644" s="16" t="s">
        <v>186</v>
      </c>
      <c r="C644" s="15">
        <v>6</v>
      </c>
      <c r="D644" s="17">
        <v>3652723</v>
      </c>
      <c r="E644" s="17">
        <v>2084123</v>
      </c>
      <c r="F644" s="17">
        <v>-1568600</v>
      </c>
      <c r="G644" s="18">
        <v>0.57056694416740605</v>
      </c>
      <c r="H644" s="10">
        <v>2025</v>
      </c>
    </row>
    <row r="645" spans="1:8" hidden="1" x14ac:dyDescent="0.3">
      <c r="A645" s="16" t="s">
        <v>43</v>
      </c>
      <c r="B645" s="16" t="s">
        <v>186</v>
      </c>
      <c r="C645" s="15">
        <v>7</v>
      </c>
      <c r="D645" s="17">
        <v>3652723</v>
      </c>
      <c r="E645" s="17">
        <v>-5823743</v>
      </c>
      <c r="F645" s="17">
        <v>-9476466</v>
      </c>
      <c r="G645" s="18">
        <v>-1.5943565936973596</v>
      </c>
      <c r="H645" s="10">
        <v>2025</v>
      </c>
    </row>
    <row r="646" spans="1:8" hidden="1" x14ac:dyDescent="0.3">
      <c r="A646" s="16" t="s">
        <v>43</v>
      </c>
      <c r="B646" s="16" t="s">
        <v>186</v>
      </c>
      <c r="C646" s="15">
        <v>8</v>
      </c>
      <c r="D646" s="17">
        <v>3652723</v>
      </c>
      <c r="E646" s="17">
        <v>4001873</v>
      </c>
      <c r="F646" s="17">
        <v>349150</v>
      </c>
      <c r="G646" s="18">
        <v>1.0955862243044436</v>
      </c>
      <c r="H646" s="10">
        <v>2025</v>
      </c>
    </row>
    <row r="647" spans="1:8" hidden="1" x14ac:dyDescent="0.3">
      <c r="A647" s="16" t="s">
        <v>43</v>
      </c>
      <c r="B647" s="16" t="s">
        <v>186</v>
      </c>
      <c r="C647" s="15">
        <v>9</v>
      </c>
      <c r="D647" s="17">
        <v>3652723</v>
      </c>
      <c r="E647" s="17">
        <v>2084123</v>
      </c>
      <c r="F647" s="17">
        <v>-1568600</v>
      </c>
      <c r="G647" s="18">
        <v>0.57056694416740605</v>
      </c>
      <c r="H647" s="10">
        <v>2025</v>
      </c>
    </row>
    <row r="648" spans="1:8" hidden="1" x14ac:dyDescent="0.3">
      <c r="A648" s="16" t="s">
        <v>43</v>
      </c>
      <c r="B648" s="16" t="s">
        <v>186</v>
      </c>
      <c r="C648" s="15">
        <v>10</v>
      </c>
      <c r="D648" s="17">
        <v>3652723</v>
      </c>
      <c r="E648" s="17">
        <v>2084123</v>
      </c>
      <c r="F648" s="17">
        <v>-1568600</v>
      </c>
      <c r="G648" s="18">
        <v>0.57056694416740605</v>
      </c>
      <c r="H648" s="10">
        <v>2025</v>
      </c>
    </row>
    <row r="649" spans="1:8" hidden="1" x14ac:dyDescent="0.3">
      <c r="A649" s="16" t="s">
        <v>43</v>
      </c>
      <c r="B649" s="16" t="s">
        <v>187</v>
      </c>
      <c r="C649" s="15">
        <v>1</v>
      </c>
      <c r="D649" s="17">
        <v>468499</v>
      </c>
      <c r="E649" s="17">
        <v>675140</v>
      </c>
      <c r="F649" s="17">
        <v>206641</v>
      </c>
      <c r="G649" s="18">
        <v>1.4410703117829495</v>
      </c>
      <c r="H649" s="10">
        <v>2025</v>
      </c>
    </row>
    <row r="650" spans="1:8" hidden="1" x14ac:dyDescent="0.3">
      <c r="A650" s="16" t="s">
        <v>43</v>
      </c>
      <c r="B650" s="16" t="s">
        <v>187</v>
      </c>
      <c r="C650" s="15">
        <v>2</v>
      </c>
      <c r="D650" s="17">
        <v>518310</v>
      </c>
      <c r="E650" s="17">
        <v>535402</v>
      </c>
      <c r="F650" s="17">
        <v>17092</v>
      </c>
      <c r="G650" s="18">
        <v>1.0329764040824989</v>
      </c>
      <c r="H650" s="10">
        <v>2025</v>
      </c>
    </row>
    <row r="651" spans="1:8" hidden="1" x14ac:dyDescent="0.3">
      <c r="A651" s="16" t="s">
        <v>43</v>
      </c>
      <c r="B651" s="16" t="s">
        <v>187</v>
      </c>
      <c r="C651" s="15">
        <v>3</v>
      </c>
      <c r="D651" s="17">
        <v>576884</v>
      </c>
      <c r="E651" s="17">
        <v>576886</v>
      </c>
      <c r="F651" s="17">
        <v>2</v>
      </c>
      <c r="G651" s="18">
        <v>1.0000034669014914</v>
      </c>
      <c r="H651" s="10">
        <v>2025</v>
      </c>
    </row>
    <row r="652" spans="1:8" hidden="1" x14ac:dyDescent="0.3">
      <c r="A652" s="16" t="s">
        <v>43</v>
      </c>
      <c r="B652" s="16" t="s">
        <v>187</v>
      </c>
      <c r="C652" s="15">
        <v>4</v>
      </c>
      <c r="D652" s="17">
        <v>637155</v>
      </c>
      <c r="E652" s="17">
        <v>687310</v>
      </c>
      <c r="F652" s="17">
        <v>50155</v>
      </c>
      <c r="G652" s="18">
        <v>1.0787171096514978</v>
      </c>
      <c r="H652" s="10">
        <v>2025</v>
      </c>
    </row>
    <row r="653" spans="1:8" hidden="1" x14ac:dyDescent="0.3">
      <c r="A653" s="16" t="s">
        <v>43</v>
      </c>
      <c r="B653" s="16" t="s">
        <v>187</v>
      </c>
      <c r="C653" s="15">
        <v>5</v>
      </c>
      <c r="D653" s="17">
        <v>637155</v>
      </c>
      <c r="E653" s="17">
        <v>661419</v>
      </c>
      <c r="F653" s="17">
        <v>24264</v>
      </c>
      <c r="G653" s="18">
        <v>1.0380817854368247</v>
      </c>
      <c r="H653" s="10">
        <v>2025</v>
      </c>
    </row>
    <row r="654" spans="1:8" hidden="1" x14ac:dyDescent="0.3">
      <c r="A654" s="16" t="s">
        <v>43</v>
      </c>
      <c r="B654" s="16" t="s">
        <v>187</v>
      </c>
      <c r="C654" s="15">
        <v>6</v>
      </c>
      <c r="D654" s="17">
        <v>637155</v>
      </c>
      <c r="E654" s="17">
        <v>637156</v>
      </c>
      <c r="F654" s="17">
        <v>1</v>
      </c>
      <c r="G654" s="18">
        <v>1.000001569476815</v>
      </c>
      <c r="H654" s="10">
        <v>2025</v>
      </c>
    </row>
    <row r="655" spans="1:8" hidden="1" x14ac:dyDescent="0.3">
      <c r="A655" s="16" t="s">
        <v>43</v>
      </c>
      <c r="B655" s="16" t="s">
        <v>187</v>
      </c>
      <c r="C655" s="15">
        <v>7</v>
      </c>
      <c r="D655" s="17">
        <v>637155</v>
      </c>
      <c r="E655" s="17">
        <v>637156</v>
      </c>
      <c r="F655" s="17">
        <v>1</v>
      </c>
      <c r="G655" s="18">
        <v>1.000001569476815</v>
      </c>
      <c r="H655" s="10">
        <v>2025</v>
      </c>
    </row>
    <row r="656" spans="1:8" hidden="1" x14ac:dyDescent="0.3">
      <c r="A656" s="16" t="s">
        <v>43</v>
      </c>
      <c r="B656" s="16" t="s">
        <v>187</v>
      </c>
      <c r="C656" s="15">
        <v>8</v>
      </c>
      <c r="D656" s="17">
        <v>637155</v>
      </c>
      <c r="E656" s="17">
        <v>1223447</v>
      </c>
      <c r="F656" s="17">
        <v>586292</v>
      </c>
      <c r="G656" s="18">
        <v>1.9201717007635506</v>
      </c>
      <c r="H656" s="10">
        <v>2025</v>
      </c>
    </row>
    <row r="657" spans="1:8" hidden="1" x14ac:dyDescent="0.3">
      <c r="A657" s="16" t="s">
        <v>43</v>
      </c>
      <c r="B657" s="16" t="s">
        <v>187</v>
      </c>
      <c r="C657" s="15">
        <v>9</v>
      </c>
      <c r="D657" s="17">
        <v>637155</v>
      </c>
      <c r="E657" s="17">
        <v>637156</v>
      </c>
      <c r="F657" s="17">
        <v>1</v>
      </c>
      <c r="G657" s="18">
        <v>1.000001569476815</v>
      </c>
      <c r="H657" s="10">
        <v>2025</v>
      </c>
    </row>
    <row r="658" spans="1:8" hidden="1" x14ac:dyDescent="0.3">
      <c r="A658" s="16" t="s">
        <v>43</v>
      </c>
      <c r="B658" s="16" t="s">
        <v>187</v>
      </c>
      <c r="C658" s="15">
        <v>10</v>
      </c>
      <c r="D658" s="17">
        <v>637155</v>
      </c>
      <c r="E658" s="17">
        <v>637156</v>
      </c>
      <c r="F658" s="17">
        <v>1</v>
      </c>
      <c r="G658" s="18">
        <v>1.000001569476815</v>
      </c>
      <c r="H658" s="10">
        <v>2025</v>
      </c>
    </row>
    <row r="659" spans="1:8" hidden="1" x14ac:dyDescent="0.3">
      <c r="A659" s="16" t="s">
        <v>43</v>
      </c>
      <c r="B659" s="16" t="s">
        <v>188</v>
      </c>
      <c r="C659" s="15">
        <v>3</v>
      </c>
      <c r="D659" s="17">
        <v>1139694</v>
      </c>
      <c r="E659" s="17">
        <v>0</v>
      </c>
      <c r="F659" s="17">
        <v>-1139694</v>
      </c>
      <c r="G659" s="18">
        <v>0</v>
      </c>
      <c r="H659" s="10">
        <v>2025</v>
      </c>
    </row>
    <row r="660" spans="1:8" hidden="1" x14ac:dyDescent="0.3">
      <c r="A660" s="16" t="s">
        <v>43</v>
      </c>
      <c r="B660" s="16" t="s">
        <v>188</v>
      </c>
      <c r="C660" s="15">
        <v>4</v>
      </c>
      <c r="D660" s="17">
        <v>0</v>
      </c>
      <c r="E660" s="17">
        <v>383796</v>
      </c>
      <c r="F660" s="17">
        <v>383796</v>
      </c>
      <c r="G660" s="18">
        <v>0</v>
      </c>
      <c r="H660" s="10">
        <v>2025</v>
      </c>
    </row>
    <row r="661" spans="1:8" hidden="1" x14ac:dyDescent="0.3">
      <c r="A661" s="16" t="s">
        <v>43</v>
      </c>
      <c r="B661" s="16" t="s">
        <v>188</v>
      </c>
      <c r="C661" s="15">
        <v>5</v>
      </c>
      <c r="D661" s="17">
        <v>0</v>
      </c>
      <c r="E661" s="17">
        <v>90720</v>
      </c>
      <c r="F661" s="17">
        <v>90720</v>
      </c>
      <c r="G661" s="18">
        <v>0</v>
      </c>
      <c r="H661" s="10">
        <v>2025</v>
      </c>
    </row>
    <row r="662" spans="1:8" hidden="1" x14ac:dyDescent="0.3">
      <c r="A662" s="16" t="s">
        <v>43</v>
      </c>
      <c r="B662" s="16" t="s">
        <v>188</v>
      </c>
      <c r="C662" s="15">
        <v>7</v>
      </c>
      <c r="D662" s="17">
        <v>0</v>
      </c>
      <c r="E662" s="17">
        <v>382690</v>
      </c>
      <c r="F662" s="17">
        <v>382690</v>
      </c>
      <c r="G662" s="18">
        <v>0</v>
      </c>
      <c r="H662" s="10">
        <v>2025</v>
      </c>
    </row>
    <row r="663" spans="1:8" hidden="1" x14ac:dyDescent="0.3">
      <c r="A663" s="16" t="s">
        <v>43</v>
      </c>
      <c r="B663" s="16" t="s">
        <v>188</v>
      </c>
      <c r="C663" s="15">
        <v>10</v>
      </c>
      <c r="D663" s="17">
        <v>0</v>
      </c>
      <c r="E663" s="17">
        <v>327227</v>
      </c>
      <c r="F663" s="17">
        <v>327227</v>
      </c>
      <c r="G663" s="18">
        <v>0</v>
      </c>
      <c r="H663" s="10">
        <v>2025</v>
      </c>
    </row>
    <row r="664" spans="1:8" hidden="1" x14ac:dyDescent="0.3">
      <c r="A664" s="16" t="s">
        <v>43</v>
      </c>
      <c r="B664" s="16" t="s">
        <v>189</v>
      </c>
      <c r="C664" s="15">
        <v>1</v>
      </c>
      <c r="D664" s="17">
        <v>100626</v>
      </c>
      <c r="E664" s="17">
        <v>0</v>
      </c>
      <c r="F664" s="17">
        <v>-100626</v>
      </c>
      <c r="G664" s="18">
        <v>0</v>
      </c>
      <c r="H664" s="10">
        <v>2025</v>
      </c>
    </row>
    <row r="665" spans="1:8" hidden="1" x14ac:dyDescent="0.3">
      <c r="A665" s="16" t="s">
        <v>43</v>
      </c>
      <c r="B665" s="16" t="s">
        <v>189</v>
      </c>
      <c r="C665" s="15">
        <v>2</v>
      </c>
      <c r="D665" s="17">
        <v>100625</v>
      </c>
      <c r="E665" s="17">
        <v>0</v>
      </c>
      <c r="F665" s="17">
        <v>-100625</v>
      </c>
      <c r="G665" s="18">
        <v>0</v>
      </c>
      <c r="H665" s="10">
        <v>2025</v>
      </c>
    </row>
    <row r="666" spans="1:8" hidden="1" x14ac:dyDescent="0.3">
      <c r="A666" s="16" t="s">
        <v>43</v>
      </c>
      <c r="B666" s="16" t="s">
        <v>189</v>
      </c>
      <c r="C666" s="15">
        <v>3</v>
      </c>
      <c r="D666" s="17">
        <v>100625</v>
      </c>
      <c r="E666" s="17">
        <v>0</v>
      </c>
      <c r="F666" s="17">
        <v>-100625</v>
      </c>
      <c r="G666" s="18">
        <v>0</v>
      </c>
      <c r="H666" s="10">
        <v>2025</v>
      </c>
    </row>
    <row r="667" spans="1:8" hidden="1" x14ac:dyDescent="0.3">
      <c r="A667" s="16" t="s">
        <v>43</v>
      </c>
      <c r="B667" s="16" t="s">
        <v>189</v>
      </c>
      <c r="C667" s="15">
        <v>4</v>
      </c>
      <c r="D667" s="17">
        <v>100625</v>
      </c>
      <c r="E667" s="17">
        <v>0</v>
      </c>
      <c r="F667" s="17">
        <v>-100625</v>
      </c>
      <c r="G667" s="18">
        <v>0</v>
      </c>
      <c r="H667" s="10">
        <v>2025</v>
      </c>
    </row>
    <row r="668" spans="1:8" hidden="1" x14ac:dyDescent="0.3">
      <c r="A668" s="16" t="s">
        <v>43</v>
      </c>
      <c r="B668" s="16" t="s">
        <v>189</v>
      </c>
      <c r="C668" s="15">
        <v>5</v>
      </c>
      <c r="D668" s="17">
        <v>100625</v>
      </c>
      <c r="E668" s="17">
        <v>0</v>
      </c>
      <c r="F668" s="17">
        <v>-100625</v>
      </c>
      <c r="G668" s="18">
        <v>0</v>
      </c>
      <c r="H668" s="10">
        <v>2025</v>
      </c>
    </row>
    <row r="669" spans="1:8" hidden="1" x14ac:dyDescent="0.3">
      <c r="A669" s="16" t="s">
        <v>43</v>
      </c>
      <c r="B669" s="16" t="s">
        <v>189</v>
      </c>
      <c r="C669" s="15">
        <v>6</v>
      </c>
      <c r="D669" s="17">
        <v>100625</v>
      </c>
      <c r="E669" s="17">
        <v>0</v>
      </c>
      <c r="F669" s="17">
        <v>-100625</v>
      </c>
      <c r="G669" s="18">
        <v>0</v>
      </c>
      <c r="H669" s="10">
        <v>2025</v>
      </c>
    </row>
    <row r="670" spans="1:8" hidden="1" x14ac:dyDescent="0.3">
      <c r="A670" s="16" t="s">
        <v>43</v>
      </c>
      <c r="B670" s="16" t="s">
        <v>189</v>
      </c>
      <c r="C670" s="15">
        <v>7</v>
      </c>
      <c r="D670" s="17">
        <v>100625</v>
      </c>
      <c r="E670" s="17">
        <v>44526</v>
      </c>
      <c r="F670" s="17">
        <v>-56099</v>
      </c>
      <c r="G670" s="18">
        <v>0.44249440993788824</v>
      </c>
      <c r="H670" s="10">
        <v>2025</v>
      </c>
    </row>
    <row r="671" spans="1:8" hidden="1" x14ac:dyDescent="0.3">
      <c r="A671" s="16" t="s">
        <v>43</v>
      </c>
      <c r="B671" s="16" t="s">
        <v>189</v>
      </c>
      <c r="C671" s="15">
        <v>8</v>
      </c>
      <c r="D671" s="17">
        <v>100625</v>
      </c>
      <c r="E671" s="17">
        <v>0</v>
      </c>
      <c r="F671" s="17">
        <v>-100625</v>
      </c>
      <c r="G671" s="18">
        <v>0</v>
      </c>
      <c r="H671" s="10">
        <v>2025</v>
      </c>
    </row>
    <row r="672" spans="1:8" hidden="1" x14ac:dyDescent="0.3">
      <c r="A672" s="16" t="s">
        <v>43</v>
      </c>
      <c r="B672" s="16" t="s">
        <v>189</v>
      </c>
      <c r="C672" s="15">
        <v>9</v>
      </c>
      <c r="D672" s="17">
        <v>100625</v>
      </c>
      <c r="E672" s="17">
        <v>0</v>
      </c>
      <c r="F672" s="17">
        <v>-100625</v>
      </c>
      <c r="G672" s="18">
        <v>0</v>
      </c>
      <c r="H672" s="10">
        <v>2025</v>
      </c>
    </row>
    <row r="673" spans="1:8" hidden="1" x14ac:dyDescent="0.3">
      <c r="A673" s="16" t="s">
        <v>43</v>
      </c>
      <c r="B673" s="16" t="s">
        <v>189</v>
      </c>
      <c r="C673" s="15">
        <v>10</v>
      </c>
      <c r="D673" s="17">
        <v>100625</v>
      </c>
      <c r="E673" s="17">
        <v>291686</v>
      </c>
      <c r="F673" s="17">
        <v>191061</v>
      </c>
      <c r="G673" s="18">
        <v>2.8987428571428571</v>
      </c>
      <c r="H673" s="10">
        <v>2025</v>
      </c>
    </row>
    <row r="674" spans="1:8" hidden="1" x14ac:dyDescent="0.3">
      <c r="A674" s="16" t="s">
        <v>43</v>
      </c>
      <c r="B674" s="16" t="s">
        <v>190</v>
      </c>
      <c r="C674" s="15">
        <v>1</v>
      </c>
      <c r="D674" s="17">
        <v>5183313</v>
      </c>
      <c r="E674" s="17">
        <v>5183313</v>
      </c>
      <c r="F674" s="17">
        <v>0</v>
      </c>
      <c r="G674" s="18">
        <v>1</v>
      </c>
      <c r="H674" s="10">
        <v>2025</v>
      </c>
    </row>
    <row r="675" spans="1:8" hidden="1" x14ac:dyDescent="0.3">
      <c r="A675" s="16" t="s">
        <v>43</v>
      </c>
      <c r="B675" s="16" t="s">
        <v>191</v>
      </c>
      <c r="C675" s="15">
        <v>6</v>
      </c>
      <c r="D675" s="17">
        <v>0</v>
      </c>
      <c r="E675" s="17">
        <v>1000000</v>
      </c>
      <c r="F675" s="17">
        <v>1000000</v>
      </c>
      <c r="G675" s="18">
        <v>0</v>
      </c>
      <c r="H675" s="10">
        <v>2025</v>
      </c>
    </row>
    <row r="676" spans="1:8" hidden="1" x14ac:dyDescent="0.3">
      <c r="A676" s="4" t="s">
        <v>43</v>
      </c>
      <c r="B676" s="16" t="s">
        <v>192</v>
      </c>
      <c r="C676" s="15">
        <v>1</v>
      </c>
      <c r="D676" s="17">
        <v>484429</v>
      </c>
      <c r="E676" s="17">
        <v>682984</v>
      </c>
      <c r="F676" s="17">
        <v>198555</v>
      </c>
      <c r="G676" s="18">
        <v>1.4098743056257985</v>
      </c>
      <c r="H676" s="10">
        <v>2025</v>
      </c>
    </row>
    <row r="677" spans="1:8" hidden="1" x14ac:dyDescent="0.3">
      <c r="A677" s="4" t="s">
        <v>43</v>
      </c>
      <c r="B677" s="16" t="s">
        <v>192</v>
      </c>
      <c r="C677" s="15">
        <v>2</v>
      </c>
      <c r="D677" s="17">
        <v>408774</v>
      </c>
      <c r="E677" s="17">
        <v>322409</v>
      </c>
      <c r="F677" s="17">
        <v>-86365</v>
      </c>
      <c r="G677" s="18">
        <v>0.78872188544281197</v>
      </c>
      <c r="H677" s="10">
        <v>2025</v>
      </c>
    </row>
    <row r="678" spans="1:8" hidden="1" x14ac:dyDescent="0.3">
      <c r="A678" s="4" t="s">
        <v>43</v>
      </c>
      <c r="B678" s="16" t="s">
        <v>192</v>
      </c>
      <c r="C678" s="15">
        <v>3</v>
      </c>
      <c r="D678" s="17">
        <v>436608</v>
      </c>
      <c r="E678" s="17">
        <v>373288</v>
      </c>
      <c r="F678" s="17">
        <v>-63320</v>
      </c>
      <c r="G678" s="18">
        <v>0.85497288185282916</v>
      </c>
      <c r="H678" s="10">
        <v>2025</v>
      </c>
    </row>
    <row r="679" spans="1:8" hidden="1" x14ac:dyDescent="0.3">
      <c r="A679" s="4" t="s">
        <v>43</v>
      </c>
      <c r="B679" s="16" t="s">
        <v>192</v>
      </c>
      <c r="C679" s="15">
        <v>4</v>
      </c>
      <c r="D679" s="17">
        <v>523127</v>
      </c>
      <c r="E679" s="17">
        <v>423576</v>
      </c>
      <c r="F679" s="17">
        <v>-99551</v>
      </c>
      <c r="G679" s="18">
        <v>0.80970013017871378</v>
      </c>
      <c r="H679" s="10">
        <v>2025</v>
      </c>
    </row>
    <row r="680" spans="1:8" hidden="1" x14ac:dyDescent="0.3">
      <c r="A680" s="4" t="s">
        <v>43</v>
      </c>
      <c r="B680" s="16" t="s">
        <v>192</v>
      </c>
      <c r="C680" s="15">
        <v>5</v>
      </c>
      <c r="D680" s="17">
        <v>450298</v>
      </c>
      <c r="E680" s="17">
        <v>366995</v>
      </c>
      <c r="F680" s="17">
        <v>-83303</v>
      </c>
      <c r="G680" s="18">
        <v>0.81500473020088926</v>
      </c>
      <c r="H680" s="10">
        <v>2025</v>
      </c>
    </row>
    <row r="681" spans="1:8" hidden="1" x14ac:dyDescent="0.3">
      <c r="A681" s="4" t="s">
        <v>43</v>
      </c>
      <c r="B681" s="16" t="s">
        <v>192</v>
      </c>
      <c r="C681" s="15">
        <v>6</v>
      </c>
      <c r="D681" s="17">
        <v>511466</v>
      </c>
      <c r="E681" s="17">
        <v>434766</v>
      </c>
      <c r="F681" s="17">
        <v>-76700</v>
      </c>
      <c r="G681" s="18">
        <v>0.85003890776708524</v>
      </c>
      <c r="H681" s="10">
        <v>2025</v>
      </c>
    </row>
    <row r="682" spans="1:8" hidden="1" x14ac:dyDescent="0.3">
      <c r="A682" s="4" t="s">
        <v>43</v>
      </c>
      <c r="B682" s="16" t="s">
        <v>192</v>
      </c>
      <c r="C682" s="15">
        <v>7</v>
      </c>
      <c r="D682" s="17">
        <v>472437</v>
      </c>
      <c r="E682" s="17">
        <v>408871</v>
      </c>
      <c r="F682" s="17">
        <v>-63566</v>
      </c>
      <c r="G682" s="18">
        <v>0.86545084318120724</v>
      </c>
      <c r="H682" s="10">
        <v>2025</v>
      </c>
    </row>
    <row r="683" spans="1:8" hidden="1" x14ac:dyDescent="0.3">
      <c r="A683" s="4" t="s">
        <v>43</v>
      </c>
      <c r="B683" s="16" t="s">
        <v>192</v>
      </c>
      <c r="C683" s="15">
        <v>8</v>
      </c>
      <c r="D683" s="17">
        <v>473475</v>
      </c>
      <c r="E683" s="17">
        <v>386923</v>
      </c>
      <c r="F683" s="17">
        <v>-86552</v>
      </c>
      <c r="G683" s="18">
        <v>0.81719837372617354</v>
      </c>
      <c r="H683" s="10">
        <v>2025</v>
      </c>
    </row>
    <row r="684" spans="1:8" hidden="1" x14ac:dyDescent="0.3">
      <c r="A684" s="4" t="s">
        <v>43</v>
      </c>
      <c r="B684" s="16" t="s">
        <v>192</v>
      </c>
      <c r="C684" s="15">
        <v>9</v>
      </c>
      <c r="D684" s="17">
        <v>519194</v>
      </c>
      <c r="E684" s="17">
        <v>1071626</v>
      </c>
      <c r="F684" s="17">
        <v>552432</v>
      </c>
      <c r="G684" s="18">
        <v>2.064018459381272</v>
      </c>
      <c r="H684" s="10">
        <v>2025</v>
      </c>
    </row>
    <row r="685" spans="1:8" hidden="1" x14ac:dyDescent="0.3">
      <c r="A685" s="4" t="s">
        <v>43</v>
      </c>
      <c r="B685" s="16" t="s">
        <v>192</v>
      </c>
      <c r="C685" s="15">
        <v>10</v>
      </c>
      <c r="D685" s="17">
        <v>519194</v>
      </c>
      <c r="E685" s="17">
        <v>1119592</v>
      </c>
      <c r="F685" s="17">
        <v>600398</v>
      </c>
      <c r="G685" s="18">
        <v>2.156403964606679</v>
      </c>
      <c r="H685" s="10">
        <v>2025</v>
      </c>
    </row>
    <row r="686" spans="1:8" hidden="1" x14ac:dyDescent="0.3">
      <c r="A686" s="16" t="s">
        <v>43</v>
      </c>
      <c r="B686" s="16" t="s">
        <v>193</v>
      </c>
      <c r="C686" s="15">
        <v>1</v>
      </c>
      <c r="D686" s="17">
        <v>2068089</v>
      </c>
      <c r="E686" s="17">
        <v>2192826.84</v>
      </c>
      <c r="F686" s="17">
        <v>124737.84</v>
      </c>
      <c r="G686" s="18">
        <v>1.060315508665246</v>
      </c>
      <c r="H686" s="10">
        <v>2025</v>
      </c>
    </row>
    <row r="687" spans="1:8" hidden="1" x14ac:dyDescent="0.3">
      <c r="A687" s="16" t="s">
        <v>43</v>
      </c>
      <c r="B687" s="16" t="s">
        <v>193</v>
      </c>
      <c r="C687" s="15">
        <v>2</v>
      </c>
      <c r="D687" s="17">
        <v>1745108</v>
      </c>
      <c r="E687" s="17">
        <v>1696148.44</v>
      </c>
      <c r="F687" s="17">
        <v>-48959.56</v>
      </c>
      <c r="G687" s="18">
        <v>0.97194468193372563</v>
      </c>
      <c r="H687" s="10">
        <v>2025</v>
      </c>
    </row>
    <row r="688" spans="1:8" hidden="1" x14ac:dyDescent="0.3">
      <c r="A688" s="16" t="s">
        <v>43</v>
      </c>
      <c r="B688" s="16" t="s">
        <v>193</v>
      </c>
      <c r="C688" s="15">
        <v>3</v>
      </c>
      <c r="D688" s="17">
        <v>1863934</v>
      </c>
      <c r="E688" s="17">
        <v>1758488.68</v>
      </c>
      <c r="F688" s="17">
        <v>-105445.32</v>
      </c>
      <c r="G688" s="18">
        <v>0.94342861925368604</v>
      </c>
      <c r="H688" s="10">
        <v>2025</v>
      </c>
    </row>
    <row r="689" spans="1:8" hidden="1" x14ac:dyDescent="0.3">
      <c r="A689" s="16" t="s">
        <v>43</v>
      </c>
      <c r="B689" s="16" t="s">
        <v>193</v>
      </c>
      <c r="C689" s="15">
        <v>4</v>
      </c>
      <c r="D689" s="17">
        <v>2233298</v>
      </c>
      <c r="E689" s="17">
        <v>1938411.84</v>
      </c>
      <c r="F689" s="17">
        <v>-294886.15999999997</v>
      </c>
      <c r="G689" s="18">
        <v>0.86795933189390762</v>
      </c>
      <c r="H689" s="10">
        <v>2025</v>
      </c>
    </row>
    <row r="690" spans="1:8" hidden="1" x14ac:dyDescent="0.3">
      <c r="A690" s="16" t="s">
        <v>43</v>
      </c>
      <c r="B690" s="16" t="s">
        <v>193</v>
      </c>
      <c r="C690" s="15">
        <v>5</v>
      </c>
      <c r="D690" s="17">
        <v>1922379</v>
      </c>
      <c r="E690" s="17">
        <v>1805721.08</v>
      </c>
      <c r="F690" s="17">
        <v>-116657.92</v>
      </c>
      <c r="G690" s="18">
        <v>0.93931585811122575</v>
      </c>
      <c r="H690" s="10">
        <v>2025</v>
      </c>
    </row>
    <row r="691" spans="1:8" hidden="1" x14ac:dyDescent="0.3">
      <c r="A691" s="16" t="s">
        <v>43</v>
      </c>
      <c r="B691" s="16" t="s">
        <v>193</v>
      </c>
      <c r="C691" s="15">
        <v>6</v>
      </c>
      <c r="D691" s="17">
        <v>2183512</v>
      </c>
      <c r="E691" s="17">
        <v>1991343</v>
      </c>
      <c r="F691" s="17">
        <v>-192169</v>
      </c>
      <c r="G691" s="18">
        <v>0.91199086609095814</v>
      </c>
      <c r="H691" s="10">
        <v>2025</v>
      </c>
    </row>
    <row r="692" spans="1:8" hidden="1" x14ac:dyDescent="0.3">
      <c r="A692" s="16" t="s">
        <v>43</v>
      </c>
      <c r="B692" s="16" t="s">
        <v>193</v>
      </c>
      <c r="C692" s="15">
        <v>7</v>
      </c>
      <c r="D692" s="17">
        <v>2016896</v>
      </c>
      <c r="E692" s="17">
        <v>1686697.8</v>
      </c>
      <c r="F692" s="17">
        <v>-330198.2</v>
      </c>
      <c r="G692" s="18">
        <v>0.83628397299612878</v>
      </c>
      <c r="H692" s="10">
        <v>2025</v>
      </c>
    </row>
    <row r="693" spans="1:8" hidden="1" x14ac:dyDescent="0.3">
      <c r="A693" s="16" t="s">
        <v>43</v>
      </c>
      <c r="B693" s="16" t="s">
        <v>193</v>
      </c>
      <c r="C693" s="15">
        <v>8</v>
      </c>
      <c r="D693" s="17">
        <v>2021326</v>
      </c>
      <c r="E693" s="17">
        <v>2483422.84</v>
      </c>
      <c r="F693" s="17">
        <v>462096.84</v>
      </c>
      <c r="G693" s="18">
        <v>1.2286107436405607</v>
      </c>
      <c r="H693" s="10">
        <v>2025</v>
      </c>
    </row>
    <row r="694" spans="1:8" hidden="1" x14ac:dyDescent="0.3">
      <c r="A694" s="16" t="s">
        <v>43</v>
      </c>
      <c r="B694" s="16" t="s">
        <v>193</v>
      </c>
      <c r="C694" s="15">
        <v>9</v>
      </c>
      <c r="D694" s="17">
        <v>2216504</v>
      </c>
      <c r="E694" s="17">
        <v>1812697</v>
      </c>
      <c r="F694" s="17">
        <v>-403807</v>
      </c>
      <c r="G694" s="18">
        <v>0.81781805943052666</v>
      </c>
      <c r="H694" s="10">
        <v>2025</v>
      </c>
    </row>
    <row r="695" spans="1:8" hidden="1" x14ac:dyDescent="0.3">
      <c r="A695" s="16" t="s">
        <v>43</v>
      </c>
      <c r="B695" s="16" t="s">
        <v>193</v>
      </c>
      <c r="C695" s="15">
        <v>10</v>
      </c>
      <c r="D695" s="17">
        <v>2216504</v>
      </c>
      <c r="E695" s="17">
        <v>1907266</v>
      </c>
      <c r="F695" s="17">
        <v>-309238</v>
      </c>
      <c r="G695" s="18">
        <v>0.86048389716418294</v>
      </c>
      <c r="H695" s="10">
        <v>2025</v>
      </c>
    </row>
    <row r="696" spans="1:8" hidden="1" x14ac:dyDescent="0.3">
      <c r="A696" s="4" t="s">
        <v>43</v>
      </c>
      <c r="B696" s="16" t="s">
        <v>194</v>
      </c>
      <c r="C696" s="15">
        <v>1</v>
      </c>
      <c r="D696" s="17">
        <v>6388081</v>
      </c>
      <c r="E696" s="17">
        <v>7547579.7999999998</v>
      </c>
      <c r="F696" s="17">
        <v>1159498.8</v>
      </c>
      <c r="G696" s="18">
        <v>1.1815097209944583</v>
      </c>
      <c r="H696" s="10">
        <v>2025</v>
      </c>
    </row>
    <row r="697" spans="1:8" hidden="1" x14ac:dyDescent="0.3">
      <c r="A697" s="4" t="s">
        <v>43</v>
      </c>
      <c r="B697" s="16" t="s">
        <v>194</v>
      </c>
      <c r="C697" s="15">
        <v>2</v>
      </c>
      <c r="D697" s="17">
        <v>5390431</v>
      </c>
      <c r="E697" s="17">
        <v>5664783.2999999998</v>
      </c>
      <c r="F697" s="17">
        <v>274352.3</v>
      </c>
      <c r="G697" s="18">
        <v>1.0508961713822143</v>
      </c>
      <c r="H697" s="10">
        <v>2025</v>
      </c>
    </row>
    <row r="698" spans="1:8" hidden="1" x14ac:dyDescent="0.3">
      <c r="A698" s="4" t="s">
        <v>43</v>
      </c>
      <c r="B698" s="16" t="s">
        <v>194</v>
      </c>
      <c r="C698" s="15">
        <v>3</v>
      </c>
      <c r="D698" s="17">
        <v>5757470</v>
      </c>
      <c r="E698" s="17">
        <v>5454325.5999999996</v>
      </c>
      <c r="F698" s="17">
        <v>-303144.40000000002</v>
      </c>
      <c r="G698" s="18">
        <v>0.94734763706975467</v>
      </c>
      <c r="H698" s="10">
        <v>2025</v>
      </c>
    </row>
    <row r="699" spans="1:8" hidden="1" x14ac:dyDescent="0.3">
      <c r="A699" s="4" t="s">
        <v>43</v>
      </c>
      <c r="B699" s="16" t="s">
        <v>194</v>
      </c>
      <c r="C699" s="15">
        <v>4</v>
      </c>
      <c r="D699" s="17">
        <v>6898391</v>
      </c>
      <c r="E699" s="17">
        <v>6742214.7999999998</v>
      </c>
      <c r="F699" s="17">
        <v>-156176.20000000001</v>
      </c>
      <c r="G699" s="18">
        <v>0.97736048884442772</v>
      </c>
      <c r="H699" s="10">
        <v>2025</v>
      </c>
    </row>
    <row r="700" spans="1:8" hidden="1" x14ac:dyDescent="0.3">
      <c r="A700" s="4" t="s">
        <v>43</v>
      </c>
      <c r="B700" s="16" t="s">
        <v>194</v>
      </c>
      <c r="C700" s="15">
        <v>5</v>
      </c>
      <c r="D700" s="17">
        <v>5938000</v>
      </c>
      <c r="E700" s="17">
        <v>5986978.0999999996</v>
      </c>
      <c r="F700" s="17">
        <v>48978.1</v>
      </c>
      <c r="G700" s="18">
        <v>1.0082482485685416</v>
      </c>
      <c r="H700" s="10">
        <v>2025</v>
      </c>
    </row>
    <row r="701" spans="1:8" hidden="1" x14ac:dyDescent="0.3">
      <c r="A701" s="4" t="s">
        <v>43</v>
      </c>
      <c r="B701" s="16" t="s">
        <v>194</v>
      </c>
      <c r="C701" s="15">
        <v>6</v>
      </c>
      <c r="D701" s="17">
        <v>6744608</v>
      </c>
      <c r="E701" s="17">
        <v>6872231.75</v>
      </c>
      <c r="F701" s="17">
        <v>127623.75</v>
      </c>
      <c r="G701" s="18">
        <v>1.0189223376658807</v>
      </c>
      <c r="H701" s="10">
        <v>2025</v>
      </c>
    </row>
    <row r="702" spans="1:8" hidden="1" x14ac:dyDescent="0.3">
      <c r="A702" s="4" t="s">
        <v>43</v>
      </c>
      <c r="B702" s="16" t="s">
        <v>194</v>
      </c>
      <c r="C702" s="15">
        <v>7</v>
      </c>
      <c r="D702" s="17">
        <v>6229950</v>
      </c>
      <c r="E702" s="17">
        <v>6221501.5</v>
      </c>
      <c r="F702" s="17">
        <v>-8448.5</v>
      </c>
      <c r="G702" s="18">
        <v>0.9986438895978299</v>
      </c>
      <c r="H702" s="10">
        <v>2025</v>
      </c>
    </row>
    <row r="703" spans="1:8" hidden="1" x14ac:dyDescent="0.3">
      <c r="A703" s="4" t="s">
        <v>43</v>
      </c>
      <c r="B703" s="16" t="s">
        <v>194</v>
      </c>
      <c r="C703" s="15">
        <v>8</v>
      </c>
      <c r="D703" s="17">
        <v>6243635</v>
      </c>
      <c r="E703" s="17">
        <v>7082508.5499999998</v>
      </c>
      <c r="F703" s="17">
        <v>838873.55</v>
      </c>
      <c r="G703" s="18">
        <v>1.1343565967581386</v>
      </c>
      <c r="H703" s="10">
        <v>2025</v>
      </c>
    </row>
    <row r="704" spans="1:8" hidden="1" x14ac:dyDescent="0.3">
      <c r="A704" s="4" t="s">
        <v>43</v>
      </c>
      <c r="B704" s="16" t="s">
        <v>194</v>
      </c>
      <c r="C704" s="15">
        <v>9</v>
      </c>
      <c r="D704" s="17">
        <v>6846516</v>
      </c>
      <c r="E704" s="17">
        <v>6426580</v>
      </c>
      <c r="F704" s="17">
        <v>-419936</v>
      </c>
      <c r="G704" s="18">
        <v>0.93866427829862664</v>
      </c>
      <c r="H704" s="10">
        <v>2025</v>
      </c>
    </row>
    <row r="705" spans="1:8" hidden="1" x14ac:dyDescent="0.3">
      <c r="A705" s="4" t="s">
        <v>43</v>
      </c>
      <c r="B705" s="16" t="s">
        <v>194</v>
      </c>
      <c r="C705" s="15">
        <v>10</v>
      </c>
      <c r="D705" s="17">
        <v>6846516</v>
      </c>
      <c r="E705" s="17">
        <v>6757335</v>
      </c>
      <c r="F705" s="17">
        <v>-89181</v>
      </c>
      <c r="G705" s="18">
        <v>0.98697425084524748</v>
      </c>
      <c r="H705" s="10">
        <v>2025</v>
      </c>
    </row>
    <row r="706" spans="1:8" hidden="1" x14ac:dyDescent="0.3">
      <c r="A706" s="16" t="s">
        <v>43</v>
      </c>
      <c r="B706" s="16" t="s">
        <v>195</v>
      </c>
      <c r="C706" s="15">
        <v>1</v>
      </c>
      <c r="D706" s="17">
        <v>2129360</v>
      </c>
      <c r="E706" s="17">
        <v>2423700</v>
      </c>
      <c r="F706" s="17">
        <v>294340</v>
      </c>
      <c r="G706" s="18">
        <v>1.1382293271217643</v>
      </c>
      <c r="H706" s="10">
        <v>2025</v>
      </c>
    </row>
    <row r="707" spans="1:8" hidden="1" x14ac:dyDescent="0.3">
      <c r="A707" s="16" t="s">
        <v>43</v>
      </c>
      <c r="B707" s="16" t="s">
        <v>195</v>
      </c>
      <c r="C707" s="15">
        <v>2</v>
      </c>
      <c r="D707" s="17">
        <v>1796810</v>
      </c>
      <c r="E707" s="17">
        <v>1863900</v>
      </c>
      <c r="F707" s="17">
        <v>67090</v>
      </c>
      <c r="G707" s="18">
        <v>1.0373383941540841</v>
      </c>
      <c r="H707" s="10">
        <v>2025</v>
      </c>
    </row>
    <row r="708" spans="1:8" hidden="1" x14ac:dyDescent="0.3">
      <c r="A708" s="16" t="s">
        <v>43</v>
      </c>
      <c r="B708" s="16" t="s">
        <v>195</v>
      </c>
      <c r="C708" s="15">
        <v>3</v>
      </c>
      <c r="D708" s="17">
        <v>1919156</v>
      </c>
      <c r="E708" s="17">
        <v>1853413</v>
      </c>
      <c r="F708" s="17">
        <v>-65743</v>
      </c>
      <c r="G708" s="18">
        <v>0.96574379571019764</v>
      </c>
      <c r="H708" s="10">
        <v>2025</v>
      </c>
    </row>
    <row r="709" spans="1:8" hidden="1" x14ac:dyDescent="0.3">
      <c r="A709" s="16" t="s">
        <v>43</v>
      </c>
      <c r="B709" s="16" t="s">
        <v>195</v>
      </c>
      <c r="C709" s="15">
        <v>4</v>
      </c>
      <c r="D709" s="17">
        <v>2299463</v>
      </c>
      <c r="E709" s="17">
        <v>2267322</v>
      </c>
      <c r="F709" s="17">
        <v>-32141</v>
      </c>
      <c r="G709" s="18">
        <v>0.98602238870553693</v>
      </c>
      <c r="H709" s="10">
        <v>2025</v>
      </c>
    </row>
    <row r="710" spans="1:8" hidden="1" x14ac:dyDescent="0.3">
      <c r="A710" s="16" t="s">
        <v>43</v>
      </c>
      <c r="B710" s="16" t="s">
        <v>195</v>
      </c>
      <c r="C710" s="15">
        <v>5</v>
      </c>
      <c r="D710" s="17">
        <v>1979333</v>
      </c>
      <c r="E710" s="17">
        <v>2009269</v>
      </c>
      <c r="F710" s="17">
        <v>29936</v>
      </c>
      <c r="G710" s="18">
        <v>1.0151242868178321</v>
      </c>
      <c r="H710" s="10">
        <v>2025</v>
      </c>
    </row>
    <row r="711" spans="1:8" hidden="1" x14ac:dyDescent="0.3">
      <c r="A711" s="16" t="s">
        <v>43</v>
      </c>
      <c r="B711" s="16" t="s">
        <v>195</v>
      </c>
      <c r="C711" s="15">
        <v>6</v>
      </c>
      <c r="D711" s="17">
        <v>2248202</v>
      </c>
      <c r="E711" s="17">
        <v>2292719</v>
      </c>
      <c r="F711" s="17">
        <v>44517</v>
      </c>
      <c r="G711" s="18">
        <v>1.0198011566576313</v>
      </c>
      <c r="H711" s="10">
        <v>2025</v>
      </c>
    </row>
    <row r="712" spans="1:8" hidden="1" x14ac:dyDescent="0.3">
      <c r="A712" s="16" t="s">
        <v>43</v>
      </c>
      <c r="B712" s="16" t="s">
        <v>195</v>
      </c>
      <c r="C712" s="15">
        <v>7</v>
      </c>
      <c r="D712" s="17">
        <v>2076650</v>
      </c>
      <c r="E712" s="17">
        <v>2077048</v>
      </c>
      <c r="F712" s="17">
        <v>398</v>
      </c>
      <c r="G712" s="18">
        <v>1.0001916548286904</v>
      </c>
      <c r="H712" s="10">
        <v>2025</v>
      </c>
    </row>
    <row r="713" spans="1:8" hidden="1" x14ac:dyDescent="0.3">
      <c r="A713" s="16" t="s">
        <v>43</v>
      </c>
      <c r="B713" s="16" t="s">
        <v>195</v>
      </c>
      <c r="C713" s="15">
        <v>8</v>
      </c>
      <c r="D713" s="17">
        <v>2081211</v>
      </c>
      <c r="E713" s="17">
        <v>2432767</v>
      </c>
      <c r="F713" s="17">
        <v>351556</v>
      </c>
      <c r="G713" s="18">
        <v>1.1689189611240764</v>
      </c>
      <c r="H713" s="10">
        <v>2025</v>
      </c>
    </row>
    <row r="714" spans="1:8" hidden="1" x14ac:dyDescent="0.3">
      <c r="A714" s="16" t="s">
        <v>43</v>
      </c>
      <c r="B714" s="16" t="s">
        <v>195</v>
      </c>
      <c r="C714" s="15">
        <v>9</v>
      </c>
      <c r="D714" s="17">
        <v>2282172</v>
      </c>
      <c r="E714" s="17">
        <v>2168960</v>
      </c>
      <c r="F714" s="17">
        <v>-113212</v>
      </c>
      <c r="G714" s="18">
        <v>0.95039287135237838</v>
      </c>
      <c r="H714" s="10">
        <v>2025</v>
      </c>
    </row>
    <row r="715" spans="1:8" hidden="1" x14ac:dyDescent="0.3">
      <c r="A715" s="16" t="s">
        <v>43</v>
      </c>
      <c r="B715" s="16" t="s">
        <v>195</v>
      </c>
      <c r="C715" s="15">
        <v>10</v>
      </c>
      <c r="D715" s="17">
        <v>2282172</v>
      </c>
      <c r="E715" s="17">
        <v>2282739</v>
      </c>
      <c r="F715" s="17">
        <v>567</v>
      </c>
      <c r="G715" s="18">
        <v>1.0002484475315621</v>
      </c>
      <c r="H715" s="10">
        <v>2025</v>
      </c>
    </row>
    <row r="716" spans="1:8" hidden="1" x14ac:dyDescent="0.3">
      <c r="A716" s="16" t="s">
        <v>43</v>
      </c>
      <c r="B716" s="16" t="s">
        <v>196</v>
      </c>
      <c r="C716" s="15">
        <v>1</v>
      </c>
      <c r="D716" s="17">
        <v>757922</v>
      </c>
      <c r="E716" s="17">
        <v>699050</v>
      </c>
      <c r="F716" s="17">
        <v>-58872</v>
      </c>
      <c r="G716" s="18">
        <v>0.92232446082842301</v>
      </c>
      <c r="H716" s="10">
        <v>2025</v>
      </c>
    </row>
    <row r="717" spans="1:8" hidden="1" x14ac:dyDescent="0.3">
      <c r="A717" s="16" t="s">
        <v>43</v>
      </c>
      <c r="B717" s="16" t="s">
        <v>196</v>
      </c>
      <c r="C717" s="15">
        <v>2</v>
      </c>
      <c r="D717" s="17">
        <v>639554</v>
      </c>
      <c r="E717" s="17">
        <v>579150</v>
      </c>
      <c r="F717" s="17">
        <v>-60404</v>
      </c>
      <c r="G717" s="18">
        <v>0.90555293219962663</v>
      </c>
      <c r="H717" s="10">
        <v>2025</v>
      </c>
    </row>
    <row r="718" spans="1:8" hidden="1" x14ac:dyDescent="0.3">
      <c r="A718" s="16" t="s">
        <v>43</v>
      </c>
      <c r="B718" s="16" t="s">
        <v>196</v>
      </c>
      <c r="C718" s="15">
        <v>3</v>
      </c>
      <c r="D718" s="17">
        <v>683102</v>
      </c>
      <c r="E718" s="17">
        <v>637402</v>
      </c>
      <c r="F718" s="17">
        <v>-45700</v>
      </c>
      <c r="G718" s="18">
        <v>0.93309930288595266</v>
      </c>
      <c r="H718" s="10">
        <v>2025</v>
      </c>
    </row>
    <row r="719" spans="1:8" hidden="1" x14ac:dyDescent="0.3">
      <c r="A719" s="16" t="s">
        <v>43</v>
      </c>
      <c r="B719" s="16" t="s">
        <v>196</v>
      </c>
      <c r="C719" s="15">
        <v>4</v>
      </c>
      <c r="D719" s="17">
        <v>818468</v>
      </c>
      <c r="E719" s="17">
        <v>703431</v>
      </c>
      <c r="F719" s="17">
        <v>-115037</v>
      </c>
      <c r="G719" s="18">
        <v>0.85944838405411084</v>
      </c>
      <c r="H719" s="10">
        <v>2025</v>
      </c>
    </row>
    <row r="720" spans="1:8" hidden="1" x14ac:dyDescent="0.3">
      <c r="A720" s="16" t="s">
        <v>43</v>
      </c>
      <c r="B720" s="16" t="s">
        <v>196</v>
      </c>
      <c r="C720" s="15">
        <v>5</v>
      </c>
      <c r="D720" s="17">
        <v>704521</v>
      </c>
      <c r="E720" s="17">
        <v>634993</v>
      </c>
      <c r="F720" s="17">
        <v>-69528</v>
      </c>
      <c r="G720" s="18">
        <v>0.90131167133414059</v>
      </c>
      <c r="H720" s="10">
        <v>2025</v>
      </c>
    </row>
    <row r="721" spans="1:8" hidden="1" x14ac:dyDescent="0.3">
      <c r="A721" s="16" t="s">
        <v>43</v>
      </c>
      <c r="B721" s="16" t="s">
        <v>196</v>
      </c>
      <c r="C721" s="15">
        <v>6</v>
      </c>
      <c r="D721" s="17">
        <v>800222</v>
      </c>
      <c r="E721" s="17">
        <v>687224</v>
      </c>
      <c r="F721" s="17">
        <v>-112998</v>
      </c>
      <c r="G721" s="18">
        <v>0.8587916853073273</v>
      </c>
      <c r="H721" s="10">
        <v>2025</v>
      </c>
    </row>
    <row r="722" spans="1:8" hidden="1" x14ac:dyDescent="0.3">
      <c r="A722" s="16" t="s">
        <v>43</v>
      </c>
      <c r="B722" s="16" t="s">
        <v>196</v>
      </c>
      <c r="C722" s="15">
        <v>7</v>
      </c>
      <c r="D722" s="17">
        <v>739160</v>
      </c>
      <c r="E722" s="17">
        <v>595236</v>
      </c>
      <c r="F722" s="17">
        <v>-143924</v>
      </c>
      <c r="G722" s="18">
        <v>0.80528708263434168</v>
      </c>
      <c r="H722" s="10">
        <v>2025</v>
      </c>
    </row>
    <row r="723" spans="1:8" hidden="1" x14ac:dyDescent="0.3">
      <c r="A723" s="16" t="s">
        <v>43</v>
      </c>
      <c r="B723" s="16" t="s">
        <v>196</v>
      </c>
      <c r="C723" s="15">
        <v>8</v>
      </c>
      <c r="D723" s="17">
        <v>740784</v>
      </c>
      <c r="E723" s="17">
        <v>916908</v>
      </c>
      <c r="F723" s="17">
        <v>176124</v>
      </c>
      <c r="G723" s="18">
        <v>1.2377535151947128</v>
      </c>
      <c r="H723" s="10">
        <v>2025</v>
      </c>
    </row>
    <row r="724" spans="1:8" hidden="1" x14ac:dyDescent="0.3">
      <c r="A724" s="16" t="s">
        <v>43</v>
      </c>
      <c r="B724" s="16" t="s">
        <v>196</v>
      </c>
      <c r="C724" s="15">
        <v>9</v>
      </c>
      <c r="D724" s="17">
        <v>812314</v>
      </c>
      <c r="E724" s="17">
        <v>639807</v>
      </c>
      <c r="F724" s="17">
        <v>-172507</v>
      </c>
      <c r="G724" s="18">
        <v>0.78763507707610603</v>
      </c>
      <c r="H724" s="10">
        <v>2025</v>
      </c>
    </row>
    <row r="725" spans="1:8" hidden="1" x14ac:dyDescent="0.3">
      <c r="A725" s="16" t="s">
        <v>43</v>
      </c>
      <c r="B725" s="16" t="s">
        <v>196</v>
      </c>
      <c r="C725" s="15">
        <v>10</v>
      </c>
      <c r="D725" s="17">
        <v>812314</v>
      </c>
      <c r="E725" s="17">
        <v>673202</v>
      </c>
      <c r="F725" s="17">
        <v>-139112</v>
      </c>
      <c r="G725" s="18">
        <v>0.82874602678274656</v>
      </c>
      <c r="H725" s="10">
        <v>2025</v>
      </c>
    </row>
    <row r="726" spans="1:8" hidden="1" x14ac:dyDescent="0.3">
      <c r="A726" s="16" t="s">
        <v>43</v>
      </c>
      <c r="B726" s="16" t="s">
        <v>197</v>
      </c>
      <c r="C726" s="15">
        <v>1</v>
      </c>
      <c r="D726" s="17">
        <v>505297</v>
      </c>
      <c r="E726" s="17">
        <v>466100</v>
      </c>
      <c r="F726" s="17">
        <v>-39197</v>
      </c>
      <c r="G726" s="18">
        <v>0.92242779988798673</v>
      </c>
      <c r="H726" s="10">
        <v>2025</v>
      </c>
    </row>
    <row r="727" spans="1:8" hidden="1" x14ac:dyDescent="0.3">
      <c r="A727" s="16" t="s">
        <v>43</v>
      </c>
      <c r="B727" s="16" t="s">
        <v>197</v>
      </c>
      <c r="C727" s="15">
        <v>2</v>
      </c>
      <c r="D727" s="17">
        <v>426382</v>
      </c>
      <c r="E727" s="17">
        <v>386500</v>
      </c>
      <c r="F727" s="17">
        <v>-39882</v>
      </c>
      <c r="G727" s="18">
        <v>0.90646415655445123</v>
      </c>
      <c r="H727" s="10">
        <v>2025</v>
      </c>
    </row>
    <row r="728" spans="1:8" hidden="1" x14ac:dyDescent="0.3">
      <c r="A728" s="16" t="s">
        <v>43</v>
      </c>
      <c r="B728" s="16" t="s">
        <v>197</v>
      </c>
      <c r="C728" s="15">
        <v>3</v>
      </c>
      <c r="D728" s="17">
        <v>455415</v>
      </c>
      <c r="E728" s="17">
        <v>424967</v>
      </c>
      <c r="F728" s="17">
        <v>-30448</v>
      </c>
      <c r="G728" s="18">
        <v>0.93314229878242927</v>
      </c>
      <c r="H728" s="10">
        <v>2025</v>
      </c>
    </row>
    <row r="729" spans="1:8" hidden="1" x14ac:dyDescent="0.3">
      <c r="A729" s="16" t="s">
        <v>43</v>
      </c>
      <c r="B729" s="16" t="s">
        <v>197</v>
      </c>
      <c r="C729" s="15">
        <v>4</v>
      </c>
      <c r="D729" s="17">
        <v>545662</v>
      </c>
      <c r="E729" s="17">
        <v>468961</v>
      </c>
      <c r="F729" s="17">
        <v>-76701</v>
      </c>
      <c r="G729" s="18">
        <v>0.85943496156961641</v>
      </c>
      <c r="H729" s="10">
        <v>2025</v>
      </c>
    </row>
    <row r="730" spans="1:8" hidden="1" x14ac:dyDescent="0.3">
      <c r="A730" s="16" t="s">
        <v>43</v>
      </c>
      <c r="B730" s="16" t="s">
        <v>197</v>
      </c>
      <c r="C730" s="15">
        <v>5</v>
      </c>
      <c r="D730" s="17">
        <v>469695</v>
      </c>
      <c r="E730" s="17">
        <v>423374</v>
      </c>
      <c r="F730" s="17">
        <v>-46321</v>
      </c>
      <c r="G730" s="18">
        <v>0.90138068320931675</v>
      </c>
      <c r="H730" s="10">
        <v>2025</v>
      </c>
    </row>
    <row r="731" spans="1:8" hidden="1" x14ac:dyDescent="0.3">
      <c r="A731" s="16" t="s">
        <v>43</v>
      </c>
      <c r="B731" s="16" t="s">
        <v>197</v>
      </c>
      <c r="C731" s="15">
        <v>6</v>
      </c>
      <c r="D731" s="17">
        <v>533498</v>
      </c>
      <c r="E731" s="17">
        <v>458123</v>
      </c>
      <c r="F731" s="17">
        <v>-75375</v>
      </c>
      <c r="G731" s="18">
        <v>0.85871549659042778</v>
      </c>
      <c r="H731" s="10">
        <v>2025</v>
      </c>
    </row>
    <row r="732" spans="1:8" hidden="1" x14ac:dyDescent="0.3">
      <c r="A732" s="16" t="s">
        <v>43</v>
      </c>
      <c r="B732" s="16" t="s">
        <v>197</v>
      </c>
      <c r="C732" s="15">
        <v>7</v>
      </c>
      <c r="D732" s="17">
        <v>492788</v>
      </c>
      <c r="E732" s="17">
        <v>396824</v>
      </c>
      <c r="F732" s="17">
        <v>-95964</v>
      </c>
      <c r="G732" s="18">
        <v>0.8052631151732591</v>
      </c>
      <c r="H732" s="10">
        <v>2025</v>
      </c>
    </row>
    <row r="733" spans="1:8" hidden="1" x14ac:dyDescent="0.3">
      <c r="A733" s="16" t="s">
        <v>43</v>
      </c>
      <c r="B733" s="16" t="s">
        <v>197</v>
      </c>
      <c r="C733" s="15">
        <v>8</v>
      </c>
      <c r="D733" s="17">
        <v>493871</v>
      </c>
      <c r="E733" s="17">
        <v>611279</v>
      </c>
      <c r="F733" s="17">
        <v>117408</v>
      </c>
      <c r="G733" s="18">
        <v>1.2377300955107711</v>
      </c>
      <c r="H733" s="10">
        <v>2025</v>
      </c>
    </row>
    <row r="734" spans="1:8" hidden="1" x14ac:dyDescent="0.3">
      <c r="A734" s="16" t="s">
        <v>43</v>
      </c>
      <c r="B734" s="16" t="s">
        <v>197</v>
      </c>
      <c r="C734" s="15">
        <v>9</v>
      </c>
      <c r="D734" s="17">
        <v>541559</v>
      </c>
      <c r="E734" s="17">
        <v>426530</v>
      </c>
      <c r="F734" s="17">
        <v>-115029</v>
      </c>
      <c r="G734" s="18">
        <v>0.78759654996039219</v>
      </c>
      <c r="H734" s="10">
        <v>2025</v>
      </c>
    </row>
    <row r="735" spans="1:8" hidden="1" x14ac:dyDescent="0.3">
      <c r="A735" s="16" t="s">
        <v>43</v>
      </c>
      <c r="B735" s="16" t="s">
        <v>197</v>
      </c>
      <c r="C735" s="15">
        <v>10</v>
      </c>
      <c r="D735" s="17">
        <v>541559</v>
      </c>
      <c r="E735" s="17">
        <v>448819</v>
      </c>
      <c r="F735" s="17">
        <v>-92740</v>
      </c>
      <c r="G735" s="18">
        <v>0.82875365380318677</v>
      </c>
      <c r="H735" s="10">
        <v>2025</v>
      </c>
    </row>
    <row r="736" spans="1:8" hidden="1" x14ac:dyDescent="0.3">
      <c r="A736" s="16" t="s">
        <v>43</v>
      </c>
      <c r="B736" s="16" t="s">
        <v>199</v>
      </c>
      <c r="C736" s="15">
        <v>1</v>
      </c>
      <c r="D736" s="17">
        <v>35141</v>
      </c>
      <c r="E736" s="17">
        <v>0</v>
      </c>
      <c r="F736" s="17">
        <v>-35141</v>
      </c>
      <c r="G736" s="18">
        <v>0</v>
      </c>
      <c r="H736" s="10">
        <v>2025</v>
      </c>
    </row>
    <row r="737" spans="1:8" hidden="1" x14ac:dyDescent="0.3">
      <c r="A737" s="16" t="s">
        <v>43</v>
      </c>
      <c r="B737" s="16" t="s">
        <v>199</v>
      </c>
      <c r="C737" s="15">
        <v>2</v>
      </c>
      <c r="D737" s="17">
        <v>35141</v>
      </c>
      <c r="E737" s="17">
        <v>141156</v>
      </c>
      <c r="F737" s="17">
        <v>106015</v>
      </c>
      <c r="G737" s="18">
        <v>4.0168464187131843</v>
      </c>
      <c r="H737" s="10">
        <v>2025</v>
      </c>
    </row>
    <row r="738" spans="1:8" hidden="1" x14ac:dyDescent="0.3">
      <c r="A738" s="16" t="s">
        <v>43</v>
      </c>
      <c r="B738" s="16" t="s">
        <v>199</v>
      </c>
      <c r="C738" s="15">
        <v>3</v>
      </c>
      <c r="D738" s="17">
        <v>35141</v>
      </c>
      <c r="E738" s="17">
        <v>251086</v>
      </c>
      <c r="F738" s="17">
        <v>215945</v>
      </c>
      <c r="G738" s="18">
        <v>7.1451011638826438</v>
      </c>
      <c r="H738" s="10">
        <v>2025</v>
      </c>
    </row>
    <row r="739" spans="1:8" hidden="1" x14ac:dyDescent="0.3">
      <c r="A739" s="16" t="s">
        <v>43</v>
      </c>
      <c r="B739" s="16" t="s">
        <v>199</v>
      </c>
      <c r="C739" s="15">
        <v>4</v>
      </c>
      <c r="D739" s="17">
        <v>35141</v>
      </c>
      <c r="E739" s="17">
        <v>228082</v>
      </c>
      <c r="F739" s="17">
        <v>192941</v>
      </c>
      <c r="G739" s="18">
        <v>6.4904812042912843</v>
      </c>
      <c r="H739" s="10">
        <v>2025</v>
      </c>
    </row>
    <row r="740" spans="1:8" hidden="1" x14ac:dyDescent="0.3">
      <c r="A740" s="16" t="s">
        <v>43</v>
      </c>
      <c r="B740" s="16" t="s">
        <v>199</v>
      </c>
      <c r="C740" s="15">
        <v>5</v>
      </c>
      <c r="D740" s="17">
        <v>35141</v>
      </c>
      <c r="E740" s="17">
        <v>140500</v>
      </c>
      <c r="F740" s="17">
        <v>105359</v>
      </c>
      <c r="G740" s="18">
        <v>3.9981787655445209</v>
      </c>
      <c r="H740" s="10">
        <v>2025</v>
      </c>
    </row>
    <row r="741" spans="1:8" hidden="1" x14ac:dyDescent="0.3">
      <c r="A741" s="16" t="s">
        <v>43</v>
      </c>
      <c r="B741" s="16" t="s">
        <v>199</v>
      </c>
      <c r="C741" s="15">
        <v>6</v>
      </c>
      <c r="D741" s="17">
        <v>105141</v>
      </c>
      <c r="E741" s="17">
        <v>0</v>
      </c>
      <c r="F741" s="17">
        <v>-105141</v>
      </c>
      <c r="G741" s="18">
        <v>0</v>
      </c>
      <c r="H741" s="10">
        <v>2025</v>
      </c>
    </row>
    <row r="742" spans="1:8" hidden="1" x14ac:dyDescent="0.3">
      <c r="A742" s="16" t="s">
        <v>43</v>
      </c>
      <c r="B742" s="16" t="s">
        <v>199</v>
      </c>
      <c r="C742" s="15">
        <v>7</v>
      </c>
      <c r="D742" s="17">
        <v>35141</v>
      </c>
      <c r="E742" s="17">
        <v>135300</v>
      </c>
      <c r="F742" s="17">
        <v>100159</v>
      </c>
      <c r="G742" s="18">
        <v>3.8502034660368234</v>
      </c>
      <c r="H742" s="10">
        <v>2025</v>
      </c>
    </row>
    <row r="743" spans="1:8" hidden="1" x14ac:dyDescent="0.3">
      <c r="A743" s="16" t="s">
        <v>43</v>
      </c>
      <c r="B743" s="16" t="s">
        <v>199</v>
      </c>
      <c r="C743" s="15">
        <v>8</v>
      </c>
      <c r="D743" s="17">
        <v>35141</v>
      </c>
      <c r="E743" s="17">
        <v>225180</v>
      </c>
      <c r="F743" s="17">
        <v>190039</v>
      </c>
      <c r="G743" s="18">
        <v>6.407899604450642</v>
      </c>
      <c r="H743" s="10">
        <v>2025</v>
      </c>
    </row>
    <row r="744" spans="1:8" hidden="1" x14ac:dyDescent="0.3">
      <c r="A744" s="16" t="s">
        <v>43</v>
      </c>
      <c r="B744" s="16" t="s">
        <v>199</v>
      </c>
      <c r="C744" s="15">
        <v>9</v>
      </c>
      <c r="D744" s="17">
        <v>35141</v>
      </c>
      <c r="E744" s="17">
        <v>0</v>
      </c>
      <c r="F744" s="17">
        <v>-35141</v>
      </c>
      <c r="G744" s="18">
        <v>0</v>
      </c>
      <c r="H744" s="10">
        <v>2025</v>
      </c>
    </row>
    <row r="745" spans="1:8" hidden="1" x14ac:dyDescent="0.3">
      <c r="A745" s="16" t="s">
        <v>43</v>
      </c>
      <c r="B745" s="16" t="s">
        <v>199</v>
      </c>
      <c r="C745" s="15">
        <v>10</v>
      </c>
      <c r="D745" s="17">
        <v>35141</v>
      </c>
      <c r="E745" s="17">
        <v>0</v>
      </c>
      <c r="F745" s="17">
        <v>-35141</v>
      </c>
      <c r="G745" s="18">
        <v>0</v>
      </c>
      <c r="H745" s="10">
        <v>2025</v>
      </c>
    </row>
    <row r="746" spans="1:8" hidden="1" x14ac:dyDescent="0.3">
      <c r="A746" s="4" t="s">
        <v>43</v>
      </c>
      <c r="B746" s="16" t="s">
        <v>200</v>
      </c>
      <c r="C746" s="15">
        <v>1</v>
      </c>
      <c r="D746" s="17">
        <v>48280315</v>
      </c>
      <c r="E746" s="17">
        <v>45933686</v>
      </c>
      <c r="F746" s="17">
        <v>-2346629</v>
      </c>
      <c r="G746" s="18">
        <v>0.9513957396508288</v>
      </c>
      <c r="H746" s="10">
        <v>2025</v>
      </c>
    </row>
    <row r="747" spans="1:8" hidden="1" x14ac:dyDescent="0.3">
      <c r="A747" s="4" t="s">
        <v>43</v>
      </c>
      <c r="B747" s="16" t="s">
        <v>200</v>
      </c>
      <c r="C747" s="15">
        <v>2</v>
      </c>
      <c r="D747" s="17">
        <v>54088356</v>
      </c>
      <c r="E747" s="17">
        <v>53196189</v>
      </c>
      <c r="F747" s="17">
        <v>-892167</v>
      </c>
      <c r="G747" s="18">
        <v>0.98350537775635105</v>
      </c>
      <c r="H747" s="10">
        <v>2025</v>
      </c>
    </row>
    <row r="748" spans="1:8" hidden="1" x14ac:dyDescent="0.3">
      <c r="A748" s="4" t="s">
        <v>43</v>
      </c>
      <c r="B748" s="16" t="s">
        <v>200</v>
      </c>
      <c r="C748" s="15">
        <v>3</v>
      </c>
      <c r="D748" s="17">
        <v>48818928</v>
      </c>
      <c r="E748" s="17">
        <v>42324634</v>
      </c>
      <c r="F748" s="17">
        <v>-6494294</v>
      </c>
      <c r="G748" s="18">
        <v>0.86697180241237581</v>
      </c>
      <c r="H748" s="10">
        <v>2025</v>
      </c>
    </row>
    <row r="749" spans="1:8" hidden="1" x14ac:dyDescent="0.3">
      <c r="A749" s="4" t="s">
        <v>43</v>
      </c>
      <c r="B749" s="16" t="s">
        <v>200</v>
      </c>
      <c r="C749" s="15">
        <v>4</v>
      </c>
      <c r="D749" s="17">
        <v>38039704</v>
      </c>
      <c r="E749" s="17">
        <v>39772135</v>
      </c>
      <c r="F749" s="17">
        <v>1732431</v>
      </c>
      <c r="G749" s="18">
        <v>1.0455427045383949</v>
      </c>
      <c r="H749" s="10">
        <v>2025</v>
      </c>
    </row>
    <row r="750" spans="1:8" hidden="1" x14ac:dyDescent="0.3">
      <c r="A750" s="4" t="s">
        <v>43</v>
      </c>
      <c r="B750" s="16" t="s">
        <v>200</v>
      </c>
      <c r="C750" s="15">
        <v>5</v>
      </c>
      <c r="D750" s="17">
        <v>36735381</v>
      </c>
      <c r="E750" s="17">
        <v>35440553</v>
      </c>
      <c r="F750" s="17">
        <v>-1294828</v>
      </c>
      <c r="G750" s="18">
        <v>0.96475256374773954</v>
      </c>
      <c r="H750" s="10">
        <v>2025</v>
      </c>
    </row>
    <row r="751" spans="1:8" hidden="1" x14ac:dyDescent="0.3">
      <c r="A751" s="4" t="s">
        <v>43</v>
      </c>
      <c r="B751" s="16" t="s">
        <v>200</v>
      </c>
      <c r="C751" s="15">
        <v>6</v>
      </c>
      <c r="D751" s="17">
        <v>35799697</v>
      </c>
      <c r="E751" s="17">
        <v>36569933</v>
      </c>
      <c r="F751" s="17">
        <v>770236</v>
      </c>
      <c r="G751" s="18">
        <v>1.0215151541645731</v>
      </c>
      <c r="H751" s="10">
        <v>2025</v>
      </c>
    </row>
    <row r="752" spans="1:8" hidden="1" x14ac:dyDescent="0.3">
      <c r="A752" s="4" t="s">
        <v>43</v>
      </c>
      <c r="B752" s="16" t="s">
        <v>200</v>
      </c>
      <c r="C752" s="15">
        <v>7</v>
      </c>
      <c r="D752" s="17">
        <v>44638657</v>
      </c>
      <c r="E752" s="17">
        <v>44205510</v>
      </c>
      <c r="F752" s="17">
        <v>-433147</v>
      </c>
      <c r="G752" s="18">
        <v>0.99029659427253836</v>
      </c>
      <c r="H752" s="10">
        <v>2025</v>
      </c>
    </row>
    <row r="753" spans="1:8" hidden="1" x14ac:dyDescent="0.3">
      <c r="A753" s="4" t="s">
        <v>43</v>
      </c>
      <c r="B753" s="16" t="s">
        <v>200</v>
      </c>
      <c r="C753" s="15">
        <v>8</v>
      </c>
      <c r="D753" s="17">
        <v>54138313</v>
      </c>
      <c r="E753" s="17">
        <v>55012461</v>
      </c>
      <c r="F753" s="17">
        <v>874148</v>
      </c>
      <c r="G753" s="18">
        <v>1.0161465688818194</v>
      </c>
      <c r="H753" s="10">
        <v>2025</v>
      </c>
    </row>
    <row r="754" spans="1:8" hidden="1" x14ac:dyDescent="0.3">
      <c r="A754" s="4" t="s">
        <v>43</v>
      </c>
      <c r="B754" s="16" t="s">
        <v>200</v>
      </c>
      <c r="C754" s="15">
        <v>9</v>
      </c>
      <c r="D754" s="17">
        <v>56747620</v>
      </c>
      <c r="E754" s="17">
        <v>62439120</v>
      </c>
      <c r="F754" s="17">
        <v>5691500</v>
      </c>
      <c r="G754" s="18">
        <v>1.1002949551012007</v>
      </c>
      <c r="H754" s="10">
        <v>2025</v>
      </c>
    </row>
    <row r="755" spans="1:8" hidden="1" x14ac:dyDescent="0.3">
      <c r="A755" s="4" t="s">
        <v>43</v>
      </c>
      <c r="B755" s="16" t="s">
        <v>200</v>
      </c>
      <c r="C755" s="15">
        <v>10</v>
      </c>
      <c r="D755" s="17">
        <v>56747620</v>
      </c>
      <c r="E755" s="17">
        <v>68205465</v>
      </c>
      <c r="F755" s="17">
        <v>11457845</v>
      </c>
      <c r="G755" s="18">
        <v>1.201908820140827</v>
      </c>
      <c r="H755" s="10">
        <v>2025</v>
      </c>
    </row>
    <row r="756" spans="1:8" hidden="1" x14ac:dyDescent="0.3">
      <c r="A756" s="4" t="s">
        <v>43</v>
      </c>
      <c r="B756" s="16" t="s">
        <v>201</v>
      </c>
      <c r="C756" s="15">
        <v>1</v>
      </c>
      <c r="D756" s="17">
        <v>7210000</v>
      </c>
      <c r="E756" s="17">
        <v>7210000</v>
      </c>
      <c r="F756" s="17">
        <v>0</v>
      </c>
      <c r="G756" s="18">
        <v>1</v>
      </c>
      <c r="H756" s="10">
        <v>2025</v>
      </c>
    </row>
    <row r="757" spans="1:8" hidden="1" x14ac:dyDescent="0.3">
      <c r="A757" s="4" t="s">
        <v>43</v>
      </c>
      <c r="B757" s="16" t="s">
        <v>201</v>
      </c>
      <c r="C757" s="15">
        <v>2</v>
      </c>
      <c r="D757" s="17">
        <v>2583825</v>
      </c>
      <c r="E757" s="17">
        <v>2370632</v>
      </c>
      <c r="F757" s="17">
        <v>-213193</v>
      </c>
      <c r="G757" s="18">
        <v>0.91748938105328348</v>
      </c>
      <c r="H757" s="10">
        <v>2025</v>
      </c>
    </row>
    <row r="758" spans="1:8" hidden="1" x14ac:dyDescent="0.3">
      <c r="A758" s="4" t="s">
        <v>43</v>
      </c>
      <c r="B758" s="16" t="s">
        <v>201</v>
      </c>
      <c r="C758" s="15">
        <v>3</v>
      </c>
      <c r="D758" s="17">
        <v>2068960</v>
      </c>
      <c r="E758" s="17">
        <v>925073</v>
      </c>
      <c r="F758" s="17">
        <v>-1143887</v>
      </c>
      <c r="G758" s="18">
        <v>0.44711980898615733</v>
      </c>
      <c r="H758" s="10">
        <v>2025</v>
      </c>
    </row>
    <row r="759" spans="1:8" hidden="1" x14ac:dyDescent="0.3">
      <c r="A759" s="4" t="s">
        <v>43</v>
      </c>
      <c r="B759" s="16" t="s">
        <v>201</v>
      </c>
      <c r="C759" s="15">
        <v>4</v>
      </c>
      <c r="D759" s="17">
        <v>1871817</v>
      </c>
      <c r="E759" s="17">
        <v>1646984</v>
      </c>
      <c r="F759" s="17">
        <v>-224833</v>
      </c>
      <c r="G759" s="18">
        <v>0.87988515971379688</v>
      </c>
      <c r="H759" s="10">
        <v>2025</v>
      </c>
    </row>
    <row r="760" spans="1:8" hidden="1" x14ac:dyDescent="0.3">
      <c r="A760" s="4" t="s">
        <v>43</v>
      </c>
      <c r="B760" s="16" t="s">
        <v>201</v>
      </c>
      <c r="C760" s="15">
        <v>5</v>
      </c>
      <c r="D760" s="17">
        <v>1871817</v>
      </c>
      <c r="E760" s="17">
        <v>1750148</v>
      </c>
      <c r="F760" s="17">
        <v>-121669</v>
      </c>
      <c r="G760" s="18">
        <v>0.93499952185496771</v>
      </c>
      <c r="H760" s="10">
        <v>2025</v>
      </c>
    </row>
    <row r="761" spans="1:8" hidden="1" x14ac:dyDescent="0.3">
      <c r="A761" s="4" t="s">
        <v>43</v>
      </c>
      <c r="B761" s="16" t="s">
        <v>201</v>
      </c>
      <c r="C761" s="15">
        <v>6</v>
      </c>
      <c r="D761" s="17">
        <v>1871817</v>
      </c>
      <c r="E761" s="17">
        <v>1688314</v>
      </c>
      <c r="F761" s="17">
        <v>-183503</v>
      </c>
      <c r="G761" s="18">
        <v>0.90196530964298327</v>
      </c>
      <c r="H761" s="10">
        <v>2025</v>
      </c>
    </row>
    <row r="762" spans="1:8" hidden="1" x14ac:dyDescent="0.3">
      <c r="A762" s="4" t="s">
        <v>43</v>
      </c>
      <c r="B762" s="16" t="s">
        <v>201</v>
      </c>
      <c r="C762" s="15">
        <v>7</v>
      </c>
      <c r="D762" s="17">
        <v>2436422</v>
      </c>
      <c r="E762" s="17">
        <v>2057867</v>
      </c>
      <c r="F762" s="17">
        <v>-378555</v>
      </c>
      <c r="G762" s="18">
        <v>0.84462666976410494</v>
      </c>
      <c r="H762" s="10">
        <v>2025</v>
      </c>
    </row>
    <row r="763" spans="1:8" hidden="1" x14ac:dyDescent="0.3">
      <c r="A763" s="4" t="s">
        <v>43</v>
      </c>
      <c r="B763" s="16" t="s">
        <v>201</v>
      </c>
      <c r="C763" s="15">
        <v>8</v>
      </c>
      <c r="D763" s="17">
        <v>2923461</v>
      </c>
      <c r="E763" s="17">
        <v>2801792</v>
      </c>
      <c r="F763" s="17">
        <v>-121669</v>
      </c>
      <c r="G763" s="18">
        <v>0.95838186314098261</v>
      </c>
      <c r="H763" s="10">
        <v>2025</v>
      </c>
    </row>
    <row r="764" spans="1:8" hidden="1" x14ac:dyDescent="0.3">
      <c r="A764" s="4" t="s">
        <v>43</v>
      </c>
      <c r="B764" s="16" t="s">
        <v>201</v>
      </c>
      <c r="C764" s="15">
        <v>9</v>
      </c>
      <c r="D764" s="17">
        <v>2923461</v>
      </c>
      <c r="E764" s="17">
        <v>2864536</v>
      </c>
      <c r="F764" s="17">
        <v>-58925</v>
      </c>
      <c r="G764" s="18">
        <v>0.97984409574815612</v>
      </c>
      <c r="H764" s="10">
        <v>2025</v>
      </c>
    </row>
    <row r="765" spans="1:8" hidden="1" x14ac:dyDescent="0.3">
      <c r="A765" s="4" t="s">
        <v>43</v>
      </c>
      <c r="B765" s="16" t="s">
        <v>201</v>
      </c>
      <c r="C765" s="15">
        <v>10</v>
      </c>
      <c r="D765" s="17">
        <v>2923461</v>
      </c>
      <c r="E765" s="17">
        <v>2800080</v>
      </c>
      <c r="F765" s="17">
        <v>-123381</v>
      </c>
      <c r="G765" s="18">
        <v>0.95779625587616868</v>
      </c>
      <c r="H765" s="10">
        <v>2025</v>
      </c>
    </row>
    <row r="766" spans="1:8" hidden="1" x14ac:dyDescent="0.3">
      <c r="A766" s="4" t="s">
        <v>43</v>
      </c>
      <c r="B766" s="16" t="s">
        <v>202</v>
      </c>
      <c r="C766" s="15">
        <v>1</v>
      </c>
      <c r="D766" s="17">
        <v>663864</v>
      </c>
      <c r="E766" s="17">
        <v>610047</v>
      </c>
      <c r="F766" s="17">
        <v>-53817</v>
      </c>
      <c r="G766" s="18">
        <v>0.91893369726329488</v>
      </c>
      <c r="H766" s="10">
        <v>2025</v>
      </c>
    </row>
    <row r="767" spans="1:8" hidden="1" x14ac:dyDescent="0.3">
      <c r="A767" s="4" t="s">
        <v>43</v>
      </c>
      <c r="B767" s="16" t="s">
        <v>202</v>
      </c>
      <c r="C767" s="15">
        <v>2</v>
      </c>
      <c r="D767" s="17">
        <v>789923</v>
      </c>
      <c r="E767" s="17">
        <v>724746</v>
      </c>
      <c r="F767" s="17">
        <v>-65177</v>
      </c>
      <c r="G767" s="18">
        <v>0.91748942618457752</v>
      </c>
      <c r="H767" s="10">
        <v>2025</v>
      </c>
    </row>
    <row r="768" spans="1:8" hidden="1" x14ac:dyDescent="0.3">
      <c r="A768" s="4" t="s">
        <v>43</v>
      </c>
      <c r="B768" s="16" t="s">
        <v>202</v>
      </c>
      <c r="C768" s="15">
        <v>3</v>
      </c>
      <c r="D768" s="17">
        <v>632519</v>
      </c>
      <c r="E768" s="17">
        <v>528613</v>
      </c>
      <c r="F768" s="17">
        <v>-103906</v>
      </c>
      <c r="G768" s="18">
        <v>0.83572667382323695</v>
      </c>
      <c r="H768" s="10">
        <v>2025</v>
      </c>
    </row>
    <row r="769" spans="1:8" hidden="1" x14ac:dyDescent="0.3">
      <c r="A769" s="4" t="s">
        <v>43</v>
      </c>
      <c r="B769" s="16" t="s">
        <v>202</v>
      </c>
      <c r="C769" s="15">
        <v>4</v>
      </c>
      <c r="D769" s="17">
        <v>572249</v>
      </c>
      <c r="E769" s="17">
        <v>503513</v>
      </c>
      <c r="F769" s="17">
        <v>-68736</v>
      </c>
      <c r="G769" s="18">
        <v>0.87988445589245246</v>
      </c>
      <c r="H769" s="10">
        <v>2025</v>
      </c>
    </row>
    <row r="770" spans="1:8" hidden="1" x14ac:dyDescent="0.3">
      <c r="A770" s="4" t="s">
        <v>43</v>
      </c>
      <c r="B770" s="16" t="s">
        <v>202</v>
      </c>
      <c r="C770" s="15">
        <v>5</v>
      </c>
      <c r="D770" s="17">
        <v>572249</v>
      </c>
      <c r="E770" s="17">
        <v>535052</v>
      </c>
      <c r="F770" s="17">
        <v>-37197</v>
      </c>
      <c r="G770" s="18">
        <v>0.93499857579480261</v>
      </c>
      <c r="H770" s="10">
        <v>2025</v>
      </c>
    </row>
    <row r="771" spans="1:8" hidden="1" x14ac:dyDescent="0.3">
      <c r="A771" s="4" t="s">
        <v>43</v>
      </c>
      <c r="B771" s="16" t="s">
        <v>202</v>
      </c>
      <c r="C771" s="15">
        <v>6</v>
      </c>
      <c r="D771" s="17">
        <v>572249</v>
      </c>
      <c r="E771" s="17">
        <v>516148</v>
      </c>
      <c r="F771" s="17">
        <v>-56101</v>
      </c>
      <c r="G771" s="18">
        <v>0.90196400517956343</v>
      </c>
      <c r="H771" s="10">
        <v>2025</v>
      </c>
    </row>
    <row r="772" spans="1:8" hidden="1" x14ac:dyDescent="0.3">
      <c r="A772" s="4" t="s">
        <v>43</v>
      </c>
      <c r="B772" s="16" t="s">
        <v>202</v>
      </c>
      <c r="C772" s="15">
        <v>7</v>
      </c>
      <c r="D772" s="17">
        <v>744859</v>
      </c>
      <c r="E772" s="17">
        <v>629127</v>
      </c>
      <c r="F772" s="17">
        <v>-115732</v>
      </c>
      <c r="G772" s="18">
        <v>0.84462562713211498</v>
      </c>
      <c r="H772" s="10">
        <v>2025</v>
      </c>
    </row>
    <row r="773" spans="1:8" hidden="1" x14ac:dyDescent="0.3">
      <c r="A773" s="4" t="s">
        <v>43</v>
      </c>
      <c r="B773" s="16" t="s">
        <v>202</v>
      </c>
      <c r="C773" s="15">
        <v>8</v>
      </c>
      <c r="D773" s="17">
        <v>893756</v>
      </c>
      <c r="E773" s="17">
        <v>856560</v>
      </c>
      <c r="F773" s="17">
        <v>-37196</v>
      </c>
      <c r="G773" s="18">
        <v>0.95838237729313147</v>
      </c>
      <c r="H773" s="10">
        <v>2025</v>
      </c>
    </row>
    <row r="774" spans="1:8" hidden="1" x14ac:dyDescent="0.3">
      <c r="A774" s="4" t="s">
        <v>43</v>
      </c>
      <c r="B774" s="16" t="s">
        <v>202</v>
      </c>
      <c r="C774" s="15">
        <v>9</v>
      </c>
      <c r="D774" s="17">
        <v>893756</v>
      </c>
      <c r="E774" s="17">
        <v>875742</v>
      </c>
      <c r="F774" s="17">
        <v>-18014</v>
      </c>
      <c r="G774" s="18">
        <v>0.97984461083338181</v>
      </c>
      <c r="H774" s="10">
        <v>2025</v>
      </c>
    </row>
    <row r="775" spans="1:8" hidden="1" x14ac:dyDescent="0.3">
      <c r="A775" s="4" t="s">
        <v>43</v>
      </c>
      <c r="B775" s="16" t="s">
        <v>202</v>
      </c>
      <c r="C775" s="15">
        <v>10</v>
      </c>
      <c r="D775" s="17">
        <v>893756</v>
      </c>
      <c r="E775" s="17">
        <v>856037</v>
      </c>
      <c r="F775" s="17">
        <v>-37719</v>
      </c>
      <c r="G775" s="18">
        <v>0.95779720639637667</v>
      </c>
      <c r="H775" s="10">
        <v>2025</v>
      </c>
    </row>
    <row r="776" spans="1:8" hidden="1" x14ac:dyDescent="0.3">
      <c r="A776" s="4" t="s">
        <v>43</v>
      </c>
      <c r="B776" s="16" t="s">
        <v>203</v>
      </c>
      <c r="C776" s="15">
        <v>1</v>
      </c>
      <c r="D776" s="17">
        <v>213229</v>
      </c>
      <c r="E776" s="17">
        <v>244592</v>
      </c>
      <c r="F776" s="17">
        <v>31363</v>
      </c>
      <c r="G776" s="18">
        <v>1.1470859967452833</v>
      </c>
      <c r="H776" s="10">
        <v>2025</v>
      </c>
    </row>
    <row r="777" spans="1:8" hidden="1" x14ac:dyDescent="0.3">
      <c r="A777" s="4" t="s">
        <v>43</v>
      </c>
      <c r="B777" s="16" t="s">
        <v>203</v>
      </c>
      <c r="C777" s="15">
        <v>2</v>
      </c>
      <c r="D777" s="17">
        <v>0</v>
      </c>
      <c r="E777" s="17">
        <v>165000</v>
      </c>
      <c r="F777" s="17">
        <v>165000</v>
      </c>
      <c r="G777" s="18">
        <v>0</v>
      </c>
      <c r="H777" s="10">
        <v>2025</v>
      </c>
    </row>
    <row r="778" spans="1:8" hidden="1" x14ac:dyDescent="0.3">
      <c r="A778" s="4" t="s">
        <v>43</v>
      </c>
      <c r="B778" s="16" t="s">
        <v>203</v>
      </c>
      <c r="C778" s="15">
        <v>3</v>
      </c>
      <c r="D778" s="17">
        <v>501632</v>
      </c>
      <c r="E778" s="17">
        <v>421540</v>
      </c>
      <c r="F778" s="17">
        <v>-80092</v>
      </c>
      <c r="G778" s="18">
        <v>0.84033713957642264</v>
      </c>
      <c r="H778" s="10">
        <v>2025</v>
      </c>
    </row>
    <row r="779" spans="1:8" hidden="1" x14ac:dyDescent="0.3">
      <c r="A779" s="4" t="s">
        <v>43</v>
      </c>
      <c r="B779" s="16" t="s">
        <v>203</v>
      </c>
      <c r="C779" s="15">
        <v>5</v>
      </c>
      <c r="D779" s="17">
        <v>250816</v>
      </c>
      <c r="E779" s="17">
        <v>0</v>
      </c>
      <c r="F779" s="17">
        <v>-250816</v>
      </c>
      <c r="G779" s="18">
        <v>0</v>
      </c>
      <c r="H779" s="10">
        <v>2025</v>
      </c>
    </row>
    <row r="780" spans="1:8" hidden="1" x14ac:dyDescent="0.3">
      <c r="A780" s="4" t="s">
        <v>43</v>
      </c>
      <c r="B780" s="16" t="s">
        <v>203</v>
      </c>
      <c r="C780" s="15">
        <v>7</v>
      </c>
      <c r="D780" s="17">
        <v>0</v>
      </c>
      <c r="E780" s="17">
        <v>591299</v>
      </c>
      <c r="F780" s="17">
        <v>591299</v>
      </c>
      <c r="G780" s="18">
        <v>0</v>
      </c>
      <c r="H780" s="10">
        <v>2025</v>
      </c>
    </row>
    <row r="781" spans="1:8" hidden="1" x14ac:dyDescent="0.3">
      <c r="A781" s="4" t="s">
        <v>43</v>
      </c>
      <c r="B781" s="16" t="s">
        <v>203</v>
      </c>
      <c r="C781" s="15">
        <v>9</v>
      </c>
      <c r="D781" s="17">
        <v>250816</v>
      </c>
      <c r="E781" s="17">
        <v>0</v>
      </c>
      <c r="F781" s="17">
        <v>-250816</v>
      </c>
      <c r="G781" s="18">
        <v>0</v>
      </c>
      <c r="H781" s="10">
        <v>2025</v>
      </c>
    </row>
    <row r="782" spans="1:8" hidden="1" x14ac:dyDescent="0.3">
      <c r="A782" s="4" t="s">
        <v>43</v>
      </c>
      <c r="B782" s="16" t="s">
        <v>208</v>
      </c>
      <c r="C782" s="15">
        <v>3</v>
      </c>
      <c r="D782" s="17">
        <v>0</v>
      </c>
      <c r="E782" s="17">
        <v>141000</v>
      </c>
      <c r="F782" s="17">
        <v>141000</v>
      </c>
      <c r="G782" s="18">
        <v>0</v>
      </c>
      <c r="H782" s="10">
        <v>2025</v>
      </c>
    </row>
    <row r="783" spans="1:8" hidden="1" x14ac:dyDescent="0.3">
      <c r="A783" s="4" t="s">
        <v>43</v>
      </c>
      <c r="B783" s="16" t="s">
        <v>204</v>
      </c>
      <c r="C783" s="15">
        <v>2</v>
      </c>
      <c r="D783" s="17">
        <v>10218837</v>
      </c>
      <c r="E783" s="17">
        <v>10218837</v>
      </c>
      <c r="F783" s="17">
        <v>0</v>
      </c>
      <c r="G783" s="18">
        <v>1</v>
      </c>
      <c r="H783" s="10">
        <v>2025</v>
      </c>
    </row>
    <row r="784" spans="1:8" hidden="1" x14ac:dyDescent="0.3">
      <c r="A784" s="4" t="s">
        <v>43</v>
      </c>
      <c r="B784" s="16" t="s">
        <v>204</v>
      </c>
      <c r="C784" s="15">
        <v>4</v>
      </c>
      <c r="D784" s="17">
        <v>0</v>
      </c>
      <c r="E784" s="17">
        <v>11101958</v>
      </c>
      <c r="F784" s="17">
        <v>11101958</v>
      </c>
      <c r="G784" s="18">
        <v>0</v>
      </c>
      <c r="H784" s="10">
        <v>2025</v>
      </c>
    </row>
    <row r="785" spans="1:8" hidden="1" x14ac:dyDescent="0.3">
      <c r="A785" s="4" t="s">
        <v>43</v>
      </c>
      <c r="B785" s="16" t="s">
        <v>204</v>
      </c>
      <c r="C785" s="15">
        <v>5</v>
      </c>
      <c r="D785" s="17">
        <v>8033121</v>
      </c>
      <c r="E785" s="17">
        <v>11101958</v>
      </c>
      <c r="F785" s="17">
        <v>3068837</v>
      </c>
      <c r="G785" s="18">
        <v>1.3820230020187672</v>
      </c>
      <c r="H785" s="10">
        <v>2025</v>
      </c>
    </row>
    <row r="786" spans="1:8" hidden="1" x14ac:dyDescent="0.3">
      <c r="A786" s="4" t="s">
        <v>43</v>
      </c>
      <c r="B786" s="16" t="s">
        <v>204</v>
      </c>
      <c r="C786" s="15">
        <v>7</v>
      </c>
      <c r="D786" s="17">
        <v>0</v>
      </c>
      <c r="E786" s="17">
        <v>8263533</v>
      </c>
      <c r="F786" s="17">
        <v>8263533</v>
      </c>
      <c r="G786" s="18">
        <v>0</v>
      </c>
      <c r="H786" s="10">
        <v>2025</v>
      </c>
    </row>
    <row r="787" spans="1:8" hidden="1" x14ac:dyDescent="0.3">
      <c r="A787" s="4" t="s">
        <v>43</v>
      </c>
      <c r="B787" s="16" t="s">
        <v>192</v>
      </c>
      <c r="C787" s="15">
        <v>11</v>
      </c>
      <c r="D787" s="17">
        <v>519194</v>
      </c>
      <c r="E787" s="17">
        <v>1116600</v>
      </c>
      <c r="F787" s="17">
        <v>597406</v>
      </c>
      <c r="G787" s="18">
        <v>2.1506411861462191</v>
      </c>
      <c r="H787" s="10">
        <v>2025</v>
      </c>
    </row>
    <row r="788" spans="1:8" hidden="1" x14ac:dyDescent="0.3">
      <c r="A788" s="4" t="s">
        <v>43</v>
      </c>
      <c r="B788" s="16" t="s">
        <v>195</v>
      </c>
      <c r="C788" s="15">
        <v>11</v>
      </c>
      <c r="D788" s="17">
        <v>2282172</v>
      </c>
      <c r="E788" s="17">
        <v>2372900</v>
      </c>
      <c r="F788" s="17">
        <v>90728</v>
      </c>
      <c r="G788" s="18">
        <v>1.0397551104824703</v>
      </c>
      <c r="H788" s="10">
        <v>2025</v>
      </c>
    </row>
    <row r="789" spans="1:8" hidden="1" x14ac:dyDescent="0.3">
      <c r="A789" s="4" t="s">
        <v>43</v>
      </c>
      <c r="B789" s="16" t="s">
        <v>193</v>
      </c>
      <c r="C789" s="15">
        <v>11</v>
      </c>
      <c r="D789" s="17">
        <v>2216504</v>
      </c>
      <c r="E789" s="17">
        <v>2019200</v>
      </c>
      <c r="F789" s="17">
        <v>-197304</v>
      </c>
      <c r="G789" s="18">
        <v>0.91098414440037112</v>
      </c>
      <c r="H789" s="10">
        <v>2025</v>
      </c>
    </row>
    <row r="790" spans="1:8" hidden="1" x14ac:dyDescent="0.3">
      <c r="A790" s="4" t="s">
        <v>43</v>
      </c>
      <c r="B790" s="16" t="s">
        <v>194</v>
      </c>
      <c r="C790" s="15">
        <v>11</v>
      </c>
      <c r="D790" s="17">
        <v>6846516</v>
      </c>
      <c r="E790" s="17">
        <v>7143700</v>
      </c>
      <c r="F790" s="17">
        <v>297184</v>
      </c>
      <c r="G790" s="18">
        <v>1.0434066027158924</v>
      </c>
      <c r="H790" s="10">
        <v>2025</v>
      </c>
    </row>
    <row r="791" spans="1:8" hidden="1" x14ac:dyDescent="0.3">
      <c r="A791" s="4" t="s">
        <v>43</v>
      </c>
      <c r="B791" s="16" t="s">
        <v>204</v>
      </c>
      <c r="C791" s="15">
        <v>11</v>
      </c>
      <c r="D791" s="17">
        <v>0</v>
      </c>
      <c r="E791" s="17">
        <v>4757500</v>
      </c>
      <c r="F791" s="17">
        <v>4757500</v>
      </c>
      <c r="G791" s="18">
        <v>0</v>
      </c>
      <c r="H791" s="10">
        <v>2025</v>
      </c>
    </row>
    <row r="792" spans="1:8" hidden="1" x14ac:dyDescent="0.3">
      <c r="A792" s="4" t="s">
        <v>43</v>
      </c>
      <c r="B792" s="16" t="s">
        <v>196</v>
      </c>
      <c r="C792" s="15">
        <v>11</v>
      </c>
      <c r="D792" s="17">
        <v>812314</v>
      </c>
      <c r="E792" s="17">
        <v>716200</v>
      </c>
      <c r="F792" s="17">
        <v>-96114</v>
      </c>
      <c r="G792" s="18">
        <v>0.88167875969144938</v>
      </c>
      <c r="H792" s="10">
        <v>2025</v>
      </c>
    </row>
    <row r="793" spans="1:8" hidden="1" x14ac:dyDescent="0.3">
      <c r="A793" s="4" t="s">
        <v>43</v>
      </c>
      <c r="B793" s="16" t="s">
        <v>197</v>
      </c>
      <c r="C793" s="15">
        <v>11</v>
      </c>
      <c r="D793" s="17">
        <v>541559</v>
      </c>
      <c r="E793" s="17">
        <v>487700</v>
      </c>
      <c r="F793" s="17">
        <v>-53859</v>
      </c>
      <c r="G793" s="18">
        <v>0.9005482320485857</v>
      </c>
      <c r="H793" s="10">
        <v>2025</v>
      </c>
    </row>
    <row r="794" spans="1:8" hidden="1" x14ac:dyDescent="0.3">
      <c r="A794" s="4" t="s">
        <v>43</v>
      </c>
      <c r="B794" s="16" t="s">
        <v>207</v>
      </c>
      <c r="C794" s="15">
        <v>11</v>
      </c>
      <c r="D794" s="17">
        <v>400000</v>
      </c>
      <c r="E794" s="17">
        <v>773333</v>
      </c>
      <c r="F794" s="17">
        <v>373333</v>
      </c>
      <c r="G794" s="18">
        <v>1.9333324999999999</v>
      </c>
      <c r="H794" s="10">
        <v>2025</v>
      </c>
    </row>
    <row r="795" spans="1:8" hidden="1" x14ac:dyDescent="0.3">
      <c r="A795" s="4" t="s">
        <v>43</v>
      </c>
      <c r="B795" s="16" t="s">
        <v>186</v>
      </c>
      <c r="C795" s="15">
        <v>11</v>
      </c>
      <c r="D795" s="17">
        <v>3652723</v>
      </c>
      <c r="E795" s="17">
        <v>2210930</v>
      </c>
      <c r="F795" s="17">
        <v>-1441793</v>
      </c>
      <c r="G795" s="18">
        <v>0.60528268910618188</v>
      </c>
      <c r="H795" s="10">
        <v>2025</v>
      </c>
    </row>
    <row r="796" spans="1:8" hidden="1" x14ac:dyDescent="0.3">
      <c r="A796" s="4" t="s">
        <v>43</v>
      </c>
      <c r="B796" s="16" t="s">
        <v>201</v>
      </c>
      <c r="C796" s="15">
        <v>11</v>
      </c>
      <c r="D796" s="17">
        <v>2923461</v>
      </c>
      <c r="E796" s="17">
        <v>2801792</v>
      </c>
      <c r="F796" s="17">
        <v>-121669</v>
      </c>
      <c r="G796" s="18">
        <v>0.95838186314098261</v>
      </c>
      <c r="H796" s="10">
        <v>2025</v>
      </c>
    </row>
    <row r="797" spans="1:8" hidden="1" x14ac:dyDescent="0.3">
      <c r="A797" s="4" t="s">
        <v>43</v>
      </c>
      <c r="B797" s="16" t="s">
        <v>189</v>
      </c>
      <c r="C797" s="15">
        <v>11</v>
      </c>
      <c r="D797" s="17">
        <v>100625</v>
      </c>
      <c r="E797" s="17">
        <v>0</v>
      </c>
      <c r="F797" s="17">
        <v>-100625</v>
      </c>
      <c r="G797" s="18">
        <v>0</v>
      </c>
      <c r="H797" s="10">
        <v>2025</v>
      </c>
    </row>
    <row r="798" spans="1:8" hidden="1" x14ac:dyDescent="0.3">
      <c r="A798" s="4" t="s">
        <v>43</v>
      </c>
      <c r="B798" s="16" t="s">
        <v>188</v>
      </c>
      <c r="C798" s="15">
        <v>11</v>
      </c>
      <c r="D798" s="17">
        <v>0</v>
      </c>
      <c r="E798" s="17">
        <v>204000</v>
      </c>
      <c r="F798" s="17">
        <v>204000</v>
      </c>
      <c r="G798" s="18">
        <v>0</v>
      </c>
      <c r="H798" s="10">
        <v>2025</v>
      </c>
    </row>
    <row r="799" spans="1:8" hidden="1" x14ac:dyDescent="0.3">
      <c r="A799" s="4" t="s">
        <v>43</v>
      </c>
      <c r="B799" s="16" t="s">
        <v>199</v>
      </c>
      <c r="C799" s="15">
        <v>11</v>
      </c>
      <c r="D799" s="17">
        <v>35141</v>
      </c>
      <c r="E799" s="17">
        <v>0</v>
      </c>
      <c r="F799" s="17">
        <v>-35141</v>
      </c>
      <c r="G799" s="18">
        <v>0</v>
      </c>
      <c r="H799" s="10">
        <v>2025</v>
      </c>
    </row>
    <row r="800" spans="1:8" hidden="1" x14ac:dyDescent="0.3">
      <c r="A800" s="4" t="s">
        <v>43</v>
      </c>
      <c r="B800" s="16" t="s">
        <v>182</v>
      </c>
      <c r="C800" s="15">
        <v>11</v>
      </c>
      <c r="D800" s="17">
        <v>572313</v>
      </c>
      <c r="E800" s="17">
        <v>593807</v>
      </c>
      <c r="F800" s="17">
        <v>21494</v>
      </c>
      <c r="G800" s="18">
        <v>1.0375563721250436</v>
      </c>
      <c r="H800" s="10">
        <v>2025</v>
      </c>
    </row>
    <row r="801" spans="1:8" hidden="1" x14ac:dyDescent="0.3">
      <c r="A801" s="4" t="s">
        <v>43</v>
      </c>
      <c r="B801" s="16" t="s">
        <v>200</v>
      </c>
      <c r="C801" s="15">
        <v>11</v>
      </c>
      <c r="D801" s="17">
        <v>56747620</v>
      </c>
      <c r="E801" s="17">
        <v>67602091</v>
      </c>
      <c r="F801" s="17">
        <v>10854471</v>
      </c>
      <c r="G801" s="18">
        <v>1.1912762332587694</v>
      </c>
      <c r="H801" s="10">
        <v>2025</v>
      </c>
    </row>
    <row r="802" spans="1:8" hidden="1" x14ac:dyDescent="0.3">
      <c r="A802" s="4" t="s">
        <v>43</v>
      </c>
      <c r="B802" s="16" t="s">
        <v>183</v>
      </c>
      <c r="C802" s="15">
        <v>11</v>
      </c>
      <c r="D802" s="17">
        <v>4769283</v>
      </c>
      <c r="E802" s="17">
        <v>4946398</v>
      </c>
      <c r="F802" s="17">
        <v>177115</v>
      </c>
      <c r="G802" s="18">
        <v>1.0371366094232615</v>
      </c>
      <c r="H802" s="10">
        <v>2025</v>
      </c>
    </row>
    <row r="803" spans="1:8" hidden="1" x14ac:dyDescent="0.3">
      <c r="A803" s="4" t="s">
        <v>43</v>
      </c>
      <c r="B803" s="16" t="s">
        <v>206</v>
      </c>
      <c r="C803" s="15">
        <v>11</v>
      </c>
      <c r="D803" s="17">
        <v>200000</v>
      </c>
      <c r="E803" s="17">
        <v>66667</v>
      </c>
      <c r="F803" s="17">
        <v>-133333</v>
      </c>
      <c r="G803" s="18">
        <v>0.33333499999999999</v>
      </c>
      <c r="H803" s="10">
        <v>2025</v>
      </c>
    </row>
    <row r="804" spans="1:8" hidden="1" x14ac:dyDescent="0.3">
      <c r="A804" s="4" t="s">
        <v>43</v>
      </c>
      <c r="B804" s="16" t="s">
        <v>177</v>
      </c>
      <c r="C804" s="15">
        <v>11</v>
      </c>
      <c r="D804" s="17">
        <v>15279500</v>
      </c>
      <c r="E804" s="17">
        <v>13898767</v>
      </c>
      <c r="F804" s="17">
        <v>-1380733</v>
      </c>
      <c r="G804" s="18">
        <v>0.90963493569815768</v>
      </c>
      <c r="H804" s="10">
        <v>2025</v>
      </c>
    </row>
    <row r="805" spans="1:8" hidden="1" x14ac:dyDescent="0.3">
      <c r="A805" s="4" t="s">
        <v>43</v>
      </c>
      <c r="B805" s="16" t="s">
        <v>184</v>
      </c>
      <c r="C805" s="15">
        <v>11</v>
      </c>
      <c r="D805" s="17">
        <v>2379164</v>
      </c>
      <c r="E805" s="17">
        <v>2473389</v>
      </c>
      <c r="F805" s="17">
        <v>94225</v>
      </c>
      <c r="G805" s="18">
        <v>1.0396042475424141</v>
      </c>
      <c r="H805" s="10">
        <v>2025</v>
      </c>
    </row>
    <row r="806" spans="1:8" hidden="1" x14ac:dyDescent="0.3">
      <c r="A806" s="4" t="s">
        <v>43</v>
      </c>
      <c r="B806" s="16" t="s">
        <v>209</v>
      </c>
      <c r="C806" s="15">
        <v>11</v>
      </c>
      <c r="D806" s="17">
        <v>41774806</v>
      </c>
      <c r="E806" s="17">
        <v>43104697</v>
      </c>
      <c r="F806" s="17">
        <v>1329891</v>
      </c>
      <c r="G806" s="18">
        <v>1.0318347618418624</v>
      </c>
      <c r="H806" s="10">
        <v>2025</v>
      </c>
    </row>
    <row r="807" spans="1:8" hidden="1" x14ac:dyDescent="0.3">
      <c r="A807" s="4" t="s">
        <v>43</v>
      </c>
      <c r="B807" s="16" t="s">
        <v>177</v>
      </c>
      <c r="C807" s="15">
        <v>12</v>
      </c>
      <c r="D807" s="17">
        <v>15279500</v>
      </c>
      <c r="E807" s="17">
        <v>14810485</v>
      </c>
      <c r="F807" s="17">
        <v>-469015</v>
      </c>
      <c r="G807" s="18">
        <v>0.96930429660656436</v>
      </c>
      <c r="H807" s="10">
        <v>2025</v>
      </c>
    </row>
    <row r="808" spans="1:8" hidden="1" x14ac:dyDescent="0.3">
      <c r="A808" s="4" t="s">
        <v>43</v>
      </c>
      <c r="B808" s="16" t="s">
        <v>209</v>
      </c>
      <c r="C808" s="15">
        <v>12</v>
      </c>
      <c r="D808" s="17">
        <v>41774806</v>
      </c>
      <c r="E808" s="17">
        <v>41839901</v>
      </c>
      <c r="F808" s="17">
        <v>65095</v>
      </c>
      <c r="G808" s="18">
        <v>1.001558235841957</v>
      </c>
      <c r="H808" s="10">
        <v>2025</v>
      </c>
    </row>
    <row r="809" spans="1:8" hidden="1" x14ac:dyDescent="0.3">
      <c r="A809" s="4" t="s">
        <v>43</v>
      </c>
      <c r="B809" s="16" t="s">
        <v>206</v>
      </c>
      <c r="C809" s="15">
        <v>12</v>
      </c>
      <c r="D809" s="17">
        <v>200000</v>
      </c>
      <c r="E809" s="17">
        <v>186667</v>
      </c>
      <c r="F809" s="17">
        <v>-13333</v>
      </c>
      <c r="G809" s="18">
        <v>0.93333500000000003</v>
      </c>
      <c r="H809" s="10">
        <v>2025</v>
      </c>
    </row>
    <row r="810" spans="1:8" hidden="1" x14ac:dyDescent="0.3">
      <c r="A810" s="4" t="s">
        <v>43</v>
      </c>
      <c r="B810" s="16" t="s">
        <v>181</v>
      </c>
      <c r="C810" s="15">
        <v>12</v>
      </c>
      <c r="D810" s="17">
        <v>4769283</v>
      </c>
      <c r="E810" s="17">
        <v>3401600</v>
      </c>
      <c r="F810" s="17">
        <v>-1367683</v>
      </c>
      <c r="G810" s="18">
        <v>0.71323089864870681</v>
      </c>
      <c r="H810" s="10">
        <v>2025</v>
      </c>
    </row>
    <row r="811" spans="1:8" hidden="1" x14ac:dyDescent="0.3">
      <c r="A811" s="4" t="s">
        <v>43</v>
      </c>
      <c r="B811" s="16" t="s">
        <v>182</v>
      </c>
      <c r="C811" s="15">
        <v>12</v>
      </c>
      <c r="D811" s="17">
        <v>572313</v>
      </c>
      <c r="E811" s="17">
        <v>194355</v>
      </c>
      <c r="F811" s="17">
        <v>-377958</v>
      </c>
      <c r="G811" s="18">
        <v>0.33959564084687927</v>
      </c>
      <c r="H811" s="10">
        <v>2025</v>
      </c>
    </row>
    <row r="812" spans="1:8" hidden="1" x14ac:dyDescent="0.3">
      <c r="A812" s="4" t="s">
        <v>43</v>
      </c>
      <c r="B812" s="16" t="s">
        <v>183</v>
      </c>
      <c r="C812" s="15">
        <v>12</v>
      </c>
      <c r="D812" s="17">
        <v>4769283</v>
      </c>
      <c r="E812" s="17">
        <v>3414176</v>
      </c>
      <c r="F812" s="17">
        <v>-1355107</v>
      </c>
      <c r="G812" s="18">
        <v>0.71586777299648607</v>
      </c>
      <c r="H812" s="10">
        <v>2025</v>
      </c>
    </row>
    <row r="813" spans="1:8" hidden="1" x14ac:dyDescent="0.3">
      <c r="A813" s="4" t="s">
        <v>43</v>
      </c>
      <c r="B813" s="16" t="s">
        <v>184</v>
      </c>
      <c r="C813" s="15">
        <v>12</v>
      </c>
      <c r="D813" s="17">
        <v>2379164</v>
      </c>
      <c r="E813" s="17">
        <v>8698430</v>
      </c>
      <c r="F813" s="17">
        <v>6319266</v>
      </c>
      <c r="G813" s="18">
        <v>3.6560867598870868</v>
      </c>
      <c r="H813" s="10">
        <v>2025</v>
      </c>
    </row>
    <row r="814" spans="1:8" hidden="1" x14ac:dyDescent="0.3">
      <c r="A814" s="4" t="s">
        <v>43</v>
      </c>
      <c r="B814" s="16" t="s">
        <v>185</v>
      </c>
      <c r="C814" s="15">
        <v>12</v>
      </c>
      <c r="D814" s="17">
        <v>787349</v>
      </c>
      <c r="E814" s="17">
        <v>1032979</v>
      </c>
      <c r="F814" s="17">
        <v>245630</v>
      </c>
      <c r="G814" s="18">
        <v>1.3119709302990159</v>
      </c>
      <c r="H814" s="10">
        <v>2025</v>
      </c>
    </row>
    <row r="815" spans="1:8" hidden="1" x14ac:dyDescent="0.3">
      <c r="A815" s="4" t="s">
        <v>43</v>
      </c>
      <c r="B815" s="16" t="s">
        <v>207</v>
      </c>
      <c r="C815" s="15">
        <v>12</v>
      </c>
      <c r="D815" s="17">
        <v>400000</v>
      </c>
      <c r="E815" s="17">
        <v>746666</v>
      </c>
      <c r="F815" s="17">
        <v>346666</v>
      </c>
      <c r="G815" s="18">
        <v>1.866665</v>
      </c>
      <c r="H815" s="10">
        <v>2025</v>
      </c>
    </row>
    <row r="816" spans="1:8" hidden="1" x14ac:dyDescent="0.3">
      <c r="A816" s="4" t="s">
        <v>43</v>
      </c>
      <c r="B816" s="16" t="s">
        <v>186</v>
      </c>
      <c r="C816" s="15">
        <v>12</v>
      </c>
      <c r="D816" s="17">
        <v>3652723</v>
      </c>
      <c r="E816" s="17">
        <v>-9027262</v>
      </c>
      <c r="F816" s="17">
        <v>-12679985</v>
      </c>
      <c r="G816" s="18">
        <v>-2.4713787494972927</v>
      </c>
      <c r="H816" s="10">
        <v>2025</v>
      </c>
    </row>
    <row r="817" spans="1:8" hidden="1" x14ac:dyDescent="0.3">
      <c r="A817" s="4" t="s">
        <v>43</v>
      </c>
      <c r="B817" s="16" t="s">
        <v>187</v>
      </c>
      <c r="C817" s="15">
        <v>12</v>
      </c>
      <c r="D817" s="17">
        <v>637155</v>
      </c>
      <c r="E817" s="17">
        <v>-2338177</v>
      </c>
      <c r="F817" s="17">
        <v>-2975332</v>
      </c>
      <c r="G817" s="18">
        <v>-3.6697145906412101</v>
      </c>
      <c r="H817" s="10">
        <v>2025</v>
      </c>
    </row>
    <row r="818" spans="1:8" hidden="1" x14ac:dyDescent="0.3">
      <c r="A818" s="4" t="s">
        <v>43</v>
      </c>
      <c r="B818" s="16" t="s">
        <v>189</v>
      </c>
      <c r="C818" s="15">
        <v>12</v>
      </c>
      <c r="D818" s="17">
        <v>100625</v>
      </c>
      <c r="E818" s="17">
        <v>0</v>
      </c>
      <c r="F818" s="17">
        <v>-100625</v>
      </c>
      <c r="G818" s="18">
        <v>0</v>
      </c>
      <c r="H818" s="10">
        <v>2025</v>
      </c>
    </row>
    <row r="819" spans="1:8" hidden="1" x14ac:dyDescent="0.3">
      <c r="A819" s="4" t="s">
        <v>43</v>
      </c>
      <c r="B819" s="16" t="s">
        <v>191</v>
      </c>
      <c r="C819" s="15">
        <v>12</v>
      </c>
      <c r="D819" s="17">
        <v>0</v>
      </c>
      <c r="E819" s="17">
        <v>2300000</v>
      </c>
      <c r="F819" s="17">
        <v>2300000</v>
      </c>
      <c r="G819" s="18">
        <v>0</v>
      </c>
      <c r="H819" s="10">
        <v>2025</v>
      </c>
    </row>
    <row r="820" spans="1:8" hidden="1" x14ac:dyDescent="0.3">
      <c r="A820" s="4" t="s">
        <v>43</v>
      </c>
      <c r="B820" s="16" t="s">
        <v>192</v>
      </c>
      <c r="C820" s="15">
        <v>12</v>
      </c>
      <c r="D820" s="17">
        <v>519194</v>
      </c>
      <c r="E820" s="17">
        <v>1094347</v>
      </c>
      <c r="F820" s="17">
        <v>575153</v>
      </c>
      <c r="G820" s="18">
        <v>2.1077805213465486</v>
      </c>
      <c r="H820" s="10">
        <v>2025</v>
      </c>
    </row>
    <row r="821" spans="1:8" hidden="1" x14ac:dyDescent="0.3">
      <c r="A821" s="4" t="s">
        <v>43</v>
      </c>
      <c r="B821" s="16" t="s">
        <v>193</v>
      </c>
      <c r="C821" s="15">
        <v>12</v>
      </c>
      <c r="D821" s="17">
        <v>2216504</v>
      </c>
      <c r="E821" s="17">
        <v>5692589</v>
      </c>
      <c r="F821" s="17">
        <v>3476085</v>
      </c>
      <c r="G821" s="18">
        <v>2.5682737319670976</v>
      </c>
      <c r="H821" s="10">
        <v>2025</v>
      </c>
    </row>
    <row r="822" spans="1:8" hidden="1" x14ac:dyDescent="0.3">
      <c r="A822" s="4" t="s">
        <v>43</v>
      </c>
      <c r="B822" s="16" t="s">
        <v>194</v>
      </c>
      <c r="C822" s="15">
        <v>12</v>
      </c>
      <c r="D822" s="17">
        <v>6846516</v>
      </c>
      <c r="E822" s="17">
        <v>9487675</v>
      </c>
      <c r="F822" s="17">
        <v>2641159</v>
      </c>
      <c r="G822" s="18">
        <v>1.3857668630293132</v>
      </c>
      <c r="H822" s="10">
        <v>2025</v>
      </c>
    </row>
    <row r="823" spans="1:8" hidden="1" x14ac:dyDescent="0.3">
      <c r="A823" s="4" t="s">
        <v>43</v>
      </c>
      <c r="B823" s="16" t="s">
        <v>195</v>
      </c>
      <c r="C823" s="15">
        <v>12</v>
      </c>
      <c r="D823" s="17">
        <v>2282172</v>
      </c>
      <c r="E823" s="17">
        <v>3067952</v>
      </c>
      <c r="F823" s="17">
        <v>785780</v>
      </c>
      <c r="G823" s="18">
        <v>1.3443123480614083</v>
      </c>
      <c r="H823" s="10">
        <v>2025</v>
      </c>
    </row>
    <row r="824" spans="1:8" hidden="1" x14ac:dyDescent="0.3">
      <c r="A824" s="4" t="s">
        <v>43</v>
      </c>
      <c r="B824" s="16" t="s">
        <v>196</v>
      </c>
      <c r="C824" s="15">
        <v>12</v>
      </c>
      <c r="D824" s="17">
        <v>812314</v>
      </c>
      <c r="E824" s="17">
        <v>1933300</v>
      </c>
      <c r="F824" s="17">
        <v>1120986</v>
      </c>
      <c r="G824" s="18">
        <v>2.379990988706338</v>
      </c>
      <c r="H824" s="10">
        <v>2025</v>
      </c>
    </row>
    <row r="825" spans="1:8" hidden="1" x14ac:dyDescent="0.3">
      <c r="A825" s="4" t="s">
        <v>43</v>
      </c>
      <c r="B825" s="16" t="s">
        <v>197</v>
      </c>
      <c r="C825" s="15">
        <v>12</v>
      </c>
      <c r="D825" s="17">
        <v>541559</v>
      </c>
      <c r="E825" s="17">
        <v>1190586</v>
      </c>
      <c r="F825" s="17">
        <v>649027</v>
      </c>
      <c r="G825" s="18">
        <v>2.1984419056834068</v>
      </c>
      <c r="H825" s="10">
        <v>2025</v>
      </c>
    </row>
    <row r="826" spans="1:8" hidden="1" x14ac:dyDescent="0.3">
      <c r="A826" s="4" t="s">
        <v>43</v>
      </c>
      <c r="B826" s="16" t="s">
        <v>199</v>
      </c>
      <c r="C826" s="15">
        <v>12</v>
      </c>
      <c r="D826" s="17">
        <v>35141</v>
      </c>
      <c r="E826" s="17">
        <v>0</v>
      </c>
      <c r="F826" s="17">
        <v>-35141</v>
      </c>
      <c r="G826" s="18">
        <v>0</v>
      </c>
      <c r="H826" s="10">
        <v>2025</v>
      </c>
    </row>
    <row r="827" spans="1:8" hidden="1" x14ac:dyDescent="0.3">
      <c r="A827" s="4" t="s">
        <v>43</v>
      </c>
      <c r="B827" s="16" t="s">
        <v>200</v>
      </c>
      <c r="C827" s="15">
        <v>12</v>
      </c>
      <c r="D827" s="17">
        <v>56747620</v>
      </c>
      <c r="E827" s="17">
        <v>64271258</v>
      </c>
      <c r="F827" s="17">
        <v>7523638</v>
      </c>
      <c r="G827" s="18">
        <v>1.1325806791544739</v>
      </c>
      <c r="H827" s="10">
        <v>2025</v>
      </c>
    </row>
    <row r="828" spans="1:8" hidden="1" x14ac:dyDescent="0.3">
      <c r="A828" s="4" t="s">
        <v>43</v>
      </c>
      <c r="B828" s="16" t="s">
        <v>201</v>
      </c>
      <c r="C828" s="15">
        <v>12</v>
      </c>
      <c r="D828" s="17">
        <v>2923461</v>
      </c>
      <c r="E828" s="17">
        <v>-4238219</v>
      </c>
      <c r="F828" s="17">
        <v>-7161680</v>
      </c>
      <c r="G828" s="18">
        <v>-1.449726539878589</v>
      </c>
      <c r="H828" s="10">
        <v>2025</v>
      </c>
    </row>
    <row r="829" spans="1:8" hidden="1" x14ac:dyDescent="0.3">
      <c r="A829" s="4" t="s">
        <v>43</v>
      </c>
      <c r="B829" s="16" t="s">
        <v>202</v>
      </c>
      <c r="C829" s="15">
        <v>12</v>
      </c>
      <c r="D829" s="17">
        <v>893756</v>
      </c>
      <c r="E829" s="17">
        <v>-63605</v>
      </c>
      <c r="F829" s="17">
        <v>-957361</v>
      </c>
      <c r="G829" s="18">
        <v>-7.1165955808967993E-2</v>
      </c>
      <c r="H829" s="10">
        <v>2025</v>
      </c>
    </row>
    <row r="830" spans="1:8" hidden="1" x14ac:dyDescent="0.3">
      <c r="A830" s="4" t="s">
        <v>43</v>
      </c>
      <c r="B830" s="16" t="s">
        <v>203</v>
      </c>
      <c r="C830" s="15">
        <v>12</v>
      </c>
      <c r="D830" s="17">
        <v>250816</v>
      </c>
      <c r="E830" s="17">
        <v>0</v>
      </c>
      <c r="F830" s="17">
        <v>-250816</v>
      </c>
      <c r="G830" s="18">
        <v>0</v>
      </c>
      <c r="H830" s="10">
        <v>2025</v>
      </c>
    </row>
    <row r="831" spans="1:8" hidden="1" x14ac:dyDescent="0.3">
      <c r="A831" s="4" t="s">
        <v>43</v>
      </c>
      <c r="B831" s="16" t="s">
        <v>204</v>
      </c>
      <c r="C831" s="15">
        <v>12</v>
      </c>
      <c r="D831" s="17">
        <v>0</v>
      </c>
      <c r="E831" s="17">
        <v>11086211</v>
      </c>
      <c r="F831" s="17">
        <v>11086211</v>
      </c>
      <c r="G831" s="18">
        <v>0</v>
      </c>
      <c r="H831" s="10">
        <v>2025</v>
      </c>
    </row>
    <row r="832" spans="1:8" hidden="1" x14ac:dyDescent="0.3">
      <c r="A832" s="4" t="s">
        <v>253</v>
      </c>
      <c r="B832" s="16" t="s">
        <v>177</v>
      </c>
      <c r="C832" s="15">
        <v>12</v>
      </c>
      <c r="D832" s="17">
        <v>22477000</v>
      </c>
      <c r="E832" s="17">
        <v>20740333</v>
      </c>
      <c r="F832" s="17">
        <v>-1736667</v>
      </c>
      <c r="G832" s="18">
        <v>0.92273581883703348</v>
      </c>
      <c r="H832" s="10">
        <v>2025</v>
      </c>
    </row>
    <row r="833" spans="1:8" hidden="1" x14ac:dyDescent="0.3">
      <c r="A833" s="4" t="s">
        <v>253</v>
      </c>
      <c r="B833" s="16" t="s">
        <v>205</v>
      </c>
      <c r="C833" s="15">
        <v>12</v>
      </c>
      <c r="D833" s="17">
        <v>2937456</v>
      </c>
      <c r="E833" s="17">
        <v>3041146</v>
      </c>
      <c r="F833" s="17">
        <v>103690</v>
      </c>
      <c r="G833" s="18">
        <v>1.0352992521419895</v>
      </c>
      <c r="H833" s="10">
        <v>2025</v>
      </c>
    </row>
    <row r="834" spans="1:8" hidden="1" x14ac:dyDescent="0.3">
      <c r="A834" s="4" t="s">
        <v>253</v>
      </c>
      <c r="B834" s="16" t="s">
        <v>179</v>
      </c>
      <c r="C834" s="15">
        <v>12</v>
      </c>
      <c r="D834" s="17">
        <v>0</v>
      </c>
      <c r="E834" s="17">
        <v>68448</v>
      </c>
      <c r="F834" s="17">
        <v>68448</v>
      </c>
      <c r="G834" s="18">
        <v>0</v>
      </c>
      <c r="H834" s="10">
        <v>2025</v>
      </c>
    </row>
    <row r="835" spans="1:8" hidden="1" x14ac:dyDescent="0.3">
      <c r="A835" s="4" t="s">
        <v>253</v>
      </c>
      <c r="B835" s="16" t="s">
        <v>206</v>
      </c>
      <c r="C835" s="15">
        <v>12</v>
      </c>
      <c r="D835" s="17">
        <v>600000</v>
      </c>
      <c r="E835" s="17">
        <v>186667</v>
      </c>
      <c r="F835" s="17">
        <v>-413333</v>
      </c>
      <c r="G835" s="18">
        <v>0.31111166666666668</v>
      </c>
      <c r="H835" s="10">
        <v>2025</v>
      </c>
    </row>
    <row r="836" spans="1:8" hidden="1" x14ac:dyDescent="0.3">
      <c r="A836" s="4" t="s">
        <v>253</v>
      </c>
      <c r="B836" s="16" t="s">
        <v>181</v>
      </c>
      <c r="C836" s="15">
        <v>12</v>
      </c>
      <c r="D836" s="17">
        <v>2167004</v>
      </c>
      <c r="E836" s="17">
        <v>1824316</v>
      </c>
      <c r="F836" s="17">
        <v>-342688</v>
      </c>
      <c r="G836" s="18">
        <v>0.84186092872925022</v>
      </c>
      <c r="H836" s="10">
        <v>2025</v>
      </c>
    </row>
    <row r="837" spans="1:8" hidden="1" x14ac:dyDescent="0.3">
      <c r="A837" s="4" t="s">
        <v>253</v>
      </c>
      <c r="B837" s="16" t="s">
        <v>182</v>
      </c>
      <c r="C837" s="15">
        <v>12</v>
      </c>
      <c r="D837" s="17">
        <v>260040</v>
      </c>
      <c r="E837" s="17">
        <v>55098</v>
      </c>
      <c r="F837" s="17">
        <v>-204942</v>
      </c>
      <c r="G837" s="18">
        <v>0.21188278726349793</v>
      </c>
      <c r="H837" s="10">
        <v>2025</v>
      </c>
    </row>
    <row r="838" spans="1:8" hidden="1" x14ac:dyDescent="0.3">
      <c r="A838" s="4" t="s">
        <v>253</v>
      </c>
      <c r="B838" s="16" t="s">
        <v>183</v>
      </c>
      <c r="C838" s="15">
        <v>12</v>
      </c>
      <c r="D838" s="17">
        <v>2167004</v>
      </c>
      <c r="E838" s="17">
        <v>1559056</v>
      </c>
      <c r="F838" s="17">
        <v>-607948</v>
      </c>
      <c r="G838" s="18">
        <v>0.71945229450430181</v>
      </c>
      <c r="H838" s="10">
        <v>2025</v>
      </c>
    </row>
    <row r="839" spans="1:8" hidden="1" x14ac:dyDescent="0.3">
      <c r="A839" s="4" t="s">
        <v>253</v>
      </c>
      <c r="B839" s="16" t="s">
        <v>184</v>
      </c>
      <c r="C839" s="15">
        <v>12</v>
      </c>
      <c r="D839" s="17">
        <v>1059782</v>
      </c>
      <c r="E839" s="17">
        <v>-471566</v>
      </c>
      <c r="F839" s="17">
        <v>-1531348</v>
      </c>
      <c r="G839" s="18">
        <v>-0.44496509659533756</v>
      </c>
      <c r="H839" s="10">
        <v>2025</v>
      </c>
    </row>
    <row r="840" spans="1:8" hidden="1" x14ac:dyDescent="0.3">
      <c r="A840" s="4" t="s">
        <v>253</v>
      </c>
      <c r="B840" s="16" t="s">
        <v>185</v>
      </c>
      <c r="C840" s="15">
        <v>12</v>
      </c>
      <c r="D840" s="17">
        <v>350719</v>
      </c>
      <c r="E840" s="17">
        <v>329130</v>
      </c>
      <c r="F840" s="17">
        <v>-21589</v>
      </c>
      <c r="G840" s="18">
        <v>0.93844359729584081</v>
      </c>
      <c r="H840" s="10">
        <v>2025</v>
      </c>
    </row>
    <row r="841" spans="1:8" hidden="1" x14ac:dyDescent="0.3">
      <c r="A841" s="4" t="s">
        <v>253</v>
      </c>
      <c r="B841" s="16" t="s">
        <v>186</v>
      </c>
      <c r="C841" s="15">
        <v>12</v>
      </c>
      <c r="D841" s="17">
        <v>3065862</v>
      </c>
      <c r="E841" s="17">
        <v>-8238850</v>
      </c>
      <c r="F841" s="17">
        <v>-11304712</v>
      </c>
      <c r="G841" s="18">
        <v>-2.6872866423863826</v>
      </c>
      <c r="H841" s="10">
        <v>2025</v>
      </c>
    </row>
    <row r="842" spans="1:8" hidden="1" x14ac:dyDescent="0.3">
      <c r="A842" s="4" t="s">
        <v>253</v>
      </c>
      <c r="B842" s="16" t="s">
        <v>187</v>
      </c>
      <c r="C842" s="15">
        <v>12</v>
      </c>
      <c r="D842" s="17">
        <v>937290</v>
      </c>
      <c r="E842" s="17">
        <v>680776</v>
      </c>
      <c r="F842" s="17">
        <v>-256514</v>
      </c>
      <c r="G842" s="18">
        <v>0.72632376318962122</v>
      </c>
      <c r="H842" s="10">
        <v>2025</v>
      </c>
    </row>
    <row r="843" spans="1:8" hidden="1" x14ac:dyDescent="0.3">
      <c r="A843" s="4" t="s">
        <v>253</v>
      </c>
      <c r="B843" s="16" t="s">
        <v>188</v>
      </c>
      <c r="C843" s="15">
        <v>12</v>
      </c>
      <c r="D843" s="17">
        <v>249116</v>
      </c>
      <c r="E843" s="17">
        <v>147144</v>
      </c>
      <c r="F843" s="17">
        <v>-101972</v>
      </c>
      <c r="G843" s="18">
        <v>0.59066458999020544</v>
      </c>
      <c r="H843" s="10">
        <v>2025</v>
      </c>
    </row>
    <row r="844" spans="1:8" hidden="1" x14ac:dyDescent="0.3">
      <c r="A844" s="4" t="s">
        <v>253</v>
      </c>
      <c r="B844" s="16" t="s">
        <v>189</v>
      </c>
      <c r="C844" s="15">
        <v>12</v>
      </c>
      <c r="D844" s="17">
        <v>79601</v>
      </c>
      <c r="E844" s="17">
        <v>0</v>
      </c>
      <c r="F844" s="17">
        <v>-79601</v>
      </c>
      <c r="G844" s="18">
        <v>0</v>
      </c>
      <c r="H844" s="10">
        <v>2025</v>
      </c>
    </row>
    <row r="845" spans="1:8" hidden="1" x14ac:dyDescent="0.3">
      <c r="A845" s="4" t="s">
        <v>253</v>
      </c>
      <c r="B845" s="16" t="s">
        <v>191</v>
      </c>
      <c r="C845" s="15">
        <v>12</v>
      </c>
      <c r="D845" s="17">
        <v>0</v>
      </c>
      <c r="E845" s="17">
        <v>2398693</v>
      </c>
      <c r="F845" s="17">
        <v>2398693</v>
      </c>
      <c r="G845" s="18">
        <v>0</v>
      </c>
      <c r="H845" s="10">
        <v>2025</v>
      </c>
    </row>
    <row r="846" spans="1:8" hidden="1" x14ac:dyDescent="0.3">
      <c r="A846" s="4" t="s">
        <v>253</v>
      </c>
      <c r="B846" s="16" t="s">
        <v>192</v>
      </c>
      <c r="C846" s="15">
        <v>12</v>
      </c>
      <c r="D846" s="17">
        <v>620112</v>
      </c>
      <c r="E846" s="17">
        <v>546100</v>
      </c>
      <c r="F846" s="17">
        <v>-74012</v>
      </c>
      <c r="G846" s="18">
        <v>0.88064736692726475</v>
      </c>
      <c r="H846" s="10">
        <v>2025</v>
      </c>
    </row>
    <row r="847" spans="1:8" hidden="1" x14ac:dyDescent="0.3">
      <c r="A847" s="4" t="s">
        <v>253</v>
      </c>
      <c r="B847" s="16" t="s">
        <v>194</v>
      </c>
      <c r="C847" s="15">
        <v>12</v>
      </c>
      <c r="D847" s="17">
        <v>3049734</v>
      </c>
      <c r="E847" s="17">
        <v>2895600</v>
      </c>
      <c r="F847" s="17">
        <v>-154134</v>
      </c>
      <c r="G847" s="18">
        <v>0.94945985453157555</v>
      </c>
      <c r="H847" s="10">
        <v>2025</v>
      </c>
    </row>
    <row r="848" spans="1:8" hidden="1" x14ac:dyDescent="0.3">
      <c r="A848" s="4" t="s">
        <v>253</v>
      </c>
      <c r="B848" s="16" t="s">
        <v>195</v>
      </c>
      <c r="C848" s="15">
        <v>12</v>
      </c>
      <c r="D848" s="17">
        <v>1016578</v>
      </c>
      <c r="E848" s="17">
        <v>951800</v>
      </c>
      <c r="F848" s="17">
        <v>-64778</v>
      </c>
      <c r="G848" s="18">
        <v>0.93627837706501615</v>
      </c>
      <c r="H848" s="10">
        <v>2025</v>
      </c>
    </row>
    <row r="849" spans="1:8" hidden="1" x14ac:dyDescent="0.3">
      <c r="A849" s="4" t="s">
        <v>253</v>
      </c>
      <c r="B849" s="16" t="s">
        <v>198</v>
      </c>
      <c r="C849" s="15">
        <v>12</v>
      </c>
      <c r="D849" s="17">
        <v>0</v>
      </c>
      <c r="E849" s="17">
        <v>390013</v>
      </c>
      <c r="F849" s="17">
        <v>390013</v>
      </c>
      <c r="G849" s="18">
        <v>0</v>
      </c>
      <c r="H849" s="10">
        <v>2025</v>
      </c>
    </row>
    <row r="850" spans="1:8" hidden="1" x14ac:dyDescent="0.3">
      <c r="A850" s="4" t="s">
        <v>253</v>
      </c>
      <c r="B850" s="16" t="s">
        <v>199</v>
      </c>
      <c r="C850" s="15">
        <v>12</v>
      </c>
      <c r="D850" s="17">
        <v>42168</v>
      </c>
      <c r="E850" s="17">
        <v>0</v>
      </c>
      <c r="F850" s="17">
        <v>-42168</v>
      </c>
      <c r="G850" s="18">
        <v>0</v>
      </c>
      <c r="H850" s="10">
        <v>2025</v>
      </c>
    </row>
    <row r="851" spans="1:8" hidden="1" x14ac:dyDescent="0.3">
      <c r="A851" s="4" t="s">
        <v>253</v>
      </c>
      <c r="B851" s="16" t="s">
        <v>200</v>
      </c>
      <c r="C851" s="15">
        <v>12</v>
      </c>
      <c r="D851" s="17">
        <v>0</v>
      </c>
      <c r="E851" s="17">
        <v>3863189</v>
      </c>
      <c r="F851" s="17">
        <v>3863189</v>
      </c>
      <c r="G851" s="18">
        <v>0</v>
      </c>
      <c r="H851" s="10">
        <v>2025</v>
      </c>
    </row>
    <row r="852" spans="1:8" hidden="1" x14ac:dyDescent="0.3">
      <c r="A852" s="4" t="s">
        <v>253</v>
      </c>
      <c r="B852" s="16" t="s">
        <v>201</v>
      </c>
      <c r="C852" s="15">
        <v>12</v>
      </c>
      <c r="D852" s="17">
        <v>0</v>
      </c>
      <c r="E852" s="17">
        <v>-186670</v>
      </c>
      <c r="F852" s="17">
        <v>-186670</v>
      </c>
      <c r="G852" s="18">
        <v>0</v>
      </c>
      <c r="H852" s="10">
        <v>2025</v>
      </c>
    </row>
    <row r="853" spans="1:8" hidden="1" x14ac:dyDescent="0.3">
      <c r="A853" s="4" t="s">
        <v>253</v>
      </c>
      <c r="B853" s="16" t="s">
        <v>202</v>
      </c>
      <c r="C853" s="15">
        <v>12</v>
      </c>
      <c r="D853" s="17">
        <v>0</v>
      </c>
      <c r="E853" s="17">
        <v>340128</v>
      </c>
      <c r="F853" s="17">
        <v>340128</v>
      </c>
      <c r="G853" s="18">
        <v>0</v>
      </c>
      <c r="H853" s="10">
        <v>2025</v>
      </c>
    </row>
    <row r="854" spans="1:8" hidden="1" x14ac:dyDescent="0.3">
      <c r="A854" s="4" t="s">
        <v>253</v>
      </c>
      <c r="B854" s="16" t="s">
        <v>177</v>
      </c>
      <c r="C854" s="15">
        <v>1</v>
      </c>
      <c r="D854" s="17">
        <v>12265000</v>
      </c>
      <c r="E854" s="17">
        <v>11918333</v>
      </c>
      <c r="F854" s="17">
        <v>-346667</v>
      </c>
      <c r="G854" s="18">
        <v>0.97173526294333479</v>
      </c>
      <c r="H854" s="10">
        <v>2025</v>
      </c>
    </row>
    <row r="855" spans="1:8" hidden="1" x14ac:dyDescent="0.3">
      <c r="A855" s="4" t="s">
        <v>253</v>
      </c>
      <c r="B855" s="16" t="s">
        <v>177</v>
      </c>
      <c r="C855" s="15">
        <v>2</v>
      </c>
      <c r="D855" s="17">
        <v>13477000</v>
      </c>
      <c r="E855" s="17">
        <v>13374333</v>
      </c>
      <c r="F855" s="17">
        <v>-102667</v>
      </c>
      <c r="G855" s="18">
        <v>0.99238205832158499</v>
      </c>
      <c r="H855" s="10">
        <v>2025</v>
      </c>
    </row>
    <row r="856" spans="1:8" hidden="1" x14ac:dyDescent="0.3">
      <c r="A856" s="4" t="s">
        <v>253</v>
      </c>
      <c r="B856" s="16" t="s">
        <v>177</v>
      </c>
      <c r="C856" s="15">
        <v>3</v>
      </c>
      <c r="D856" s="17">
        <v>19977000</v>
      </c>
      <c r="E856" s="17">
        <v>19977000</v>
      </c>
      <c r="F856" s="17">
        <v>0</v>
      </c>
      <c r="G856" s="18">
        <v>1</v>
      </c>
      <c r="H856" s="10">
        <v>2025</v>
      </c>
    </row>
    <row r="857" spans="1:8" hidden="1" x14ac:dyDescent="0.3">
      <c r="A857" s="4" t="s">
        <v>253</v>
      </c>
      <c r="B857" s="16" t="s">
        <v>177</v>
      </c>
      <c r="C857" s="15">
        <v>4</v>
      </c>
      <c r="D857" s="17">
        <v>22477000</v>
      </c>
      <c r="E857" s="17">
        <v>18987966</v>
      </c>
      <c r="F857" s="17">
        <v>-3489034</v>
      </c>
      <c r="G857" s="18">
        <v>0.84477314588245767</v>
      </c>
      <c r="H857" s="10">
        <v>2025</v>
      </c>
    </row>
    <row r="858" spans="1:8" hidden="1" x14ac:dyDescent="0.3">
      <c r="A858" s="4" t="s">
        <v>253</v>
      </c>
      <c r="B858" s="16" t="s">
        <v>177</v>
      </c>
      <c r="C858" s="15">
        <v>5</v>
      </c>
      <c r="D858" s="17">
        <v>22477000</v>
      </c>
      <c r="E858" s="17">
        <v>22477000</v>
      </c>
      <c r="F858" s="17">
        <v>0</v>
      </c>
      <c r="G858" s="18">
        <v>1</v>
      </c>
      <c r="H858" s="10">
        <v>2025</v>
      </c>
    </row>
    <row r="859" spans="1:8" hidden="1" x14ac:dyDescent="0.3">
      <c r="A859" s="4" t="s">
        <v>253</v>
      </c>
      <c r="B859" s="16" t="s">
        <v>177</v>
      </c>
      <c r="C859" s="15">
        <v>6</v>
      </c>
      <c r="D859" s="17">
        <v>22477000</v>
      </c>
      <c r="E859" s="17">
        <v>21162000</v>
      </c>
      <c r="F859" s="17">
        <v>-1315000</v>
      </c>
      <c r="G859" s="18">
        <v>0.94149575121235041</v>
      </c>
      <c r="H859" s="10">
        <v>2025</v>
      </c>
    </row>
    <row r="860" spans="1:8" hidden="1" x14ac:dyDescent="0.3">
      <c r="A860" s="4" t="s">
        <v>253</v>
      </c>
      <c r="B860" s="16" t="s">
        <v>177</v>
      </c>
      <c r="C860" s="15">
        <v>7</v>
      </c>
      <c r="D860" s="17">
        <v>22477000</v>
      </c>
      <c r="E860" s="17">
        <v>20314067</v>
      </c>
      <c r="F860" s="17">
        <v>-2162933</v>
      </c>
      <c r="G860" s="18">
        <v>0.90377127730569029</v>
      </c>
      <c r="H860" s="10">
        <v>2025</v>
      </c>
    </row>
    <row r="861" spans="1:8" hidden="1" x14ac:dyDescent="0.3">
      <c r="A861" s="4" t="s">
        <v>253</v>
      </c>
      <c r="B861" s="16" t="s">
        <v>177</v>
      </c>
      <c r="C861" s="15">
        <v>8</v>
      </c>
      <c r="D861" s="17">
        <v>22477000</v>
      </c>
      <c r="E861" s="17">
        <v>18548300</v>
      </c>
      <c r="F861" s="17">
        <v>-3928700</v>
      </c>
      <c r="G861" s="18">
        <v>0.8252124393824799</v>
      </c>
      <c r="H861" s="10">
        <v>2025</v>
      </c>
    </row>
    <row r="862" spans="1:8" hidden="1" x14ac:dyDescent="0.3">
      <c r="A862" s="4" t="s">
        <v>253</v>
      </c>
      <c r="B862" s="16" t="s">
        <v>177</v>
      </c>
      <c r="C862" s="15">
        <v>9</v>
      </c>
      <c r="D862" s="17">
        <v>22477000</v>
      </c>
      <c r="E862" s="17">
        <v>20584933</v>
      </c>
      <c r="F862" s="17">
        <v>-1892067</v>
      </c>
      <c r="G862" s="18">
        <v>0.91582208479779337</v>
      </c>
      <c r="H862" s="10">
        <v>2025</v>
      </c>
    </row>
    <row r="863" spans="1:8" hidden="1" x14ac:dyDescent="0.3">
      <c r="A863" s="4" t="s">
        <v>253</v>
      </c>
      <c r="B863" s="16" t="s">
        <v>177</v>
      </c>
      <c r="C863" s="15">
        <v>10</v>
      </c>
      <c r="D863" s="17">
        <v>22477000</v>
      </c>
      <c r="E863" s="17">
        <v>20759667</v>
      </c>
      <c r="F863" s="17">
        <v>-1717333</v>
      </c>
      <c r="G863" s="18">
        <v>0.92359598700894252</v>
      </c>
      <c r="H863" s="10">
        <v>2025</v>
      </c>
    </row>
    <row r="864" spans="1:8" hidden="1" x14ac:dyDescent="0.3">
      <c r="A864" s="4" t="s">
        <v>253</v>
      </c>
      <c r="B864" s="16" t="s">
        <v>210</v>
      </c>
      <c r="C864" s="15">
        <v>1</v>
      </c>
      <c r="D864" s="17">
        <v>0</v>
      </c>
      <c r="E864" s="17">
        <v>711750</v>
      </c>
      <c r="F864" s="17">
        <v>711750</v>
      </c>
      <c r="G864" s="18">
        <v>0</v>
      </c>
      <c r="H864" s="10">
        <v>2025</v>
      </c>
    </row>
    <row r="865" spans="1:8" hidden="1" x14ac:dyDescent="0.3">
      <c r="A865" s="4" t="s">
        <v>253</v>
      </c>
      <c r="B865" s="16" t="s">
        <v>210</v>
      </c>
      <c r="C865" s="15">
        <v>2</v>
      </c>
      <c r="D865" s="17">
        <v>0</v>
      </c>
      <c r="E865" s="17">
        <v>711750</v>
      </c>
      <c r="F865" s="17">
        <v>711750</v>
      </c>
      <c r="G865" s="18">
        <v>0</v>
      </c>
      <c r="H865" s="10">
        <v>2025</v>
      </c>
    </row>
    <row r="866" spans="1:8" hidden="1" x14ac:dyDescent="0.3">
      <c r="A866" s="4" t="s">
        <v>253</v>
      </c>
      <c r="B866" s="16" t="s">
        <v>205</v>
      </c>
      <c r="C866" s="15">
        <v>1</v>
      </c>
      <c r="D866" s="17">
        <v>865629</v>
      </c>
      <c r="E866" s="17">
        <v>687157</v>
      </c>
      <c r="F866" s="17">
        <v>-178472</v>
      </c>
      <c r="G866" s="18">
        <v>0.7938239130158532</v>
      </c>
      <c r="H866" s="10">
        <v>2025</v>
      </c>
    </row>
    <row r="867" spans="1:8" hidden="1" x14ac:dyDescent="0.3">
      <c r="A867" s="4" t="s">
        <v>253</v>
      </c>
      <c r="B867" s="16" t="s">
        <v>205</v>
      </c>
      <c r="C867" s="15">
        <v>2</v>
      </c>
      <c r="D867" s="17">
        <v>1709906</v>
      </c>
      <c r="E867" s="17">
        <v>1397245</v>
      </c>
      <c r="F867" s="17">
        <v>-312661</v>
      </c>
      <c r="G867" s="18">
        <v>0.81714725838730318</v>
      </c>
      <c r="H867" s="10">
        <v>2025</v>
      </c>
    </row>
    <row r="868" spans="1:8" hidden="1" x14ac:dyDescent="0.3">
      <c r="A868" s="4" t="s">
        <v>253</v>
      </c>
      <c r="B868" s="16" t="s">
        <v>205</v>
      </c>
      <c r="C868" s="15">
        <v>3</v>
      </c>
      <c r="D868" s="17">
        <v>1826937</v>
      </c>
      <c r="E868" s="17">
        <v>3342304</v>
      </c>
      <c r="F868" s="17">
        <v>1515367</v>
      </c>
      <c r="G868" s="18">
        <v>1.8294577207643177</v>
      </c>
      <c r="H868" s="10">
        <v>2025</v>
      </c>
    </row>
    <row r="869" spans="1:8" hidden="1" x14ac:dyDescent="0.3">
      <c r="A869" s="4" t="s">
        <v>253</v>
      </c>
      <c r="B869" s="16" t="s">
        <v>205</v>
      </c>
      <c r="C869" s="15">
        <v>4</v>
      </c>
      <c r="D869" s="17">
        <v>1507038</v>
      </c>
      <c r="E869" s="17">
        <v>3374598</v>
      </c>
      <c r="F869" s="17">
        <v>1867560</v>
      </c>
      <c r="G869" s="18">
        <v>2.2392255537020302</v>
      </c>
      <c r="H869" s="10">
        <v>2025</v>
      </c>
    </row>
    <row r="870" spans="1:8" hidden="1" x14ac:dyDescent="0.3">
      <c r="A870" s="4" t="s">
        <v>253</v>
      </c>
      <c r="B870" s="16" t="s">
        <v>205</v>
      </c>
      <c r="C870" s="15">
        <v>5</v>
      </c>
      <c r="D870" s="17">
        <v>1854478</v>
      </c>
      <c r="E870" s="17">
        <v>4058341</v>
      </c>
      <c r="F870" s="17">
        <v>2203863</v>
      </c>
      <c r="G870" s="18">
        <v>2.188400725163631</v>
      </c>
      <c r="H870" s="10">
        <v>2025</v>
      </c>
    </row>
    <row r="871" spans="1:8" hidden="1" x14ac:dyDescent="0.3">
      <c r="A871" s="4" t="s">
        <v>253</v>
      </c>
      <c r="B871" s="16" t="s">
        <v>205</v>
      </c>
      <c r="C871" s="15">
        <v>6</v>
      </c>
      <c r="D871" s="17">
        <v>1881810</v>
      </c>
      <c r="E871" s="17">
        <v>3076864</v>
      </c>
      <c r="F871" s="17">
        <v>1195054</v>
      </c>
      <c r="G871" s="18">
        <v>1.6350556113528996</v>
      </c>
      <c r="H871" s="10">
        <v>2025</v>
      </c>
    </row>
    <row r="872" spans="1:8" hidden="1" x14ac:dyDescent="0.3">
      <c r="A872" s="4" t="s">
        <v>253</v>
      </c>
      <c r="B872" s="16" t="s">
        <v>205</v>
      </c>
      <c r="C872" s="15">
        <v>7</v>
      </c>
      <c r="D872" s="17">
        <v>1244811</v>
      </c>
      <c r="E872" s="17">
        <v>4004735</v>
      </c>
      <c r="F872" s="17">
        <v>2759924</v>
      </c>
      <c r="G872" s="18">
        <v>3.2171430040383644</v>
      </c>
      <c r="H872" s="10">
        <v>2025</v>
      </c>
    </row>
    <row r="873" spans="1:8" hidden="1" x14ac:dyDescent="0.3">
      <c r="A873" s="4" t="s">
        <v>253</v>
      </c>
      <c r="B873" s="16" t="s">
        <v>205</v>
      </c>
      <c r="C873" s="15">
        <v>8</v>
      </c>
      <c r="D873" s="17">
        <v>2941049</v>
      </c>
      <c r="E873" s="17">
        <v>3101179</v>
      </c>
      <c r="F873" s="17">
        <v>160130</v>
      </c>
      <c r="G873" s="18">
        <v>1.0544465597138981</v>
      </c>
      <c r="H873" s="10">
        <v>2025</v>
      </c>
    </row>
    <row r="874" spans="1:8" hidden="1" x14ac:dyDescent="0.3">
      <c r="A874" s="4" t="s">
        <v>253</v>
      </c>
      <c r="B874" s="16" t="s">
        <v>205</v>
      </c>
      <c r="C874" s="15">
        <v>9</v>
      </c>
      <c r="D874" s="17">
        <v>1780990</v>
      </c>
      <c r="E874" s="17">
        <v>3995099</v>
      </c>
      <c r="F874" s="17">
        <v>2214109</v>
      </c>
      <c r="G874" s="18">
        <v>2.2431900235262412</v>
      </c>
      <c r="H874" s="10">
        <v>2025</v>
      </c>
    </row>
    <row r="875" spans="1:8" hidden="1" x14ac:dyDescent="0.3">
      <c r="A875" s="4" t="s">
        <v>253</v>
      </c>
      <c r="B875" s="16" t="s">
        <v>205</v>
      </c>
      <c r="C875" s="15">
        <v>10</v>
      </c>
      <c r="D875" s="17">
        <v>1994329</v>
      </c>
      <c r="E875" s="17">
        <v>4608907</v>
      </c>
      <c r="F875" s="17">
        <v>2614578</v>
      </c>
      <c r="G875" s="18">
        <v>2.3110063585296108</v>
      </c>
      <c r="H875" s="10">
        <v>2025</v>
      </c>
    </row>
    <row r="876" spans="1:8" hidden="1" x14ac:dyDescent="0.3">
      <c r="A876" s="4" t="s">
        <v>253</v>
      </c>
      <c r="B876" s="16" t="s">
        <v>179</v>
      </c>
      <c r="C876" s="15">
        <v>1</v>
      </c>
      <c r="D876" s="17">
        <v>0</v>
      </c>
      <c r="E876" s="17">
        <v>231123</v>
      </c>
      <c r="F876" s="17">
        <v>231123</v>
      </c>
      <c r="G876" s="18">
        <v>0</v>
      </c>
      <c r="H876" s="10">
        <v>2025</v>
      </c>
    </row>
    <row r="877" spans="1:8" hidden="1" x14ac:dyDescent="0.3">
      <c r="A877" s="4" t="s">
        <v>253</v>
      </c>
      <c r="B877" s="16" t="s">
        <v>179</v>
      </c>
      <c r="C877" s="15">
        <v>4</v>
      </c>
      <c r="D877" s="17">
        <v>0</v>
      </c>
      <c r="E877" s="17">
        <v>789000</v>
      </c>
      <c r="F877" s="17">
        <v>789000</v>
      </c>
      <c r="G877" s="18">
        <v>0</v>
      </c>
      <c r="H877" s="10">
        <v>2025</v>
      </c>
    </row>
    <row r="878" spans="1:8" hidden="1" x14ac:dyDescent="0.3">
      <c r="A878" s="4" t="s">
        <v>253</v>
      </c>
      <c r="B878" s="16" t="s">
        <v>179</v>
      </c>
      <c r="C878" s="15">
        <v>7</v>
      </c>
      <c r="D878" s="17">
        <v>0</v>
      </c>
      <c r="E878" s="17">
        <v>233789</v>
      </c>
      <c r="F878" s="17">
        <v>233789</v>
      </c>
      <c r="G878" s="18">
        <v>0</v>
      </c>
      <c r="H878" s="10">
        <v>2025</v>
      </c>
    </row>
    <row r="879" spans="1:8" hidden="1" x14ac:dyDescent="0.3">
      <c r="A879" s="4" t="s">
        <v>253</v>
      </c>
      <c r="B879" s="16" t="s">
        <v>179</v>
      </c>
      <c r="C879" s="15">
        <v>8</v>
      </c>
      <c r="D879" s="17">
        <v>0</v>
      </c>
      <c r="E879" s="17">
        <v>2121963</v>
      </c>
      <c r="F879" s="17">
        <v>2121963</v>
      </c>
      <c r="G879" s="18">
        <v>0</v>
      </c>
      <c r="H879" s="10">
        <v>2025</v>
      </c>
    </row>
    <row r="880" spans="1:8" hidden="1" x14ac:dyDescent="0.3">
      <c r="A880" s="4" t="s">
        <v>253</v>
      </c>
      <c r="B880" s="16" t="s">
        <v>179</v>
      </c>
      <c r="C880" s="15">
        <v>9</v>
      </c>
      <c r="D880" s="17">
        <v>0</v>
      </c>
      <c r="E880" s="17">
        <v>454401</v>
      </c>
      <c r="F880" s="17">
        <v>454401</v>
      </c>
      <c r="G880" s="18">
        <v>0</v>
      </c>
      <c r="H880" s="10">
        <v>2025</v>
      </c>
    </row>
    <row r="881" spans="1:8" hidden="1" x14ac:dyDescent="0.3">
      <c r="A881" s="4" t="s">
        <v>253</v>
      </c>
      <c r="B881" s="16" t="s">
        <v>206</v>
      </c>
      <c r="C881" s="15">
        <v>1</v>
      </c>
      <c r="D881" s="17">
        <v>1000000</v>
      </c>
      <c r="E881" s="17">
        <v>573334</v>
      </c>
      <c r="F881" s="17">
        <v>-426666</v>
      </c>
      <c r="G881" s="18">
        <v>0.57333400000000001</v>
      </c>
      <c r="H881" s="10">
        <v>2025</v>
      </c>
    </row>
    <row r="882" spans="1:8" hidden="1" x14ac:dyDescent="0.3">
      <c r="A882" s="4" t="s">
        <v>253</v>
      </c>
      <c r="B882" s="16" t="s">
        <v>206</v>
      </c>
      <c r="C882" s="15">
        <v>2</v>
      </c>
      <c r="D882" s="17">
        <v>400000</v>
      </c>
      <c r="E882" s="17">
        <v>500000</v>
      </c>
      <c r="F882" s="17">
        <v>100000</v>
      </c>
      <c r="G882" s="18">
        <v>1.25</v>
      </c>
      <c r="H882" s="10">
        <v>2025</v>
      </c>
    </row>
    <row r="883" spans="1:8" hidden="1" x14ac:dyDescent="0.3">
      <c r="A883" s="4" t="s">
        <v>253</v>
      </c>
      <c r="B883" s="16" t="s">
        <v>206</v>
      </c>
      <c r="C883" s="15">
        <v>3</v>
      </c>
      <c r="D883" s="17">
        <v>400000</v>
      </c>
      <c r="E883" s="17">
        <v>400000</v>
      </c>
      <c r="F883" s="17">
        <v>0</v>
      </c>
      <c r="G883" s="18">
        <v>1</v>
      </c>
      <c r="H883" s="10">
        <v>2025</v>
      </c>
    </row>
    <row r="884" spans="1:8" hidden="1" x14ac:dyDescent="0.3">
      <c r="A884" s="4" t="s">
        <v>253</v>
      </c>
      <c r="B884" s="16" t="s">
        <v>206</v>
      </c>
      <c r="C884" s="15">
        <v>4</v>
      </c>
      <c r="D884" s="17">
        <v>600000</v>
      </c>
      <c r="E884" s="17">
        <v>340000</v>
      </c>
      <c r="F884" s="17">
        <v>-260000</v>
      </c>
      <c r="G884" s="18">
        <v>0.56666666666666665</v>
      </c>
      <c r="H884" s="10">
        <v>2025</v>
      </c>
    </row>
    <row r="885" spans="1:8" hidden="1" x14ac:dyDescent="0.3">
      <c r="A885" s="4" t="s">
        <v>253</v>
      </c>
      <c r="B885" s="16" t="s">
        <v>206</v>
      </c>
      <c r="C885" s="15">
        <v>5</v>
      </c>
      <c r="D885" s="17">
        <v>600000</v>
      </c>
      <c r="E885" s="17">
        <v>600000</v>
      </c>
      <c r="F885" s="17">
        <v>0</v>
      </c>
      <c r="G885" s="18">
        <v>1</v>
      </c>
      <c r="H885" s="10">
        <v>2025</v>
      </c>
    </row>
    <row r="886" spans="1:8" hidden="1" x14ac:dyDescent="0.3">
      <c r="A886" s="4" t="s">
        <v>253</v>
      </c>
      <c r="B886" s="16" t="s">
        <v>206</v>
      </c>
      <c r="C886" s="15">
        <v>6</v>
      </c>
      <c r="D886" s="17">
        <v>600000</v>
      </c>
      <c r="E886" s="17">
        <v>500000</v>
      </c>
      <c r="F886" s="17">
        <v>-100000</v>
      </c>
      <c r="G886" s="18">
        <v>0.83333333333333337</v>
      </c>
      <c r="H886" s="10">
        <v>2025</v>
      </c>
    </row>
    <row r="887" spans="1:8" hidden="1" x14ac:dyDescent="0.3">
      <c r="A887" s="4" t="s">
        <v>253</v>
      </c>
      <c r="B887" s="16" t="s">
        <v>206</v>
      </c>
      <c r="C887" s="15">
        <v>7</v>
      </c>
      <c r="D887" s="17">
        <v>600000</v>
      </c>
      <c r="E887" s="17">
        <v>546667</v>
      </c>
      <c r="F887" s="17">
        <v>-53333</v>
      </c>
      <c r="G887" s="18">
        <v>0.91111166666666665</v>
      </c>
      <c r="H887" s="10">
        <v>2025</v>
      </c>
    </row>
    <row r="888" spans="1:8" hidden="1" x14ac:dyDescent="0.3">
      <c r="A888" s="4" t="s">
        <v>253</v>
      </c>
      <c r="B888" s="16" t="s">
        <v>206</v>
      </c>
      <c r="C888" s="15">
        <v>8</v>
      </c>
      <c r="D888" s="17">
        <v>600000</v>
      </c>
      <c r="E888" s="17">
        <v>453333</v>
      </c>
      <c r="F888" s="17">
        <v>-146667</v>
      </c>
      <c r="G888" s="18">
        <v>0.75555499999999998</v>
      </c>
      <c r="H888" s="10">
        <v>2025</v>
      </c>
    </row>
    <row r="889" spans="1:8" hidden="1" x14ac:dyDescent="0.3">
      <c r="A889" s="4" t="s">
        <v>253</v>
      </c>
      <c r="B889" s="16" t="s">
        <v>206</v>
      </c>
      <c r="C889" s="15">
        <v>9</v>
      </c>
      <c r="D889" s="17">
        <v>600000</v>
      </c>
      <c r="E889" s="17">
        <v>326667</v>
      </c>
      <c r="F889" s="17">
        <v>-273333</v>
      </c>
      <c r="G889" s="18">
        <v>0.54444499999999996</v>
      </c>
      <c r="H889" s="10">
        <v>2025</v>
      </c>
    </row>
    <row r="890" spans="1:8" hidden="1" x14ac:dyDescent="0.3">
      <c r="A890" s="4" t="s">
        <v>253</v>
      </c>
      <c r="B890" s="16" t="s">
        <v>206</v>
      </c>
      <c r="C890" s="15">
        <v>10</v>
      </c>
      <c r="D890" s="17">
        <v>600000</v>
      </c>
      <c r="E890" s="17">
        <v>193333</v>
      </c>
      <c r="F890" s="17">
        <v>-406667</v>
      </c>
      <c r="G890" s="18">
        <v>0.32222166666666668</v>
      </c>
      <c r="H890" s="10">
        <v>2025</v>
      </c>
    </row>
    <row r="891" spans="1:8" hidden="1" x14ac:dyDescent="0.3">
      <c r="A891" s="4" t="s">
        <v>253</v>
      </c>
      <c r="B891" s="16" t="s">
        <v>181</v>
      </c>
      <c r="C891" s="15">
        <v>1</v>
      </c>
      <c r="D891" s="17">
        <v>1177081</v>
      </c>
      <c r="E891" s="17">
        <v>1117049</v>
      </c>
      <c r="F891" s="17">
        <v>-60032</v>
      </c>
      <c r="G891" s="18">
        <v>0.94899926173304983</v>
      </c>
      <c r="H891" s="10">
        <v>2025</v>
      </c>
    </row>
    <row r="892" spans="1:8" hidden="1" x14ac:dyDescent="0.3">
      <c r="A892" s="4" t="s">
        <v>253</v>
      </c>
      <c r="B892" s="16" t="s">
        <v>181</v>
      </c>
      <c r="C892" s="15">
        <v>2</v>
      </c>
      <c r="D892" s="17">
        <v>1298389</v>
      </c>
      <c r="E892" s="17">
        <v>1297779</v>
      </c>
      <c r="F892" s="17">
        <v>-610</v>
      </c>
      <c r="G892" s="18">
        <v>0.9995301870240737</v>
      </c>
      <c r="H892" s="10">
        <v>2025</v>
      </c>
    </row>
    <row r="893" spans="1:8" hidden="1" x14ac:dyDescent="0.3">
      <c r="A893" s="4" t="s">
        <v>253</v>
      </c>
      <c r="B893" s="16" t="s">
        <v>181</v>
      </c>
      <c r="C893" s="15">
        <v>3</v>
      </c>
      <c r="D893" s="17">
        <v>1849587</v>
      </c>
      <c r="E893" s="17">
        <v>1975819</v>
      </c>
      <c r="F893" s="17">
        <v>126232</v>
      </c>
      <c r="G893" s="18">
        <v>1.0682487495857185</v>
      </c>
      <c r="H893" s="10">
        <v>2025</v>
      </c>
    </row>
    <row r="894" spans="1:8" hidden="1" x14ac:dyDescent="0.3">
      <c r="A894" s="4" t="s">
        <v>253</v>
      </c>
      <c r="B894" s="16" t="s">
        <v>181</v>
      </c>
      <c r="C894" s="15">
        <v>4</v>
      </c>
      <c r="D894" s="17">
        <v>2047850</v>
      </c>
      <c r="E894" s="17">
        <v>1965400</v>
      </c>
      <c r="F894" s="17">
        <v>-82450</v>
      </c>
      <c r="G894" s="18">
        <v>0.95973826207974222</v>
      </c>
      <c r="H894" s="10">
        <v>2025</v>
      </c>
    </row>
    <row r="895" spans="1:8" hidden="1" x14ac:dyDescent="0.3">
      <c r="A895" s="4" t="s">
        <v>253</v>
      </c>
      <c r="B895" s="16" t="s">
        <v>181</v>
      </c>
      <c r="C895" s="15">
        <v>5</v>
      </c>
      <c r="D895" s="17">
        <v>2076792</v>
      </c>
      <c r="E895" s="17">
        <v>2260374</v>
      </c>
      <c r="F895" s="17">
        <v>183582</v>
      </c>
      <c r="G895" s="18">
        <v>1.0883969121606787</v>
      </c>
      <c r="H895" s="10">
        <v>2025</v>
      </c>
    </row>
    <row r="896" spans="1:8" hidden="1" x14ac:dyDescent="0.3">
      <c r="A896" s="4" t="s">
        <v>253</v>
      </c>
      <c r="B896" s="16" t="s">
        <v>181</v>
      </c>
      <c r="C896" s="15">
        <v>6</v>
      </c>
      <c r="D896" s="17">
        <v>2079068</v>
      </c>
      <c r="E896" s="17">
        <v>2216703</v>
      </c>
      <c r="F896" s="17">
        <v>137635</v>
      </c>
      <c r="G896" s="18">
        <v>1.0662003359197487</v>
      </c>
      <c r="H896" s="10">
        <v>2025</v>
      </c>
    </row>
    <row r="897" spans="1:8" hidden="1" x14ac:dyDescent="0.3">
      <c r="A897" s="4" t="s">
        <v>253</v>
      </c>
      <c r="B897" s="16" t="s">
        <v>181</v>
      </c>
      <c r="C897" s="15">
        <v>7</v>
      </c>
      <c r="D897" s="17">
        <v>2026006</v>
      </c>
      <c r="E897" s="17">
        <v>2521956</v>
      </c>
      <c r="F897" s="17">
        <v>495950</v>
      </c>
      <c r="G897" s="18">
        <v>1.2447919700139092</v>
      </c>
      <c r="H897" s="10">
        <v>2025</v>
      </c>
    </row>
    <row r="898" spans="1:8" hidden="1" x14ac:dyDescent="0.3">
      <c r="A898" s="4" t="s">
        <v>253</v>
      </c>
      <c r="B898" s="16" t="s">
        <v>181</v>
      </c>
      <c r="C898" s="15">
        <v>8</v>
      </c>
      <c r="D898" s="17">
        <v>2167303</v>
      </c>
      <c r="E898" s="17">
        <v>2221036</v>
      </c>
      <c r="F898" s="17">
        <v>53733</v>
      </c>
      <c r="G898" s="18">
        <v>1.0247925647682858</v>
      </c>
      <c r="H898" s="10">
        <v>2025</v>
      </c>
    </row>
    <row r="899" spans="1:8" hidden="1" x14ac:dyDescent="0.3">
      <c r="A899" s="4" t="s">
        <v>253</v>
      </c>
      <c r="B899" s="16" t="s">
        <v>181</v>
      </c>
      <c r="C899" s="15">
        <v>9</v>
      </c>
      <c r="D899" s="17">
        <v>2070670</v>
      </c>
      <c r="E899" s="17">
        <v>2226669</v>
      </c>
      <c r="F899" s="17">
        <v>155999</v>
      </c>
      <c r="G899" s="18">
        <v>1.0753374511631502</v>
      </c>
      <c r="H899" s="10">
        <v>2025</v>
      </c>
    </row>
    <row r="900" spans="1:8" hidden="1" x14ac:dyDescent="0.3">
      <c r="A900" s="4" t="s">
        <v>253</v>
      </c>
      <c r="B900" s="16" t="s">
        <v>181</v>
      </c>
      <c r="C900" s="15">
        <v>10</v>
      </c>
      <c r="D900" s="17">
        <v>2088441</v>
      </c>
      <c r="E900" s="17">
        <v>2129306</v>
      </c>
      <c r="F900" s="17">
        <v>40865</v>
      </c>
      <c r="G900" s="18">
        <v>1.0195672274198793</v>
      </c>
      <c r="H900" s="10">
        <v>2025</v>
      </c>
    </row>
    <row r="901" spans="1:8" hidden="1" x14ac:dyDescent="0.3">
      <c r="A901" s="4" t="s">
        <v>253</v>
      </c>
      <c r="B901" s="16" t="s">
        <v>182</v>
      </c>
      <c r="C901" s="15">
        <v>1</v>
      </c>
      <c r="D901" s="17">
        <v>141249</v>
      </c>
      <c r="E901" s="17">
        <v>134101</v>
      </c>
      <c r="F901" s="17">
        <v>-7148</v>
      </c>
      <c r="G901" s="18">
        <v>0.94939433199527079</v>
      </c>
      <c r="H901" s="10">
        <v>2025</v>
      </c>
    </row>
    <row r="902" spans="1:8" hidden="1" x14ac:dyDescent="0.3">
      <c r="A902" s="4" t="s">
        <v>253</v>
      </c>
      <c r="B902" s="16" t="s">
        <v>182</v>
      </c>
      <c r="C902" s="15">
        <v>2</v>
      </c>
      <c r="D902" s="17">
        <v>155806</v>
      </c>
      <c r="E902" s="17">
        <v>155795</v>
      </c>
      <c r="F902" s="17">
        <v>-11</v>
      </c>
      <c r="G902" s="18">
        <v>0.99992939938128189</v>
      </c>
      <c r="H902" s="10">
        <v>2025</v>
      </c>
    </row>
    <row r="903" spans="1:8" hidden="1" x14ac:dyDescent="0.3">
      <c r="A903" s="4" t="s">
        <v>253</v>
      </c>
      <c r="B903" s="16" t="s">
        <v>182</v>
      </c>
      <c r="C903" s="15">
        <v>3</v>
      </c>
      <c r="D903" s="17">
        <v>221950</v>
      </c>
      <c r="E903" s="17">
        <v>237193</v>
      </c>
      <c r="F903" s="17">
        <v>15243</v>
      </c>
      <c r="G903" s="18">
        <v>1.0686776300968688</v>
      </c>
      <c r="H903" s="10">
        <v>2025</v>
      </c>
    </row>
    <row r="904" spans="1:8" hidden="1" x14ac:dyDescent="0.3">
      <c r="A904" s="4" t="s">
        <v>253</v>
      </c>
      <c r="B904" s="16" t="s">
        <v>182</v>
      </c>
      <c r="C904" s="15">
        <v>4</v>
      </c>
      <c r="D904" s="17">
        <v>245742</v>
      </c>
      <c r="E904" s="17">
        <v>235941</v>
      </c>
      <c r="F904" s="17">
        <v>-9801</v>
      </c>
      <c r="G904" s="18">
        <v>0.96011670776668212</v>
      </c>
      <c r="H904" s="10">
        <v>2025</v>
      </c>
    </row>
    <row r="905" spans="1:8" hidden="1" x14ac:dyDescent="0.3">
      <c r="A905" s="4" t="s">
        <v>253</v>
      </c>
      <c r="B905" s="16" t="s">
        <v>182</v>
      </c>
      <c r="C905" s="15">
        <v>5</v>
      </c>
      <c r="D905" s="17">
        <v>249215</v>
      </c>
      <c r="E905" s="17">
        <v>271354</v>
      </c>
      <c r="F905" s="17">
        <v>22139</v>
      </c>
      <c r="G905" s="18">
        <v>1.0888349417169914</v>
      </c>
      <c r="H905" s="10">
        <v>2025</v>
      </c>
    </row>
    <row r="906" spans="1:8" hidden="1" x14ac:dyDescent="0.3">
      <c r="A906" s="4" t="s">
        <v>253</v>
      </c>
      <c r="B906" s="16" t="s">
        <v>182</v>
      </c>
      <c r="C906" s="15">
        <v>6</v>
      </c>
      <c r="D906" s="17">
        <v>249488</v>
      </c>
      <c r="E906" s="17">
        <v>266111</v>
      </c>
      <c r="F906" s="17">
        <v>16623</v>
      </c>
      <c r="G906" s="18">
        <v>1.0666284550759957</v>
      </c>
      <c r="H906" s="10">
        <v>2025</v>
      </c>
    </row>
    <row r="907" spans="1:8" hidden="1" x14ac:dyDescent="0.3">
      <c r="A907" s="4" t="s">
        <v>253</v>
      </c>
      <c r="B907" s="16" t="s">
        <v>182</v>
      </c>
      <c r="C907" s="15">
        <v>7</v>
      </c>
      <c r="D907" s="17">
        <v>243120</v>
      </c>
      <c r="E907" s="17">
        <v>302755</v>
      </c>
      <c r="F907" s="17">
        <v>59635</v>
      </c>
      <c r="G907" s="18">
        <v>1.2452903915761764</v>
      </c>
      <c r="H907" s="10">
        <v>2025</v>
      </c>
    </row>
    <row r="908" spans="1:8" hidden="1" x14ac:dyDescent="0.3">
      <c r="A908" s="4" t="s">
        <v>253</v>
      </c>
      <c r="B908" s="16" t="s">
        <v>182</v>
      </c>
      <c r="C908" s="15">
        <v>8</v>
      </c>
      <c r="D908" s="17">
        <v>260076</v>
      </c>
      <c r="E908" s="17">
        <v>266630</v>
      </c>
      <c r="F908" s="17">
        <v>6554</v>
      </c>
      <c r="G908" s="18">
        <v>1.0252003260585367</v>
      </c>
      <c r="H908" s="10">
        <v>2025</v>
      </c>
    </row>
    <row r="909" spans="1:8" hidden="1" x14ac:dyDescent="0.3">
      <c r="A909" s="4" t="s">
        <v>253</v>
      </c>
      <c r="B909" s="16" t="s">
        <v>182</v>
      </c>
      <c r="C909" s="15">
        <v>9</v>
      </c>
      <c r="D909" s="17">
        <v>248480</v>
      </c>
      <c r="E909" s="17">
        <v>267308</v>
      </c>
      <c r="F909" s="17">
        <v>18828</v>
      </c>
      <c r="G909" s="18">
        <v>1.0757726980038635</v>
      </c>
      <c r="H909" s="10">
        <v>2025</v>
      </c>
    </row>
    <row r="910" spans="1:8" hidden="1" x14ac:dyDescent="0.3">
      <c r="A910" s="4" t="s">
        <v>253</v>
      </c>
      <c r="B910" s="16" t="s">
        <v>182</v>
      </c>
      <c r="C910" s="15">
        <v>10</v>
      </c>
      <c r="D910" s="17">
        <v>250612</v>
      </c>
      <c r="E910" s="17">
        <v>255619</v>
      </c>
      <c r="F910" s="17">
        <v>5007</v>
      </c>
      <c r="G910" s="18">
        <v>1.0199790911847797</v>
      </c>
      <c r="H910" s="10">
        <v>2025</v>
      </c>
    </row>
    <row r="911" spans="1:8" hidden="1" x14ac:dyDescent="0.3">
      <c r="A911" s="4" t="s">
        <v>253</v>
      </c>
      <c r="B911" s="16" t="s">
        <v>183</v>
      </c>
      <c r="C911" s="15">
        <v>1</v>
      </c>
      <c r="D911" s="17">
        <v>1177081</v>
      </c>
      <c r="E911" s="17">
        <v>1117049</v>
      </c>
      <c r="F911" s="17">
        <v>-60032</v>
      </c>
      <c r="G911" s="18">
        <v>0.94899926173304983</v>
      </c>
      <c r="H911" s="10">
        <v>2025</v>
      </c>
    </row>
    <row r="912" spans="1:8" hidden="1" x14ac:dyDescent="0.3">
      <c r="A912" s="4" t="s">
        <v>253</v>
      </c>
      <c r="B912" s="16" t="s">
        <v>183</v>
      </c>
      <c r="C912" s="15">
        <v>2</v>
      </c>
      <c r="D912" s="17">
        <v>1298389</v>
      </c>
      <c r="E912" s="17">
        <v>1297779</v>
      </c>
      <c r="F912" s="17">
        <v>-610</v>
      </c>
      <c r="G912" s="18">
        <v>0.9995301870240737</v>
      </c>
      <c r="H912" s="10">
        <v>2025</v>
      </c>
    </row>
    <row r="913" spans="1:8" hidden="1" x14ac:dyDescent="0.3">
      <c r="A913" s="4" t="s">
        <v>253</v>
      </c>
      <c r="B913" s="16" t="s">
        <v>183</v>
      </c>
      <c r="C913" s="15">
        <v>3</v>
      </c>
      <c r="D913" s="17">
        <v>1849587</v>
      </c>
      <c r="E913" s="17">
        <v>1975819</v>
      </c>
      <c r="F913" s="17">
        <v>126232</v>
      </c>
      <c r="G913" s="18">
        <v>1.0682487495857185</v>
      </c>
      <c r="H913" s="10">
        <v>2025</v>
      </c>
    </row>
    <row r="914" spans="1:8" hidden="1" x14ac:dyDescent="0.3">
      <c r="A914" s="4" t="s">
        <v>253</v>
      </c>
      <c r="B914" s="16" t="s">
        <v>183</v>
      </c>
      <c r="C914" s="15">
        <v>4</v>
      </c>
      <c r="D914" s="17">
        <v>2047850</v>
      </c>
      <c r="E914" s="17">
        <v>1965400</v>
      </c>
      <c r="F914" s="17">
        <v>-82450</v>
      </c>
      <c r="G914" s="18">
        <v>0.95973826207974222</v>
      </c>
      <c r="H914" s="10">
        <v>2025</v>
      </c>
    </row>
    <row r="915" spans="1:8" hidden="1" x14ac:dyDescent="0.3">
      <c r="A915" s="4" t="s">
        <v>253</v>
      </c>
      <c r="B915" s="16" t="s">
        <v>183</v>
      </c>
      <c r="C915" s="15">
        <v>5</v>
      </c>
      <c r="D915" s="17">
        <v>2076792</v>
      </c>
      <c r="E915" s="17">
        <v>2260374</v>
      </c>
      <c r="F915" s="17">
        <v>183582</v>
      </c>
      <c r="G915" s="18">
        <v>1.0883969121606787</v>
      </c>
      <c r="H915" s="10">
        <v>2025</v>
      </c>
    </row>
    <row r="916" spans="1:8" hidden="1" x14ac:dyDescent="0.3">
      <c r="A916" s="4" t="s">
        <v>253</v>
      </c>
      <c r="B916" s="16" t="s">
        <v>183</v>
      </c>
      <c r="C916" s="15">
        <v>6</v>
      </c>
      <c r="D916" s="17">
        <v>2079068</v>
      </c>
      <c r="E916" s="17">
        <v>2216703</v>
      </c>
      <c r="F916" s="17">
        <v>137635</v>
      </c>
      <c r="G916" s="18">
        <v>1.0662003359197487</v>
      </c>
      <c r="H916" s="10">
        <v>2025</v>
      </c>
    </row>
    <row r="917" spans="1:8" hidden="1" x14ac:dyDescent="0.3">
      <c r="A917" s="4" t="s">
        <v>253</v>
      </c>
      <c r="B917" s="16" t="s">
        <v>183</v>
      </c>
      <c r="C917" s="15">
        <v>7</v>
      </c>
      <c r="D917" s="17">
        <v>2026006</v>
      </c>
      <c r="E917" s="17">
        <v>2521956</v>
      </c>
      <c r="F917" s="17">
        <v>495950</v>
      </c>
      <c r="G917" s="18">
        <v>1.2447919700139092</v>
      </c>
      <c r="H917" s="10">
        <v>2025</v>
      </c>
    </row>
    <row r="918" spans="1:8" hidden="1" x14ac:dyDescent="0.3">
      <c r="A918" s="4" t="s">
        <v>253</v>
      </c>
      <c r="B918" s="16" t="s">
        <v>183</v>
      </c>
      <c r="C918" s="15">
        <v>8</v>
      </c>
      <c r="D918" s="17">
        <v>2167303</v>
      </c>
      <c r="E918" s="17">
        <v>2221036</v>
      </c>
      <c r="F918" s="17">
        <v>53733</v>
      </c>
      <c r="G918" s="18">
        <v>1.0247925647682858</v>
      </c>
      <c r="H918" s="10">
        <v>2025</v>
      </c>
    </row>
    <row r="919" spans="1:8" hidden="1" x14ac:dyDescent="0.3">
      <c r="A919" s="4" t="s">
        <v>253</v>
      </c>
      <c r="B919" s="16" t="s">
        <v>183</v>
      </c>
      <c r="C919" s="15">
        <v>9</v>
      </c>
      <c r="D919" s="17">
        <v>2070670</v>
      </c>
      <c r="E919" s="17">
        <v>2226669</v>
      </c>
      <c r="F919" s="17">
        <v>155999</v>
      </c>
      <c r="G919" s="18">
        <v>1.0753374511631502</v>
      </c>
      <c r="H919" s="10">
        <v>2025</v>
      </c>
    </row>
    <row r="920" spans="1:8" hidden="1" x14ac:dyDescent="0.3">
      <c r="A920" s="4" t="s">
        <v>253</v>
      </c>
      <c r="B920" s="16" t="s">
        <v>183</v>
      </c>
      <c r="C920" s="15">
        <v>10</v>
      </c>
      <c r="D920" s="17">
        <v>2088441</v>
      </c>
      <c r="E920" s="17">
        <v>2129306</v>
      </c>
      <c r="F920" s="17">
        <v>40865</v>
      </c>
      <c r="G920" s="18">
        <v>1.0195672274198793</v>
      </c>
      <c r="H920" s="10">
        <v>2025</v>
      </c>
    </row>
    <row r="921" spans="1:8" hidden="1" x14ac:dyDescent="0.3">
      <c r="A921" s="4" t="s">
        <v>253</v>
      </c>
      <c r="B921" s="16" t="s">
        <v>184</v>
      </c>
      <c r="C921" s="15">
        <v>1</v>
      </c>
      <c r="D921" s="17">
        <v>547547</v>
      </c>
      <c r="E921" s="17">
        <v>535287</v>
      </c>
      <c r="F921" s="17">
        <v>-12260</v>
      </c>
      <c r="G921" s="18">
        <v>0.97760922806626649</v>
      </c>
      <c r="H921" s="10">
        <v>2025</v>
      </c>
    </row>
    <row r="922" spans="1:8" hidden="1" x14ac:dyDescent="0.3">
      <c r="A922" s="4" t="s">
        <v>253</v>
      </c>
      <c r="B922" s="16" t="s">
        <v>184</v>
      </c>
      <c r="C922" s="15">
        <v>2</v>
      </c>
      <c r="D922" s="17">
        <v>633293</v>
      </c>
      <c r="E922" s="17">
        <v>628820</v>
      </c>
      <c r="F922" s="17">
        <v>-4473</v>
      </c>
      <c r="G922" s="18">
        <v>0.99293691861429079</v>
      </c>
      <c r="H922" s="10">
        <v>2025</v>
      </c>
    </row>
    <row r="923" spans="1:8" hidden="1" x14ac:dyDescent="0.3">
      <c r="A923" s="4" t="s">
        <v>253</v>
      </c>
      <c r="B923" s="16" t="s">
        <v>184</v>
      </c>
      <c r="C923" s="15">
        <v>3</v>
      </c>
      <c r="D923" s="17">
        <v>909224</v>
      </c>
      <c r="E923" s="17">
        <v>972417</v>
      </c>
      <c r="F923" s="17">
        <v>63193</v>
      </c>
      <c r="G923" s="18">
        <v>1.0695021248889163</v>
      </c>
      <c r="H923" s="10">
        <v>2025</v>
      </c>
    </row>
    <row r="924" spans="1:8" hidden="1" x14ac:dyDescent="0.3">
      <c r="A924" s="4" t="s">
        <v>253</v>
      </c>
      <c r="B924" s="16" t="s">
        <v>184</v>
      </c>
      <c r="C924" s="15">
        <v>4</v>
      </c>
      <c r="D924" s="17">
        <v>1000134</v>
      </c>
      <c r="E924" s="17">
        <v>969702</v>
      </c>
      <c r="F924" s="17">
        <v>-30432</v>
      </c>
      <c r="G924" s="18">
        <v>0.96957207734163631</v>
      </c>
      <c r="H924" s="10">
        <v>2025</v>
      </c>
    </row>
    <row r="925" spans="1:8" hidden="1" x14ac:dyDescent="0.3">
      <c r="A925" s="4" t="s">
        <v>253</v>
      </c>
      <c r="B925" s="16" t="s">
        <v>184</v>
      </c>
      <c r="C925" s="15">
        <v>5</v>
      </c>
      <c r="D925" s="17">
        <v>1014622</v>
      </c>
      <c r="E925" s="17">
        <v>1106524</v>
      </c>
      <c r="F925" s="17">
        <v>91902</v>
      </c>
      <c r="G925" s="18">
        <v>1.0905775747026971</v>
      </c>
      <c r="H925" s="10">
        <v>2025</v>
      </c>
    </row>
    <row r="926" spans="1:8" hidden="1" x14ac:dyDescent="0.3">
      <c r="A926" s="4" t="s">
        <v>253</v>
      </c>
      <c r="B926" s="16" t="s">
        <v>184</v>
      </c>
      <c r="C926" s="15">
        <v>6</v>
      </c>
      <c r="D926" s="17">
        <v>1015762</v>
      </c>
      <c r="E926" s="17">
        <v>1088832</v>
      </c>
      <c r="F926" s="17">
        <v>73070</v>
      </c>
      <c r="G926" s="18">
        <v>1.071936142521575</v>
      </c>
      <c r="H926" s="10">
        <v>2025</v>
      </c>
    </row>
    <row r="927" spans="1:8" hidden="1" x14ac:dyDescent="0.3">
      <c r="A927" s="4" t="s">
        <v>253</v>
      </c>
      <c r="B927" s="16" t="s">
        <v>184</v>
      </c>
      <c r="C927" s="15">
        <v>7</v>
      </c>
      <c r="D927" s="17">
        <v>989199</v>
      </c>
      <c r="E927" s="17">
        <v>1239697</v>
      </c>
      <c r="F927" s="17">
        <v>250498</v>
      </c>
      <c r="G927" s="18">
        <v>1.2532331714852118</v>
      </c>
      <c r="H927" s="10">
        <v>2025</v>
      </c>
    </row>
    <row r="928" spans="1:8" hidden="1" x14ac:dyDescent="0.3">
      <c r="A928" s="4" t="s">
        <v>253</v>
      </c>
      <c r="B928" s="16" t="s">
        <v>184</v>
      </c>
      <c r="C928" s="15">
        <v>8</v>
      </c>
      <c r="D928" s="17">
        <v>1059932</v>
      </c>
      <c r="E928" s="17">
        <v>1092948</v>
      </c>
      <c r="F928" s="17">
        <v>33016</v>
      </c>
      <c r="G928" s="18">
        <v>1.0311491680598379</v>
      </c>
      <c r="H928" s="10">
        <v>2025</v>
      </c>
    </row>
    <row r="929" spans="1:8" hidden="1" x14ac:dyDescent="0.3">
      <c r="A929" s="4" t="s">
        <v>253</v>
      </c>
      <c r="B929" s="16" t="s">
        <v>184</v>
      </c>
      <c r="C929" s="15">
        <v>9</v>
      </c>
      <c r="D929" s="17">
        <v>1011558</v>
      </c>
      <c r="E929" s="17">
        <v>1101049</v>
      </c>
      <c r="F929" s="17">
        <v>89491</v>
      </c>
      <c r="G929" s="18">
        <v>1.0884684812932131</v>
      </c>
      <c r="H929" s="10">
        <v>2025</v>
      </c>
    </row>
    <row r="930" spans="1:8" hidden="1" x14ac:dyDescent="0.3">
      <c r="A930" s="4" t="s">
        <v>253</v>
      </c>
      <c r="B930" s="16" t="s">
        <v>184</v>
      </c>
      <c r="C930" s="15">
        <v>10</v>
      </c>
      <c r="D930" s="17">
        <v>1020454</v>
      </c>
      <c r="E930" s="17">
        <v>1057871</v>
      </c>
      <c r="F930" s="17">
        <v>37417</v>
      </c>
      <c r="G930" s="18">
        <v>1.0366670129177797</v>
      </c>
      <c r="H930" s="10">
        <v>2025</v>
      </c>
    </row>
    <row r="931" spans="1:8" hidden="1" x14ac:dyDescent="0.3">
      <c r="A931" s="4" t="s">
        <v>253</v>
      </c>
      <c r="B931" s="16" t="s">
        <v>185</v>
      </c>
      <c r="C931" s="15">
        <v>1</v>
      </c>
      <c r="D931" s="17">
        <v>181202</v>
      </c>
      <c r="E931" s="17">
        <v>177145</v>
      </c>
      <c r="F931" s="17">
        <v>-4057</v>
      </c>
      <c r="G931" s="18">
        <v>0.97761062239931129</v>
      </c>
      <c r="H931" s="10">
        <v>2025</v>
      </c>
    </row>
    <row r="932" spans="1:8" hidden="1" x14ac:dyDescent="0.3">
      <c r="A932" s="4" t="s">
        <v>253</v>
      </c>
      <c r="B932" s="16" t="s">
        <v>185</v>
      </c>
      <c r="C932" s="15">
        <v>2</v>
      </c>
      <c r="D932" s="17">
        <v>209579</v>
      </c>
      <c r="E932" s="17">
        <v>208098</v>
      </c>
      <c r="F932" s="17">
        <v>-1481</v>
      </c>
      <c r="G932" s="18">
        <v>0.99293345230199592</v>
      </c>
      <c r="H932" s="10">
        <v>2025</v>
      </c>
    </row>
    <row r="933" spans="1:8" hidden="1" x14ac:dyDescent="0.3">
      <c r="A933" s="4" t="s">
        <v>253</v>
      </c>
      <c r="B933" s="16" t="s">
        <v>185</v>
      </c>
      <c r="C933" s="15">
        <v>3</v>
      </c>
      <c r="D933" s="17">
        <v>300894</v>
      </c>
      <c r="E933" s="17">
        <v>321807</v>
      </c>
      <c r="F933" s="17">
        <v>20913</v>
      </c>
      <c r="G933" s="18">
        <v>1.0695028814133882</v>
      </c>
      <c r="H933" s="10">
        <v>2025</v>
      </c>
    </row>
    <row r="934" spans="1:8" hidden="1" x14ac:dyDescent="0.3">
      <c r="A934" s="4" t="s">
        <v>253</v>
      </c>
      <c r="B934" s="16" t="s">
        <v>185</v>
      </c>
      <c r="C934" s="15">
        <v>4</v>
      </c>
      <c r="D934" s="17">
        <v>330979</v>
      </c>
      <c r="E934" s="17">
        <v>320908</v>
      </c>
      <c r="F934" s="17">
        <v>-10071</v>
      </c>
      <c r="G934" s="18">
        <v>0.96957208765510805</v>
      </c>
      <c r="H934" s="10">
        <v>2025</v>
      </c>
    </row>
    <row r="935" spans="1:8" hidden="1" x14ac:dyDescent="0.3">
      <c r="A935" s="4" t="s">
        <v>253</v>
      </c>
      <c r="B935" s="16" t="s">
        <v>185</v>
      </c>
      <c r="C935" s="15">
        <v>5</v>
      </c>
      <c r="D935" s="17">
        <v>335774</v>
      </c>
      <c r="E935" s="17">
        <v>366188</v>
      </c>
      <c r="F935" s="17">
        <v>30414</v>
      </c>
      <c r="G935" s="18">
        <v>1.0905787821570461</v>
      </c>
      <c r="H935" s="10">
        <v>2025</v>
      </c>
    </row>
    <row r="936" spans="1:8" hidden="1" x14ac:dyDescent="0.3">
      <c r="A936" s="4" t="s">
        <v>253</v>
      </c>
      <c r="B936" s="16" t="s">
        <v>185</v>
      </c>
      <c r="C936" s="15">
        <v>6</v>
      </c>
      <c r="D936" s="17">
        <v>336151</v>
      </c>
      <c r="E936" s="17">
        <v>360333</v>
      </c>
      <c r="F936" s="17">
        <v>24182</v>
      </c>
      <c r="G936" s="18">
        <v>1.0719379088564365</v>
      </c>
      <c r="H936" s="10">
        <v>2025</v>
      </c>
    </row>
    <row r="937" spans="1:8" hidden="1" x14ac:dyDescent="0.3">
      <c r="A937" s="4" t="s">
        <v>253</v>
      </c>
      <c r="B937" s="16" t="s">
        <v>185</v>
      </c>
      <c r="C937" s="15">
        <v>7</v>
      </c>
      <c r="D937" s="17">
        <v>327360</v>
      </c>
      <c r="E937" s="17">
        <v>410258</v>
      </c>
      <c r="F937" s="17">
        <v>82898</v>
      </c>
      <c r="G937" s="18">
        <v>1.2532319159335288</v>
      </c>
      <c r="H937" s="10">
        <v>2025</v>
      </c>
    </row>
    <row r="938" spans="1:8" hidden="1" x14ac:dyDescent="0.3">
      <c r="A938" s="4" t="s">
        <v>253</v>
      </c>
      <c r="B938" s="16" t="s">
        <v>185</v>
      </c>
      <c r="C938" s="15">
        <v>8</v>
      </c>
      <c r="D938" s="17">
        <v>350769</v>
      </c>
      <c r="E938" s="17">
        <v>361695</v>
      </c>
      <c r="F938" s="17">
        <v>10926</v>
      </c>
      <c r="G938" s="18">
        <v>1.0311487047030952</v>
      </c>
      <c r="H938" s="10">
        <v>2025</v>
      </c>
    </row>
    <row r="939" spans="1:8" hidden="1" x14ac:dyDescent="0.3">
      <c r="A939" s="4" t="s">
        <v>253</v>
      </c>
      <c r="B939" s="16" t="s">
        <v>185</v>
      </c>
      <c r="C939" s="15">
        <v>9</v>
      </c>
      <c r="D939" s="17">
        <v>334760</v>
      </c>
      <c r="E939" s="17">
        <v>364377</v>
      </c>
      <c r="F939" s="17">
        <v>29617</v>
      </c>
      <c r="G939" s="18">
        <v>1.0884723383916837</v>
      </c>
      <c r="H939" s="10">
        <v>2025</v>
      </c>
    </row>
    <row r="940" spans="1:8" hidden="1" x14ac:dyDescent="0.3">
      <c r="A940" s="4" t="s">
        <v>253</v>
      </c>
      <c r="B940" s="16" t="s">
        <v>185</v>
      </c>
      <c r="C940" s="15">
        <v>10</v>
      </c>
      <c r="D940" s="17">
        <v>337704</v>
      </c>
      <c r="E940" s="17">
        <v>350087</v>
      </c>
      <c r="F940" s="17">
        <v>12383</v>
      </c>
      <c r="G940" s="18">
        <v>1.0366682064766779</v>
      </c>
      <c r="H940" s="10">
        <v>2025</v>
      </c>
    </row>
    <row r="941" spans="1:8" hidden="1" x14ac:dyDescent="0.3">
      <c r="A941" s="4" t="s">
        <v>253</v>
      </c>
      <c r="B941" s="16" t="s">
        <v>186</v>
      </c>
      <c r="C941" s="15">
        <v>1</v>
      </c>
      <c r="D941" s="17">
        <v>6132500</v>
      </c>
      <c r="E941" s="17">
        <v>6132500</v>
      </c>
      <c r="F941" s="17">
        <v>0</v>
      </c>
      <c r="G941" s="18">
        <v>1</v>
      </c>
      <c r="H941" s="10">
        <v>2025</v>
      </c>
    </row>
    <row r="942" spans="1:8" hidden="1" x14ac:dyDescent="0.3">
      <c r="A942" s="4" t="s">
        <v>253</v>
      </c>
      <c r="B942" s="16" t="s">
        <v>186</v>
      </c>
      <c r="C942" s="15">
        <v>2</v>
      </c>
      <c r="D942" s="17">
        <v>1838262</v>
      </c>
      <c r="E942" s="17">
        <v>1866269</v>
      </c>
      <c r="F942" s="17">
        <v>28007</v>
      </c>
      <c r="G942" s="18">
        <v>1.015235586657397</v>
      </c>
      <c r="H942" s="10">
        <v>2025</v>
      </c>
    </row>
    <row r="943" spans="1:8" hidden="1" x14ac:dyDescent="0.3">
      <c r="A943" s="4" t="s">
        <v>253</v>
      </c>
      <c r="B943" s="16" t="s">
        <v>186</v>
      </c>
      <c r="C943" s="15">
        <v>3</v>
      </c>
      <c r="D943" s="17">
        <v>2724862</v>
      </c>
      <c r="E943" s="17">
        <v>2724862</v>
      </c>
      <c r="F943" s="17">
        <v>0</v>
      </c>
      <c r="G943" s="18">
        <v>1</v>
      </c>
      <c r="H943" s="10">
        <v>2025</v>
      </c>
    </row>
    <row r="944" spans="1:8" hidden="1" x14ac:dyDescent="0.3">
      <c r="A944" s="4" t="s">
        <v>253</v>
      </c>
      <c r="B944" s="16" t="s">
        <v>186</v>
      </c>
      <c r="C944" s="15">
        <v>4</v>
      </c>
      <c r="D944" s="17">
        <v>3065862</v>
      </c>
      <c r="E944" s="17">
        <v>2711582</v>
      </c>
      <c r="F944" s="17">
        <v>-354280</v>
      </c>
      <c r="G944" s="18">
        <v>0.88444359204686973</v>
      </c>
      <c r="H944" s="10">
        <v>2025</v>
      </c>
    </row>
    <row r="945" spans="1:8" hidden="1" x14ac:dyDescent="0.3">
      <c r="A945" s="4" t="s">
        <v>253</v>
      </c>
      <c r="B945" s="16" t="s">
        <v>186</v>
      </c>
      <c r="C945" s="15">
        <v>5</v>
      </c>
      <c r="D945" s="17">
        <v>3065862</v>
      </c>
      <c r="E945" s="17">
        <v>3065862</v>
      </c>
      <c r="F945" s="17">
        <v>0</v>
      </c>
      <c r="G945" s="18">
        <v>1</v>
      </c>
      <c r="H945" s="10">
        <v>2025</v>
      </c>
    </row>
    <row r="946" spans="1:8" hidden="1" x14ac:dyDescent="0.3">
      <c r="A946" s="4" t="s">
        <v>253</v>
      </c>
      <c r="B946" s="16" t="s">
        <v>186</v>
      </c>
      <c r="C946" s="15">
        <v>6</v>
      </c>
      <c r="D946" s="17">
        <v>3065862</v>
      </c>
      <c r="E946" s="17">
        <v>3141865</v>
      </c>
      <c r="F946" s="17">
        <v>76003</v>
      </c>
      <c r="G946" s="18">
        <v>1.0247900916610075</v>
      </c>
      <c r="H946" s="10">
        <v>2025</v>
      </c>
    </row>
    <row r="947" spans="1:8" hidden="1" x14ac:dyDescent="0.3">
      <c r="A947" s="4" t="s">
        <v>253</v>
      </c>
      <c r="B947" s="16" t="s">
        <v>186</v>
      </c>
      <c r="C947" s="15">
        <v>7</v>
      </c>
      <c r="D947" s="17">
        <v>3065862</v>
      </c>
      <c r="E947" s="17">
        <v>3508779</v>
      </c>
      <c r="F947" s="17">
        <v>442917</v>
      </c>
      <c r="G947" s="18">
        <v>1.144467363501684</v>
      </c>
      <c r="H947" s="10">
        <v>2025</v>
      </c>
    </row>
    <row r="948" spans="1:8" hidden="1" x14ac:dyDescent="0.3">
      <c r="A948" s="4" t="s">
        <v>253</v>
      </c>
      <c r="B948" s="16" t="s">
        <v>186</v>
      </c>
      <c r="C948" s="15">
        <v>8</v>
      </c>
      <c r="D948" s="17">
        <v>3065862</v>
      </c>
      <c r="E948" s="17">
        <v>3152012</v>
      </c>
      <c r="F948" s="17">
        <v>86150</v>
      </c>
      <c r="G948" s="18">
        <v>1.0280997644381906</v>
      </c>
      <c r="H948" s="10">
        <v>2025</v>
      </c>
    </row>
    <row r="949" spans="1:8" hidden="1" x14ac:dyDescent="0.3">
      <c r="A949" s="4" t="s">
        <v>253</v>
      </c>
      <c r="B949" s="16" t="s">
        <v>186</v>
      </c>
      <c r="C949" s="15">
        <v>9</v>
      </c>
      <c r="D949" s="17">
        <v>3065862</v>
      </c>
      <c r="E949" s="17">
        <v>3056579</v>
      </c>
      <c r="F949" s="17">
        <v>-9283</v>
      </c>
      <c r="G949" s="18">
        <v>0.99697214029855219</v>
      </c>
      <c r="H949" s="10">
        <v>2025</v>
      </c>
    </row>
    <row r="950" spans="1:8" hidden="1" x14ac:dyDescent="0.3">
      <c r="A950" s="4" t="s">
        <v>253</v>
      </c>
      <c r="B950" s="16" t="s">
        <v>186</v>
      </c>
      <c r="C950" s="15">
        <v>10</v>
      </c>
      <c r="D950" s="17">
        <v>3065862</v>
      </c>
      <c r="E950" s="17">
        <v>2831617</v>
      </c>
      <c r="F950" s="17">
        <v>-234245</v>
      </c>
      <c r="G950" s="18">
        <v>0.92359571304905441</v>
      </c>
      <c r="H950" s="10">
        <v>2025</v>
      </c>
    </row>
    <row r="951" spans="1:8" hidden="1" x14ac:dyDescent="0.3">
      <c r="A951" s="4" t="s">
        <v>253</v>
      </c>
      <c r="B951" s="16" t="s">
        <v>187</v>
      </c>
      <c r="C951" s="15">
        <v>1</v>
      </c>
      <c r="D951" s="17">
        <v>511450</v>
      </c>
      <c r="E951" s="17">
        <v>506633</v>
      </c>
      <c r="F951" s="17">
        <v>-4817</v>
      </c>
      <c r="G951" s="18">
        <v>0.99058167953856691</v>
      </c>
      <c r="H951" s="10">
        <v>2025</v>
      </c>
    </row>
    <row r="952" spans="1:8" hidden="1" x14ac:dyDescent="0.3">
      <c r="A952" s="4" t="s">
        <v>253</v>
      </c>
      <c r="B952" s="16" t="s">
        <v>187</v>
      </c>
      <c r="C952" s="15">
        <v>2</v>
      </c>
      <c r="D952" s="17">
        <v>561990</v>
      </c>
      <c r="E952" s="17">
        <v>570555</v>
      </c>
      <c r="F952" s="17">
        <v>8565</v>
      </c>
      <c r="G952" s="18">
        <v>1.0152404847061336</v>
      </c>
      <c r="H952" s="10">
        <v>2025</v>
      </c>
    </row>
    <row r="953" spans="1:8" hidden="1" x14ac:dyDescent="0.3">
      <c r="A953" s="4" t="s">
        <v>253</v>
      </c>
      <c r="B953" s="16" t="s">
        <v>187</v>
      </c>
      <c r="C953" s="15">
        <v>3</v>
      </c>
      <c r="D953" s="17">
        <v>833040</v>
      </c>
      <c r="E953" s="17">
        <v>833042</v>
      </c>
      <c r="F953" s="17">
        <v>2</v>
      </c>
      <c r="G953" s="18">
        <v>1.0000024008450974</v>
      </c>
      <c r="H953" s="10">
        <v>2025</v>
      </c>
    </row>
    <row r="954" spans="1:8" hidden="1" x14ac:dyDescent="0.3">
      <c r="A954" s="4" t="s">
        <v>253</v>
      </c>
      <c r="B954" s="16" t="s">
        <v>187</v>
      </c>
      <c r="C954" s="15">
        <v>4</v>
      </c>
      <c r="D954" s="17">
        <v>937290</v>
      </c>
      <c r="E954" s="17">
        <v>828982</v>
      </c>
      <c r="F954" s="17">
        <v>-108308</v>
      </c>
      <c r="G954" s="18">
        <v>0.88444558247714156</v>
      </c>
      <c r="H954" s="10">
        <v>2025</v>
      </c>
    </row>
    <row r="955" spans="1:8" hidden="1" x14ac:dyDescent="0.3">
      <c r="A955" s="4" t="s">
        <v>253</v>
      </c>
      <c r="B955" s="16" t="s">
        <v>187</v>
      </c>
      <c r="C955" s="15">
        <v>5</v>
      </c>
      <c r="D955" s="17">
        <v>937290</v>
      </c>
      <c r="E955" s="17">
        <v>937292</v>
      </c>
      <c r="F955" s="17">
        <v>2</v>
      </c>
      <c r="G955" s="18">
        <v>1.0000021338113072</v>
      </c>
      <c r="H955" s="10">
        <v>2025</v>
      </c>
    </row>
    <row r="956" spans="1:8" hidden="1" x14ac:dyDescent="0.3">
      <c r="A956" s="4" t="s">
        <v>253</v>
      </c>
      <c r="B956" s="16" t="s">
        <v>187</v>
      </c>
      <c r="C956" s="15">
        <v>6</v>
      </c>
      <c r="D956" s="17">
        <v>937290</v>
      </c>
      <c r="E956" s="17">
        <v>960528</v>
      </c>
      <c r="F956" s="17">
        <v>23238</v>
      </c>
      <c r="G956" s="18">
        <v>1.0247927535768013</v>
      </c>
      <c r="H956" s="10">
        <v>2025</v>
      </c>
    </row>
    <row r="957" spans="1:8" hidden="1" x14ac:dyDescent="0.3">
      <c r="A957" s="4" t="s">
        <v>253</v>
      </c>
      <c r="B957" s="16" t="s">
        <v>187</v>
      </c>
      <c r="C957" s="15">
        <v>7</v>
      </c>
      <c r="D957" s="17">
        <v>937290</v>
      </c>
      <c r="E957" s="17">
        <v>1072699</v>
      </c>
      <c r="F957" s="17">
        <v>135409</v>
      </c>
      <c r="G957" s="18">
        <v>1.1444686276392579</v>
      </c>
      <c r="H957" s="10">
        <v>2025</v>
      </c>
    </row>
    <row r="958" spans="1:8" hidden="1" x14ac:dyDescent="0.3">
      <c r="A958" s="4" t="s">
        <v>253</v>
      </c>
      <c r="B958" s="16" t="s">
        <v>187</v>
      </c>
      <c r="C958" s="15">
        <v>8</v>
      </c>
      <c r="D958" s="17">
        <v>937290</v>
      </c>
      <c r="E958" s="17">
        <v>963629</v>
      </c>
      <c r="F958" s="17">
        <v>26339</v>
      </c>
      <c r="G958" s="18">
        <v>1.0281012280084072</v>
      </c>
      <c r="H958" s="10">
        <v>2025</v>
      </c>
    </row>
    <row r="959" spans="1:8" hidden="1" x14ac:dyDescent="0.3">
      <c r="A959" s="4" t="s">
        <v>253</v>
      </c>
      <c r="B959" s="16" t="s">
        <v>187</v>
      </c>
      <c r="C959" s="15">
        <v>9</v>
      </c>
      <c r="D959" s="17">
        <v>937290</v>
      </c>
      <c r="E959" s="17">
        <v>934454</v>
      </c>
      <c r="F959" s="17">
        <v>-2836</v>
      </c>
      <c r="G959" s="18">
        <v>0.99697425556658026</v>
      </c>
      <c r="H959" s="10">
        <v>2025</v>
      </c>
    </row>
    <row r="960" spans="1:8" hidden="1" x14ac:dyDescent="0.3">
      <c r="A960" s="4" t="s">
        <v>253</v>
      </c>
      <c r="B960" s="16" t="s">
        <v>187</v>
      </c>
      <c r="C960" s="15">
        <v>10</v>
      </c>
      <c r="D960" s="17">
        <v>937290</v>
      </c>
      <c r="E960" s="17">
        <v>865679</v>
      </c>
      <c r="F960" s="17">
        <v>-71611</v>
      </c>
      <c r="G960" s="18">
        <v>0.92359781924484419</v>
      </c>
      <c r="H960" s="10">
        <v>2025</v>
      </c>
    </row>
    <row r="961" spans="1:8" hidden="1" x14ac:dyDescent="0.3">
      <c r="A961" s="4" t="s">
        <v>253</v>
      </c>
      <c r="B961" s="16" t="s">
        <v>188</v>
      </c>
      <c r="C961" s="15">
        <v>1</v>
      </c>
      <c r="D961" s="17">
        <v>700610</v>
      </c>
      <c r="E961" s="17">
        <v>27032</v>
      </c>
      <c r="F961" s="17">
        <v>-673578</v>
      </c>
      <c r="G961" s="18">
        <v>3.85835200753629E-2</v>
      </c>
      <c r="H961" s="10">
        <v>2025</v>
      </c>
    </row>
    <row r="962" spans="1:8" hidden="1" x14ac:dyDescent="0.3">
      <c r="A962" s="4" t="s">
        <v>253</v>
      </c>
      <c r="B962" s="16" t="s">
        <v>188</v>
      </c>
      <c r="C962" s="15">
        <v>3</v>
      </c>
      <c r="D962" s="17">
        <v>664189</v>
      </c>
      <c r="E962" s="17">
        <v>0</v>
      </c>
      <c r="F962" s="17">
        <v>-664189</v>
      </c>
      <c r="G962" s="18">
        <v>0</v>
      </c>
      <c r="H962" s="10">
        <v>2025</v>
      </c>
    </row>
    <row r="963" spans="1:8" hidden="1" x14ac:dyDescent="0.3">
      <c r="A963" s="4" t="s">
        <v>253</v>
      </c>
      <c r="B963" s="16" t="s">
        <v>188</v>
      </c>
      <c r="C963" s="15">
        <v>4</v>
      </c>
      <c r="D963" s="17">
        <v>0</v>
      </c>
      <c r="E963" s="17">
        <v>243082</v>
      </c>
      <c r="F963" s="17">
        <v>243082</v>
      </c>
      <c r="G963" s="18">
        <v>0</v>
      </c>
      <c r="H963" s="10">
        <v>2025</v>
      </c>
    </row>
    <row r="964" spans="1:8" hidden="1" x14ac:dyDescent="0.3">
      <c r="A964" s="4" t="s">
        <v>253</v>
      </c>
      <c r="B964" s="16" t="s">
        <v>188</v>
      </c>
      <c r="C964" s="15">
        <v>5</v>
      </c>
      <c r="D964" s="17">
        <v>0</v>
      </c>
      <c r="E964" s="17">
        <v>686753</v>
      </c>
      <c r="F964" s="17">
        <v>686753</v>
      </c>
      <c r="G964" s="18">
        <v>0</v>
      </c>
      <c r="H964" s="10">
        <v>2025</v>
      </c>
    </row>
    <row r="965" spans="1:8" hidden="1" x14ac:dyDescent="0.3">
      <c r="A965" s="4" t="s">
        <v>253</v>
      </c>
      <c r="B965" s="16" t="s">
        <v>188</v>
      </c>
      <c r="C965" s="15">
        <v>6</v>
      </c>
      <c r="D965" s="17">
        <v>141965</v>
      </c>
      <c r="E965" s="17">
        <v>0</v>
      </c>
      <c r="F965" s="17">
        <v>-141965</v>
      </c>
      <c r="G965" s="18">
        <v>0</v>
      </c>
      <c r="H965" s="10">
        <v>2025</v>
      </c>
    </row>
    <row r="966" spans="1:8" hidden="1" x14ac:dyDescent="0.3">
      <c r="A966" s="4" t="s">
        <v>253</v>
      </c>
      <c r="B966" s="16" t="s">
        <v>188</v>
      </c>
      <c r="C966" s="15">
        <v>10</v>
      </c>
      <c r="D966" s="17">
        <v>0</v>
      </c>
      <c r="E966" s="17">
        <v>86345</v>
      </c>
      <c r="F966" s="17">
        <v>86345</v>
      </c>
      <c r="G966" s="18">
        <v>0</v>
      </c>
      <c r="H966" s="10">
        <v>2025</v>
      </c>
    </row>
    <row r="967" spans="1:8" hidden="1" x14ac:dyDescent="0.3">
      <c r="A967" s="4" t="s">
        <v>253</v>
      </c>
      <c r="B967" s="16" t="s">
        <v>189</v>
      </c>
      <c r="C967" s="15">
        <v>1</v>
      </c>
      <c r="D967" s="17">
        <v>79601</v>
      </c>
      <c r="E967" s="17">
        <v>0</v>
      </c>
      <c r="F967" s="17">
        <v>-79601</v>
      </c>
      <c r="G967" s="18">
        <v>0</v>
      </c>
      <c r="H967" s="10">
        <v>2025</v>
      </c>
    </row>
    <row r="968" spans="1:8" hidden="1" x14ac:dyDescent="0.3">
      <c r="A968" s="4" t="s">
        <v>253</v>
      </c>
      <c r="B968" s="16" t="s">
        <v>189</v>
      </c>
      <c r="C968" s="15">
        <v>2</v>
      </c>
      <c r="D968" s="17">
        <v>79601</v>
      </c>
      <c r="E968" s="17">
        <v>0</v>
      </c>
      <c r="F968" s="17">
        <v>-79601</v>
      </c>
      <c r="G968" s="18">
        <v>0</v>
      </c>
      <c r="H968" s="10">
        <v>2025</v>
      </c>
    </row>
    <row r="969" spans="1:8" hidden="1" x14ac:dyDescent="0.3">
      <c r="A969" s="4" t="s">
        <v>253</v>
      </c>
      <c r="B969" s="16" t="s">
        <v>189</v>
      </c>
      <c r="C969" s="15">
        <v>3</v>
      </c>
      <c r="D969" s="17">
        <v>79601</v>
      </c>
      <c r="E969" s="17">
        <v>0</v>
      </c>
      <c r="F969" s="17">
        <v>-79601</v>
      </c>
      <c r="G969" s="18">
        <v>0</v>
      </c>
      <c r="H969" s="10">
        <v>2025</v>
      </c>
    </row>
    <row r="970" spans="1:8" hidden="1" x14ac:dyDescent="0.3">
      <c r="A970" s="4" t="s">
        <v>253</v>
      </c>
      <c r="B970" s="16" t="s">
        <v>189</v>
      </c>
      <c r="C970" s="15">
        <v>4</v>
      </c>
      <c r="D970" s="17">
        <v>79601</v>
      </c>
      <c r="E970" s="17">
        <v>0</v>
      </c>
      <c r="F970" s="17">
        <v>-79601</v>
      </c>
      <c r="G970" s="18">
        <v>0</v>
      </c>
      <c r="H970" s="10">
        <v>2025</v>
      </c>
    </row>
    <row r="971" spans="1:8" hidden="1" x14ac:dyDescent="0.3">
      <c r="A971" s="4" t="s">
        <v>253</v>
      </c>
      <c r="B971" s="16" t="s">
        <v>189</v>
      </c>
      <c r="C971" s="15">
        <v>5</v>
      </c>
      <c r="D971" s="17">
        <v>79601</v>
      </c>
      <c r="E971" s="17">
        <v>0</v>
      </c>
      <c r="F971" s="17">
        <v>-79601</v>
      </c>
      <c r="G971" s="18">
        <v>0</v>
      </c>
      <c r="H971" s="10">
        <v>2025</v>
      </c>
    </row>
    <row r="972" spans="1:8" hidden="1" x14ac:dyDescent="0.3">
      <c r="A972" s="4" t="s">
        <v>253</v>
      </c>
      <c r="B972" s="16" t="s">
        <v>189</v>
      </c>
      <c r="C972" s="15">
        <v>6</v>
      </c>
      <c r="D972" s="17">
        <v>79601</v>
      </c>
      <c r="E972" s="17">
        <v>0</v>
      </c>
      <c r="F972" s="17">
        <v>-79601</v>
      </c>
      <c r="G972" s="18">
        <v>0</v>
      </c>
      <c r="H972" s="10">
        <v>2025</v>
      </c>
    </row>
    <row r="973" spans="1:8" hidden="1" x14ac:dyDescent="0.3">
      <c r="A973" s="4" t="s">
        <v>253</v>
      </c>
      <c r="B973" s="16" t="s">
        <v>189</v>
      </c>
      <c r="C973" s="15">
        <v>7</v>
      </c>
      <c r="D973" s="17">
        <v>79601</v>
      </c>
      <c r="E973" s="17">
        <v>0</v>
      </c>
      <c r="F973" s="17">
        <v>-79601</v>
      </c>
      <c r="G973" s="18">
        <v>0</v>
      </c>
      <c r="H973" s="10">
        <v>2025</v>
      </c>
    </row>
    <row r="974" spans="1:8" hidden="1" x14ac:dyDescent="0.3">
      <c r="A974" s="4" t="s">
        <v>253</v>
      </c>
      <c r="B974" s="16" t="s">
        <v>189</v>
      </c>
      <c r="C974" s="15">
        <v>8</v>
      </c>
      <c r="D974" s="17">
        <v>79601</v>
      </c>
      <c r="E974" s="17">
        <v>0</v>
      </c>
      <c r="F974" s="17">
        <v>-79601</v>
      </c>
      <c r="G974" s="18">
        <v>0</v>
      </c>
      <c r="H974" s="10">
        <v>2025</v>
      </c>
    </row>
    <row r="975" spans="1:8" hidden="1" x14ac:dyDescent="0.3">
      <c r="A975" s="4" t="s">
        <v>253</v>
      </c>
      <c r="B975" s="16" t="s">
        <v>189</v>
      </c>
      <c r="C975" s="15">
        <v>9</v>
      </c>
      <c r="D975" s="17">
        <v>79601</v>
      </c>
      <c r="E975" s="17">
        <v>0</v>
      </c>
      <c r="F975" s="17">
        <v>-79601</v>
      </c>
      <c r="G975" s="18">
        <v>0</v>
      </c>
      <c r="H975" s="10">
        <v>2025</v>
      </c>
    </row>
    <row r="976" spans="1:8" hidden="1" x14ac:dyDescent="0.3">
      <c r="A976" s="4" t="s">
        <v>253</v>
      </c>
      <c r="B976" s="16" t="s">
        <v>189</v>
      </c>
      <c r="C976" s="15">
        <v>10</v>
      </c>
      <c r="D976" s="17">
        <v>79601</v>
      </c>
      <c r="E976" s="17">
        <v>0</v>
      </c>
      <c r="F976" s="17">
        <v>-79601</v>
      </c>
      <c r="G976" s="18">
        <v>0</v>
      </c>
      <c r="H976" s="10">
        <v>2025</v>
      </c>
    </row>
    <row r="977" spans="1:8" hidden="1" x14ac:dyDescent="0.3">
      <c r="A977" s="4" t="s">
        <v>253</v>
      </c>
      <c r="B977" s="16" t="s">
        <v>191</v>
      </c>
      <c r="C977" s="15">
        <v>7</v>
      </c>
      <c r="D977" s="17">
        <v>0</v>
      </c>
      <c r="E977" s="17">
        <v>344500</v>
      </c>
      <c r="F977" s="17">
        <v>344500</v>
      </c>
      <c r="G977" s="18">
        <v>0</v>
      </c>
      <c r="H977" s="10">
        <v>2025</v>
      </c>
    </row>
    <row r="978" spans="1:8" hidden="1" x14ac:dyDescent="0.3">
      <c r="A978" s="4" t="s">
        <v>253</v>
      </c>
      <c r="B978" s="16" t="s">
        <v>192</v>
      </c>
      <c r="C978" s="15">
        <v>1</v>
      </c>
      <c r="D978" s="17">
        <v>320387</v>
      </c>
      <c r="E978" s="17">
        <v>307300</v>
      </c>
      <c r="F978" s="17">
        <v>-13087</v>
      </c>
      <c r="G978" s="18">
        <v>0.95915252491518077</v>
      </c>
      <c r="H978" s="10">
        <v>2025</v>
      </c>
    </row>
    <row r="979" spans="1:8" hidden="1" x14ac:dyDescent="0.3">
      <c r="A979" s="4" t="s">
        <v>253</v>
      </c>
      <c r="B979" s="16" t="s">
        <v>192</v>
      </c>
      <c r="C979" s="15">
        <v>2</v>
      </c>
      <c r="D979" s="17">
        <v>370560</v>
      </c>
      <c r="E979" s="17">
        <v>360100</v>
      </c>
      <c r="F979" s="17">
        <v>-10460</v>
      </c>
      <c r="G979" s="18">
        <v>0.97177245250431787</v>
      </c>
      <c r="H979" s="10">
        <v>2025</v>
      </c>
    </row>
    <row r="980" spans="1:8" hidden="1" x14ac:dyDescent="0.3">
      <c r="A980" s="4" t="s">
        <v>253</v>
      </c>
      <c r="B980" s="16" t="s">
        <v>192</v>
      </c>
      <c r="C980" s="15">
        <v>3</v>
      </c>
      <c r="D980" s="17">
        <v>532016</v>
      </c>
      <c r="E980" s="17">
        <v>568400</v>
      </c>
      <c r="F980" s="17">
        <v>36384</v>
      </c>
      <c r="G980" s="18">
        <v>1.0683889206339658</v>
      </c>
      <c r="H980" s="10">
        <v>2025</v>
      </c>
    </row>
    <row r="981" spans="1:8" hidden="1" x14ac:dyDescent="0.3">
      <c r="A981" s="4" t="s">
        <v>253</v>
      </c>
      <c r="B981" s="16" t="s">
        <v>192</v>
      </c>
      <c r="C981" s="15">
        <v>4</v>
      </c>
      <c r="D981" s="17">
        <v>585210</v>
      </c>
      <c r="E981" s="17">
        <v>545100</v>
      </c>
      <c r="F981" s="17">
        <v>-40110</v>
      </c>
      <c r="G981" s="18">
        <v>0.93146050135848668</v>
      </c>
      <c r="H981" s="10">
        <v>2025</v>
      </c>
    </row>
    <row r="982" spans="1:8" hidden="1" x14ac:dyDescent="0.3">
      <c r="A982" s="4" t="s">
        <v>253</v>
      </c>
      <c r="B982" s="16" t="s">
        <v>192</v>
      </c>
      <c r="C982" s="15">
        <v>5</v>
      </c>
      <c r="D982" s="17">
        <v>593688</v>
      </c>
      <c r="E982" s="17">
        <v>646700</v>
      </c>
      <c r="F982" s="17">
        <v>53012</v>
      </c>
      <c r="G982" s="18">
        <v>1.0892926924579915</v>
      </c>
      <c r="H982" s="10">
        <v>2025</v>
      </c>
    </row>
    <row r="983" spans="1:8" hidden="1" x14ac:dyDescent="0.3">
      <c r="A983" s="4" t="s">
        <v>253</v>
      </c>
      <c r="B983" s="16" t="s">
        <v>192</v>
      </c>
      <c r="C983" s="15">
        <v>6</v>
      </c>
      <c r="D983" s="17">
        <v>594354</v>
      </c>
      <c r="E983" s="17">
        <v>590900</v>
      </c>
      <c r="F983" s="17">
        <v>-3454</v>
      </c>
      <c r="G983" s="18">
        <v>0.99418864851586763</v>
      </c>
      <c r="H983" s="10">
        <v>2025</v>
      </c>
    </row>
    <row r="984" spans="1:8" hidden="1" x14ac:dyDescent="0.3">
      <c r="A984" s="4" t="s">
        <v>253</v>
      </c>
      <c r="B984" s="16" t="s">
        <v>192</v>
      </c>
      <c r="C984" s="15">
        <v>7</v>
      </c>
      <c r="D984" s="17">
        <v>578812</v>
      </c>
      <c r="E984" s="17">
        <v>592800</v>
      </c>
      <c r="F984" s="17">
        <v>13988</v>
      </c>
      <c r="G984" s="18">
        <v>1.0241667415326565</v>
      </c>
      <c r="H984" s="10">
        <v>2025</v>
      </c>
    </row>
    <row r="985" spans="1:8" hidden="1" x14ac:dyDescent="0.3">
      <c r="A985" s="4" t="s">
        <v>253</v>
      </c>
      <c r="B985" s="16" t="s">
        <v>192</v>
      </c>
      <c r="C985" s="15">
        <v>8</v>
      </c>
      <c r="D985" s="17">
        <v>620200</v>
      </c>
      <c r="E985" s="17">
        <v>554200</v>
      </c>
      <c r="F985" s="17">
        <v>-66000</v>
      </c>
      <c r="G985" s="18">
        <v>0.89358271525314414</v>
      </c>
      <c r="H985" s="10">
        <v>2025</v>
      </c>
    </row>
    <row r="986" spans="1:8" hidden="1" x14ac:dyDescent="0.3">
      <c r="A986" s="4" t="s">
        <v>253</v>
      </c>
      <c r="B986" s="16" t="s">
        <v>192</v>
      </c>
      <c r="C986" s="15">
        <v>9</v>
      </c>
      <c r="D986" s="17">
        <v>591894</v>
      </c>
      <c r="E986" s="17">
        <v>594900</v>
      </c>
      <c r="F986" s="17">
        <v>3006</v>
      </c>
      <c r="G986" s="18">
        <v>1.0050786120487791</v>
      </c>
      <c r="H986" s="10">
        <v>2025</v>
      </c>
    </row>
    <row r="987" spans="1:8" hidden="1" x14ac:dyDescent="0.3">
      <c r="A987" s="4" t="s">
        <v>253</v>
      </c>
      <c r="B987" s="16" t="s">
        <v>192</v>
      </c>
      <c r="C987" s="15">
        <v>10</v>
      </c>
      <c r="D987" s="17">
        <v>597100</v>
      </c>
      <c r="E987" s="17">
        <v>618600</v>
      </c>
      <c r="F987" s="17">
        <v>21500</v>
      </c>
      <c r="G987" s="18">
        <v>1.0360073689499247</v>
      </c>
      <c r="H987" s="10">
        <v>2025</v>
      </c>
    </row>
    <row r="988" spans="1:8" hidden="1" x14ac:dyDescent="0.3">
      <c r="A988" s="4" t="s">
        <v>253</v>
      </c>
      <c r="B988" s="16" t="s">
        <v>193</v>
      </c>
      <c r="C988" s="15">
        <v>1</v>
      </c>
      <c r="D988" s="17">
        <v>0</v>
      </c>
      <c r="E988" s="17">
        <v>178335</v>
      </c>
      <c r="F988" s="17">
        <v>178335</v>
      </c>
      <c r="G988" s="18">
        <v>0</v>
      </c>
      <c r="H988" s="10">
        <v>2025</v>
      </c>
    </row>
    <row r="989" spans="1:8" hidden="1" x14ac:dyDescent="0.3">
      <c r="A989" s="4" t="s">
        <v>253</v>
      </c>
      <c r="B989" s="16" t="s">
        <v>193</v>
      </c>
      <c r="C989" s="15">
        <v>2</v>
      </c>
      <c r="D989" s="17">
        <v>0</v>
      </c>
      <c r="E989" s="17">
        <v>178316</v>
      </c>
      <c r="F989" s="17">
        <v>178316</v>
      </c>
      <c r="G989" s="18">
        <v>0</v>
      </c>
      <c r="H989" s="10">
        <v>2025</v>
      </c>
    </row>
    <row r="990" spans="1:8" hidden="1" x14ac:dyDescent="0.3">
      <c r="A990" s="4" t="s">
        <v>253</v>
      </c>
      <c r="B990" s="16" t="s">
        <v>193</v>
      </c>
      <c r="C990" s="15">
        <v>3</v>
      </c>
      <c r="D990" s="17">
        <v>0</v>
      </c>
      <c r="E990" s="17">
        <v>227</v>
      </c>
      <c r="F990" s="17">
        <v>227</v>
      </c>
      <c r="G990" s="18">
        <v>0</v>
      </c>
      <c r="H990" s="10">
        <v>2025</v>
      </c>
    </row>
    <row r="991" spans="1:8" hidden="1" x14ac:dyDescent="0.3">
      <c r="A991" s="4" t="s">
        <v>253</v>
      </c>
      <c r="B991" s="16" t="s">
        <v>193</v>
      </c>
      <c r="C991" s="15">
        <v>4</v>
      </c>
      <c r="D991" s="17">
        <v>0</v>
      </c>
      <c r="E991" s="17">
        <v>330</v>
      </c>
      <c r="F991" s="17">
        <v>330</v>
      </c>
      <c r="G991" s="18">
        <v>0</v>
      </c>
      <c r="H991" s="10">
        <v>2025</v>
      </c>
    </row>
    <row r="992" spans="1:8" hidden="1" x14ac:dyDescent="0.3">
      <c r="A992" s="4" t="s">
        <v>253</v>
      </c>
      <c r="B992" s="16" t="s">
        <v>193</v>
      </c>
      <c r="C992" s="15">
        <v>5</v>
      </c>
      <c r="D992" s="17">
        <v>0</v>
      </c>
      <c r="E992" s="17">
        <v>284</v>
      </c>
      <c r="F992" s="17">
        <v>284</v>
      </c>
      <c r="G992" s="18">
        <v>0</v>
      </c>
      <c r="H992" s="10">
        <v>2025</v>
      </c>
    </row>
    <row r="993" spans="1:8" hidden="1" x14ac:dyDescent="0.3">
      <c r="A993" s="4" t="s">
        <v>253</v>
      </c>
      <c r="B993" s="16" t="s">
        <v>193</v>
      </c>
      <c r="C993" s="15">
        <v>6</v>
      </c>
      <c r="D993" s="17">
        <v>0</v>
      </c>
      <c r="E993" s="17">
        <v>-15443</v>
      </c>
      <c r="F993" s="17">
        <v>-15443</v>
      </c>
      <c r="G993" s="18">
        <v>0</v>
      </c>
      <c r="H993" s="10">
        <v>2025</v>
      </c>
    </row>
    <row r="994" spans="1:8" hidden="1" x14ac:dyDescent="0.3">
      <c r="A994" s="4" t="s">
        <v>253</v>
      </c>
      <c r="B994" s="16" t="s">
        <v>193</v>
      </c>
      <c r="C994" s="15">
        <v>7</v>
      </c>
      <c r="D994" s="17">
        <v>0</v>
      </c>
      <c r="E994" s="17">
        <v>16244</v>
      </c>
      <c r="F994" s="17">
        <v>16244</v>
      </c>
      <c r="G994" s="18">
        <v>0</v>
      </c>
      <c r="H994" s="10">
        <v>2025</v>
      </c>
    </row>
    <row r="995" spans="1:8" hidden="1" x14ac:dyDescent="0.3">
      <c r="A995" s="4" t="s">
        <v>253</v>
      </c>
      <c r="B995" s="16" t="s">
        <v>193</v>
      </c>
      <c r="C995" s="15">
        <v>8</v>
      </c>
      <c r="D995" s="17">
        <v>0</v>
      </c>
      <c r="E995" s="17">
        <v>-9889</v>
      </c>
      <c r="F995" s="17">
        <v>-9889</v>
      </c>
      <c r="G995" s="18">
        <v>0</v>
      </c>
      <c r="H995" s="10">
        <v>2025</v>
      </c>
    </row>
    <row r="996" spans="1:8" hidden="1" x14ac:dyDescent="0.3">
      <c r="A996" s="4" t="s">
        <v>253</v>
      </c>
      <c r="B996" s="16" t="s">
        <v>193</v>
      </c>
      <c r="C996" s="15">
        <v>9</v>
      </c>
      <c r="D996" s="17">
        <v>0</v>
      </c>
      <c r="E996" s="17">
        <v>35400</v>
      </c>
      <c r="F996" s="17">
        <v>35400</v>
      </c>
      <c r="G996" s="18">
        <v>0</v>
      </c>
      <c r="H996" s="10">
        <v>2025</v>
      </c>
    </row>
    <row r="997" spans="1:8" hidden="1" x14ac:dyDescent="0.3">
      <c r="A997" s="4" t="s">
        <v>253</v>
      </c>
      <c r="B997" s="16" t="s">
        <v>194</v>
      </c>
      <c r="C997" s="15">
        <v>1</v>
      </c>
      <c r="D997" s="17">
        <v>1575675</v>
      </c>
      <c r="E997" s="17">
        <v>1540735</v>
      </c>
      <c r="F997" s="17">
        <v>-34940</v>
      </c>
      <c r="G997" s="18">
        <v>0.97782537642597622</v>
      </c>
      <c r="H997" s="10">
        <v>2025</v>
      </c>
    </row>
    <row r="998" spans="1:8" hidden="1" x14ac:dyDescent="0.3">
      <c r="A998" s="4" t="s">
        <v>253</v>
      </c>
      <c r="B998" s="16" t="s">
        <v>194</v>
      </c>
      <c r="C998" s="15">
        <v>2</v>
      </c>
      <c r="D998" s="17">
        <v>1822428</v>
      </c>
      <c r="E998" s="17">
        <v>1809716</v>
      </c>
      <c r="F998" s="17">
        <v>-12712</v>
      </c>
      <c r="G998" s="18">
        <v>0.99302469013865025</v>
      </c>
      <c r="H998" s="10">
        <v>2025</v>
      </c>
    </row>
    <row r="999" spans="1:8" hidden="1" x14ac:dyDescent="0.3">
      <c r="A999" s="4" t="s">
        <v>253</v>
      </c>
      <c r="B999" s="16" t="s">
        <v>194</v>
      </c>
      <c r="C999" s="15">
        <v>3</v>
      </c>
      <c r="D999" s="17">
        <v>2616472</v>
      </c>
      <c r="E999" s="17">
        <v>2798427</v>
      </c>
      <c r="F999" s="17">
        <v>181955</v>
      </c>
      <c r="G999" s="18">
        <v>1.0695421162542538</v>
      </c>
      <c r="H999" s="10">
        <v>2025</v>
      </c>
    </row>
    <row r="1000" spans="1:8" hidden="1" x14ac:dyDescent="0.3">
      <c r="A1000" s="4" t="s">
        <v>253</v>
      </c>
      <c r="B1000" s="16" t="s">
        <v>194</v>
      </c>
      <c r="C1000" s="15">
        <v>4</v>
      </c>
      <c r="D1000" s="17">
        <v>2878084</v>
      </c>
      <c r="E1000" s="17">
        <v>2805430</v>
      </c>
      <c r="F1000" s="17">
        <v>-72654</v>
      </c>
      <c r="G1000" s="18">
        <v>0.97475612247592502</v>
      </c>
      <c r="H1000" s="10">
        <v>2025</v>
      </c>
    </row>
    <row r="1001" spans="1:8" hidden="1" x14ac:dyDescent="0.3">
      <c r="A1001" s="4" t="s">
        <v>253</v>
      </c>
      <c r="B1001" s="16" t="s">
        <v>194</v>
      </c>
      <c r="C1001" s="15">
        <v>5</v>
      </c>
      <c r="D1001" s="17">
        <v>2919777</v>
      </c>
      <c r="E1001" s="17">
        <v>3184584</v>
      </c>
      <c r="F1001" s="17">
        <v>264807</v>
      </c>
      <c r="G1001" s="18">
        <v>1.0906942550749594</v>
      </c>
      <c r="H1001" s="10">
        <v>2025</v>
      </c>
    </row>
    <row r="1002" spans="1:8" hidden="1" x14ac:dyDescent="0.3">
      <c r="A1002" s="4" t="s">
        <v>253</v>
      </c>
      <c r="B1002" s="16" t="s">
        <v>194</v>
      </c>
      <c r="C1002" s="15">
        <v>6</v>
      </c>
      <c r="D1002" s="17">
        <v>2923057</v>
      </c>
      <c r="E1002" s="17">
        <v>3070557</v>
      </c>
      <c r="F1002" s="17">
        <v>147500</v>
      </c>
      <c r="G1002" s="18">
        <v>1.0504608702464577</v>
      </c>
      <c r="H1002" s="10">
        <v>2025</v>
      </c>
    </row>
    <row r="1003" spans="1:8" hidden="1" x14ac:dyDescent="0.3">
      <c r="A1003" s="4" t="s">
        <v>253</v>
      </c>
      <c r="B1003" s="16" t="s">
        <v>194</v>
      </c>
      <c r="C1003" s="15">
        <v>7</v>
      </c>
      <c r="D1003" s="17">
        <v>2846617</v>
      </c>
      <c r="E1003" s="17">
        <v>3631195</v>
      </c>
      <c r="F1003" s="17">
        <v>784578</v>
      </c>
      <c r="G1003" s="18">
        <v>1.2756176893484441</v>
      </c>
      <c r="H1003" s="10">
        <v>2025</v>
      </c>
    </row>
    <row r="1004" spans="1:8" hidden="1" x14ac:dyDescent="0.3">
      <c r="A1004" s="4" t="s">
        <v>253</v>
      </c>
      <c r="B1004" s="16" t="s">
        <v>194</v>
      </c>
      <c r="C1004" s="15">
        <v>8</v>
      </c>
      <c r="D1004" s="17">
        <v>3050165</v>
      </c>
      <c r="E1004" s="17">
        <v>3104111</v>
      </c>
      <c r="F1004" s="17">
        <v>53946</v>
      </c>
      <c r="G1004" s="18">
        <v>1.0176862563172813</v>
      </c>
      <c r="H1004" s="10">
        <v>2025</v>
      </c>
    </row>
    <row r="1005" spans="1:8" hidden="1" x14ac:dyDescent="0.3">
      <c r="A1005" s="4" t="s">
        <v>253</v>
      </c>
      <c r="B1005" s="16" t="s">
        <v>194</v>
      </c>
      <c r="C1005" s="15">
        <v>9</v>
      </c>
      <c r="D1005" s="17">
        <v>2910958</v>
      </c>
      <c r="E1005" s="17">
        <v>3147500</v>
      </c>
      <c r="F1005" s="17">
        <v>236542</v>
      </c>
      <c r="G1005" s="18">
        <v>1.0812591593557861</v>
      </c>
      <c r="H1005" s="10">
        <v>2025</v>
      </c>
    </row>
    <row r="1006" spans="1:8" hidden="1" x14ac:dyDescent="0.3">
      <c r="A1006" s="4" t="s">
        <v>253</v>
      </c>
      <c r="B1006" s="16" t="s">
        <v>194</v>
      </c>
      <c r="C1006" s="15">
        <v>10</v>
      </c>
      <c r="D1006" s="17">
        <v>2936559</v>
      </c>
      <c r="E1006" s="17">
        <v>3057900</v>
      </c>
      <c r="F1006" s="17">
        <v>121341</v>
      </c>
      <c r="G1006" s="18">
        <v>1.0413208111943264</v>
      </c>
      <c r="H1006" s="10">
        <v>2025</v>
      </c>
    </row>
    <row r="1007" spans="1:8" hidden="1" x14ac:dyDescent="0.3">
      <c r="A1007" s="4" t="s">
        <v>253</v>
      </c>
      <c r="B1007" s="16" t="s">
        <v>195</v>
      </c>
      <c r="C1007" s="15">
        <v>1</v>
      </c>
      <c r="D1007" s="17">
        <v>525225</v>
      </c>
      <c r="E1007" s="17">
        <v>504500</v>
      </c>
      <c r="F1007" s="17">
        <v>-20725</v>
      </c>
      <c r="G1007" s="18">
        <v>0.9605407206435338</v>
      </c>
      <c r="H1007" s="10">
        <v>2025</v>
      </c>
    </row>
    <row r="1008" spans="1:8" hidden="1" x14ac:dyDescent="0.3">
      <c r="A1008" s="4" t="s">
        <v>253</v>
      </c>
      <c r="B1008" s="16" t="s">
        <v>195</v>
      </c>
      <c r="C1008" s="15">
        <v>2</v>
      </c>
      <c r="D1008" s="17">
        <v>607476</v>
      </c>
      <c r="E1008" s="17">
        <v>603500</v>
      </c>
      <c r="F1008" s="17">
        <v>-3976</v>
      </c>
      <c r="G1008" s="18">
        <v>0.99345488546049565</v>
      </c>
      <c r="H1008" s="10">
        <v>2025</v>
      </c>
    </row>
    <row r="1009" spans="1:8" hidden="1" x14ac:dyDescent="0.3">
      <c r="A1009" s="4" t="s">
        <v>253</v>
      </c>
      <c r="B1009" s="16" t="s">
        <v>195</v>
      </c>
      <c r="C1009" s="15">
        <v>3</v>
      </c>
      <c r="D1009" s="17">
        <v>872157</v>
      </c>
      <c r="E1009" s="17">
        <v>933000</v>
      </c>
      <c r="F1009" s="17">
        <v>60843</v>
      </c>
      <c r="G1009" s="18">
        <v>1.0697615222947245</v>
      </c>
      <c r="H1009" s="10">
        <v>2025</v>
      </c>
    </row>
    <row r="1010" spans="1:8" hidden="1" x14ac:dyDescent="0.3">
      <c r="A1010" s="4" t="s">
        <v>253</v>
      </c>
      <c r="B1010" s="16" t="s">
        <v>195</v>
      </c>
      <c r="C1010" s="15">
        <v>4</v>
      </c>
      <c r="D1010" s="17">
        <v>959361</v>
      </c>
      <c r="E1010" s="17">
        <v>898900</v>
      </c>
      <c r="F1010" s="17">
        <v>-60461</v>
      </c>
      <c r="G1010" s="18">
        <v>0.93697784254310945</v>
      </c>
      <c r="H1010" s="10">
        <v>2025</v>
      </c>
    </row>
    <row r="1011" spans="1:8" hidden="1" x14ac:dyDescent="0.3">
      <c r="A1011" s="4" t="s">
        <v>253</v>
      </c>
      <c r="B1011" s="16" t="s">
        <v>195</v>
      </c>
      <c r="C1011" s="15">
        <v>5</v>
      </c>
      <c r="D1011" s="17">
        <v>973259</v>
      </c>
      <c r="E1011" s="17">
        <v>1061700</v>
      </c>
      <c r="F1011" s="17">
        <v>88441</v>
      </c>
      <c r="G1011" s="18">
        <v>1.0908709809002537</v>
      </c>
      <c r="H1011" s="10">
        <v>2025</v>
      </c>
    </row>
    <row r="1012" spans="1:8" hidden="1" x14ac:dyDescent="0.3">
      <c r="A1012" s="4" t="s">
        <v>253</v>
      </c>
      <c r="B1012" s="16" t="s">
        <v>195</v>
      </c>
      <c r="C1012" s="15">
        <v>6</v>
      </c>
      <c r="D1012" s="17">
        <v>974352</v>
      </c>
      <c r="E1012" s="17">
        <v>1029000</v>
      </c>
      <c r="F1012" s="17">
        <v>54648</v>
      </c>
      <c r="G1012" s="18">
        <v>1.0560865067244691</v>
      </c>
      <c r="H1012" s="10">
        <v>2025</v>
      </c>
    </row>
    <row r="1013" spans="1:8" hidden="1" x14ac:dyDescent="0.3">
      <c r="A1013" s="4" t="s">
        <v>253</v>
      </c>
      <c r="B1013" s="16" t="s">
        <v>195</v>
      </c>
      <c r="C1013" s="15">
        <v>7</v>
      </c>
      <c r="D1013" s="17">
        <v>948872</v>
      </c>
      <c r="E1013" s="17">
        <v>1196000</v>
      </c>
      <c r="F1013" s="17">
        <v>247128</v>
      </c>
      <c r="G1013" s="18">
        <v>1.2604439797991722</v>
      </c>
      <c r="H1013" s="10">
        <v>2025</v>
      </c>
    </row>
    <row r="1014" spans="1:8" hidden="1" x14ac:dyDescent="0.3">
      <c r="A1014" s="4" t="s">
        <v>253</v>
      </c>
      <c r="B1014" s="16" t="s">
        <v>195</v>
      </c>
      <c r="C1014" s="15">
        <v>8</v>
      </c>
      <c r="D1014" s="17">
        <v>1016721</v>
      </c>
      <c r="E1014" s="17">
        <v>996900</v>
      </c>
      <c r="F1014" s="17">
        <v>-19821</v>
      </c>
      <c r="G1014" s="18">
        <v>0.98050497629143107</v>
      </c>
      <c r="H1014" s="10">
        <v>2025</v>
      </c>
    </row>
    <row r="1015" spans="1:8" hidden="1" x14ac:dyDescent="0.3">
      <c r="A1015" s="4" t="s">
        <v>253</v>
      </c>
      <c r="B1015" s="16" t="s">
        <v>195</v>
      </c>
      <c r="C1015" s="15">
        <v>9</v>
      </c>
      <c r="D1015" s="17">
        <v>970319</v>
      </c>
      <c r="E1015" s="17">
        <v>1038300</v>
      </c>
      <c r="F1015" s="17">
        <v>67981</v>
      </c>
      <c r="G1015" s="18">
        <v>1.0700604646513157</v>
      </c>
      <c r="H1015" s="10">
        <v>2025</v>
      </c>
    </row>
    <row r="1016" spans="1:8" hidden="1" x14ac:dyDescent="0.3">
      <c r="A1016" s="4" t="s">
        <v>253</v>
      </c>
      <c r="B1016" s="16" t="s">
        <v>195</v>
      </c>
      <c r="C1016" s="15">
        <v>10</v>
      </c>
      <c r="D1016" s="17">
        <v>978853</v>
      </c>
      <c r="E1016" s="17">
        <v>1014900</v>
      </c>
      <c r="F1016" s="17">
        <v>36047</v>
      </c>
      <c r="G1016" s="18">
        <v>1.0368257542245873</v>
      </c>
      <c r="H1016" s="10">
        <v>2025</v>
      </c>
    </row>
    <row r="1017" spans="1:8" hidden="1" x14ac:dyDescent="0.3">
      <c r="A1017" s="4" t="s">
        <v>253</v>
      </c>
      <c r="B1017" s="16" t="s">
        <v>198</v>
      </c>
      <c r="C1017" s="15">
        <v>1</v>
      </c>
      <c r="D1017" s="17">
        <v>0</v>
      </c>
      <c r="E1017" s="17">
        <v>61553</v>
      </c>
      <c r="F1017" s="17">
        <v>61553</v>
      </c>
      <c r="G1017" s="18">
        <v>0</v>
      </c>
      <c r="H1017" s="10">
        <v>2025</v>
      </c>
    </row>
    <row r="1018" spans="1:8" hidden="1" x14ac:dyDescent="0.3">
      <c r="A1018" s="4" t="s">
        <v>253</v>
      </c>
      <c r="B1018" s="16" t="s">
        <v>198</v>
      </c>
      <c r="C1018" s="15">
        <v>3</v>
      </c>
      <c r="D1018" s="17">
        <v>0</v>
      </c>
      <c r="E1018" s="17">
        <v>81469</v>
      </c>
      <c r="F1018" s="17">
        <v>81469</v>
      </c>
      <c r="G1018" s="18">
        <v>0</v>
      </c>
      <c r="H1018" s="10">
        <v>2025</v>
      </c>
    </row>
    <row r="1019" spans="1:8" hidden="1" x14ac:dyDescent="0.3">
      <c r="A1019" s="4" t="s">
        <v>253</v>
      </c>
      <c r="B1019" s="16" t="s">
        <v>198</v>
      </c>
      <c r="C1019" s="15">
        <v>4</v>
      </c>
      <c r="D1019" s="17">
        <v>0</v>
      </c>
      <c r="E1019" s="17">
        <v>156705</v>
      </c>
      <c r="F1019" s="17">
        <v>156705</v>
      </c>
      <c r="G1019" s="18">
        <v>0</v>
      </c>
      <c r="H1019" s="10">
        <v>2025</v>
      </c>
    </row>
    <row r="1020" spans="1:8" hidden="1" x14ac:dyDescent="0.3">
      <c r="A1020" s="4" t="s">
        <v>253</v>
      </c>
      <c r="B1020" s="16" t="s">
        <v>198</v>
      </c>
      <c r="C1020" s="15">
        <v>6</v>
      </c>
      <c r="D1020" s="17">
        <v>0</v>
      </c>
      <c r="E1020" s="17">
        <v>95482</v>
      </c>
      <c r="F1020" s="17">
        <v>95482</v>
      </c>
      <c r="G1020" s="18">
        <v>0</v>
      </c>
      <c r="H1020" s="10">
        <v>2025</v>
      </c>
    </row>
    <row r="1021" spans="1:8" hidden="1" x14ac:dyDescent="0.3">
      <c r="A1021" s="4" t="s">
        <v>253</v>
      </c>
      <c r="B1021" s="16" t="s">
        <v>198</v>
      </c>
      <c r="C1021" s="15">
        <v>8</v>
      </c>
      <c r="D1021" s="17">
        <v>0</v>
      </c>
      <c r="E1021" s="17">
        <v>243505</v>
      </c>
      <c r="F1021" s="17">
        <v>243505</v>
      </c>
      <c r="G1021" s="18">
        <v>0</v>
      </c>
      <c r="H1021" s="10">
        <v>2025</v>
      </c>
    </row>
    <row r="1022" spans="1:8" hidden="1" x14ac:dyDescent="0.3">
      <c r="A1022" s="4" t="s">
        <v>253</v>
      </c>
      <c r="B1022" s="16" t="s">
        <v>198</v>
      </c>
      <c r="C1022" s="15">
        <v>10</v>
      </c>
      <c r="D1022" s="17">
        <v>0</v>
      </c>
      <c r="E1022" s="17">
        <v>232558</v>
      </c>
      <c r="F1022" s="17">
        <v>232558</v>
      </c>
      <c r="G1022" s="18">
        <v>0</v>
      </c>
      <c r="H1022" s="10">
        <v>2025</v>
      </c>
    </row>
    <row r="1023" spans="1:8" hidden="1" x14ac:dyDescent="0.3">
      <c r="A1023" s="4" t="s">
        <v>253</v>
      </c>
      <c r="B1023" s="16" t="s">
        <v>199</v>
      </c>
      <c r="C1023" s="15">
        <v>1</v>
      </c>
      <c r="D1023" s="17">
        <v>42168</v>
      </c>
      <c r="E1023" s="17">
        <v>0</v>
      </c>
      <c r="F1023" s="17">
        <v>-42168</v>
      </c>
      <c r="G1023" s="18">
        <v>0</v>
      </c>
      <c r="H1023" s="10">
        <v>2025</v>
      </c>
    </row>
    <row r="1024" spans="1:8" hidden="1" x14ac:dyDescent="0.3">
      <c r="A1024" s="4" t="s">
        <v>253</v>
      </c>
      <c r="B1024" s="16" t="s">
        <v>199</v>
      </c>
      <c r="C1024" s="15">
        <v>2</v>
      </c>
      <c r="D1024" s="17">
        <v>42168</v>
      </c>
      <c r="E1024" s="17">
        <v>64300</v>
      </c>
      <c r="F1024" s="17">
        <v>22132</v>
      </c>
      <c r="G1024" s="18">
        <v>1.5248529690760768</v>
      </c>
      <c r="H1024" s="10">
        <v>2025</v>
      </c>
    </row>
    <row r="1025" spans="1:8" hidden="1" x14ac:dyDescent="0.3">
      <c r="A1025" s="4" t="s">
        <v>253</v>
      </c>
      <c r="B1025" s="16" t="s">
        <v>199</v>
      </c>
      <c r="C1025" s="15">
        <v>3</v>
      </c>
      <c r="D1025" s="17">
        <v>42168</v>
      </c>
      <c r="E1025" s="17">
        <v>98200</v>
      </c>
      <c r="F1025" s="17">
        <v>56032</v>
      </c>
      <c r="G1025" s="18">
        <v>2.3287801176247394</v>
      </c>
      <c r="H1025" s="10">
        <v>2025</v>
      </c>
    </row>
    <row r="1026" spans="1:8" hidden="1" x14ac:dyDescent="0.3">
      <c r="A1026" s="4" t="s">
        <v>253</v>
      </c>
      <c r="B1026" s="16" t="s">
        <v>199</v>
      </c>
      <c r="C1026" s="15">
        <v>4</v>
      </c>
      <c r="D1026" s="17">
        <v>42168</v>
      </c>
      <c r="E1026" s="17">
        <v>0</v>
      </c>
      <c r="F1026" s="17">
        <v>-42168</v>
      </c>
      <c r="G1026" s="18">
        <v>0</v>
      </c>
      <c r="H1026" s="10">
        <v>2025</v>
      </c>
    </row>
    <row r="1027" spans="1:8" hidden="1" x14ac:dyDescent="0.3">
      <c r="A1027" s="4" t="s">
        <v>253</v>
      </c>
      <c r="B1027" s="16" t="s">
        <v>199</v>
      </c>
      <c r="C1027" s="15">
        <v>5</v>
      </c>
      <c r="D1027" s="17">
        <v>42168</v>
      </c>
      <c r="E1027" s="17">
        <v>0</v>
      </c>
      <c r="F1027" s="17">
        <v>-42168</v>
      </c>
      <c r="G1027" s="18">
        <v>0</v>
      </c>
      <c r="H1027" s="10">
        <v>2025</v>
      </c>
    </row>
    <row r="1028" spans="1:8" hidden="1" x14ac:dyDescent="0.3">
      <c r="A1028" s="4" t="s">
        <v>253</v>
      </c>
      <c r="B1028" s="16" t="s">
        <v>199</v>
      </c>
      <c r="C1028" s="15">
        <v>6</v>
      </c>
      <c r="D1028" s="17">
        <v>112168</v>
      </c>
      <c r="E1028" s="17">
        <v>0</v>
      </c>
      <c r="F1028" s="17">
        <v>-112168</v>
      </c>
      <c r="G1028" s="18">
        <v>0</v>
      </c>
      <c r="H1028" s="10">
        <v>2025</v>
      </c>
    </row>
    <row r="1029" spans="1:8" hidden="1" x14ac:dyDescent="0.3">
      <c r="A1029" s="4" t="s">
        <v>253</v>
      </c>
      <c r="B1029" s="16" t="s">
        <v>199</v>
      </c>
      <c r="C1029" s="15">
        <v>7</v>
      </c>
      <c r="D1029" s="17">
        <v>42168</v>
      </c>
      <c r="E1029" s="17">
        <v>0</v>
      </c>
      <c r="F1029" s="17">
        <v>-42168</v>
      </c>
      <c r="G1029" s="18">
        <v>0</v>
      </c>
      <c r="H1029" s="10">
        <v>2025</v>
      </c>
    </row>
    <row r="1030" spans="1:8" hidden="1" x14ac:dyDescent="0.3">
      <c r="A1030" s="4" t="s">
        <v>253</v>
      </c>
      <c r="B1030" s="16" t="s">
        <v>199</v>
      </c>
      <c r="C1030" s="15">
        <v>8</v>
      </c>
      <c r="D1030" s="17">
        <v>42168</v>
      </c>
      <c r="E1030" s="17">
        <v>0</v>
      </c>
      <c r="F1030" s="17">
        <v>-42168</v>
      </c>
      <c r="G1030" s="18">
        <v>0</v>
      </c>
      <c r="H1030" s="10">
        <v>2025</v>
      </c>
    </row>
    <row r="1031" spans="1:8" hidden="1" x14ac:dyDescent="0.3">
      <c r="A1031" s="4" t="s">
        <v>253</v>
      </c>
      <c r="B1031" s="16" t="s">
        <v>199</v>
      </c>
      <c r="C1031" s="15">
        <v>9</v>
      </c>
      <c r="D1031" s="17">
        <v>42168</v>
      </c>
      <c r="E1031" s="17">
        <v>0</v>
      </c>
      <c r="F1031" s="17">
        <v>-42168</v>
      </c>
      <c r="G1031" s="18">
        <v>0</v>
      </c>
      <c r="H1031" s="10">
        <v>2025</v>
      </c>
    </row>
    <row r="1032" spans="1:8" hidden="1" x14ac:dyDescent="0.3">
      <c r="A1032" s="4" t="s">
        <v>253</v>
      </c>
      <c r="B1032" s="16" t="s">
        <v>199</v>
      </c>
      <c r="C1032" s="15">
        <v>10</v>
      </c>
      <c r="D1032" s="17">
        <v>42168</v>
      </c>
      <c r="E1032" s="17">
        <v>102200</v>
      </c>
      <c r="F1032" s="17">
        <v>60032</v>
      </c>
      <c r="G1032" s="18">
        <v>2.4236387782204516</v>
      </c>
      <c r="H1032" s="10">
        <v>2025</v>
      </c>
    </row>
    <row r="1033" spans="1:8" hidden="1" x14ac:dyDescent="0.3">
      <c r="A1033" s="4" t="s">
        <v>253</v>
      </c>
      <c r="B1033" s="16" t="s">
        <v>200</v>
      </c>
      <c r="C1033" s="15">
        <v>1</v>
      </c>
      <c r="D1033" s="17">
        <v>9698650</v>
      </c>
      <c r="E1033" s="17">
        <v>9824550</v>
      </c>
      <c r="F1033" s="17">
        <v>125900</v>
      </c>
      <c r="G1033" s="18">
        <v>1.0129811881034989</v>
      </c>
      <c r="H1033" s="10">
        <v>2025</v>
      </c>
    </row>
    <row r="1034" spans="1:8" hidden="1" x14ac:dyDescent="0.3">
      <c r="A1034" s="4" t="s">
        <v>253</v>
      </c>
      <c r="B1034" s="16" t="s">
        <v>200</v>
      </c>
      <c r="C1034" s="15">
        <v>2</v>
      </c>
      <c r="D1034" s="17">
        <v>9698650</v>
      </c>
      <c r="E1034" s="17">
        <v>9597050</v>
      </c>
      <c r="F1034" s="17">
        <v>-101600</v>
      </c>
      <c r="G1034" s="18">
        <v>0.98952431523974993</v>
      </c>
      <c r="H1034" s="10">
        <v>2025</v>
      </c>
    </row>
    <row r="1035" spans="1:8" hidden="1" x14ac:dyDescent="0.3">
      <c r="A1035" s="4" t="s">
        <v>253</v>
      </c>
      <c r="B1035" s="16" t="s">
        <v>200</v>
      </c>
      <c r="C1035" s="15">
        <v>3</v>
      </c>
      <c r="D1035" s="17">
        <v>0</v>
      </c>
      <c r="E1035" s="17">
        <v>320021</v>
      </c>
      <c r="F1035" s="17">
        <v>320021</v>
      </c>
      <c r="G1035" s="18">
        <v>0</v>
      </c>
      <c r="H1035" s="10">
        <v>2025</v>
      </c>
    </row>
    <row r="1036" spans="1:8" hidden="1" x14ac:dyDescent="0.3">
      <c r="A1036" s="4" t="s">
        <v>253</v>
      </c>
      <c r="B1036" s="16" t="s">
        <v>200</v>
      </c>
      <c r="C1036" s="15">
        <v>10</v>
      </c>
      <c r="D1036" s="17">
        <v>0</v>
      </c>
      <c r="E1036" s="17">
        <v>3609135</v>
      </c>
      <c r="F1036" s="17">
        <v>3609135</v>
      </c>
      <c r="G1036" s="18">
        <v>0</v>
      </c>
      <c r="H1036" s="10">
        <v>2025</v>
      </c>
    </row>
    <row r="1037" spans="1:8" hidden="1" x14ac:dyDescent="0.3">
      <c r="A1037" s="4" t="s">
        <v>253</v>
      </c>
      <c r="B1037" s="16" t="s">
        <v>201</v>
      </c>
      <c r="C1037" s="15">
        <v>1</v>
      </c>
      <c r="D1037" s="17">
        <v>3250000</v>
      </c>
      <c r="E1037" s="17">
        <v>3250000</v>
      </c>
      <c r="F1037" s="17">
        <v>0</v>
      </c>
      <c r="G1037" s="18">
        <v>1</v>
      </c>
      <c r="H1037" s="10">
        <v>2025</v>
      </c>
    </row>
    <row r="1038" spans="1:8" hidden="1" x14ac:dyDescent="0.3">
      <c r="A1038" s="4" t="s">
        <v>253</v>
      </c>
      <c r="B1038" s="16" t="s">
        <v>201</v>
      </c>
      <c r="C1038" s="15">
        <v>2</v>
      </c>
      <c r="D1038" s="17">
        <v>886600</v>
      </c>
      <c r="E1038" s="17">
        <v>886600</v>
      </c>
      <c r="F1038" s="17">
        <v>0</v>
      </c>
      <c r="G1038" s="18">
        <v>1</v>
      </c>
      <c r="H1038" s="10">
        <v>2025</v>
      </c>
    </row>
    <row r="1039" spans="1:8" hidden="1" x14ac:dyDescent="0.3">
      <c r="A1039" s="4" t="s">
        <v>253</v>
      </c>
      <c r="B1039" s="16" t="s">
        <v>201</v>
      </c>
      <c r="C1039" s="15">
        <v>10</v>
      </c>
      <c r="D1039" s="17">
        <v>0</v>
      </c>
      <c r="E1039" s="17">
        <v>262570</v>
      </c>
      <c r="F1039" s="17">
        <v>262570</v>
      </c>
      <c r="G1039" s="18">
        <v>0</v>
      </c>
      <c r="H1039" s="10">
        <v>2025</v>
      </c>
    </row>
    <row r="1040" spans="1:8" hidden="1" x14ac:dyDescent="0.3">
      <c r="A1040" s="4" t="s">
        <v>253</v>
      </c>
      <c r="B1040" s="16" t="s">
        <v>202</v>
      </c>
      <c r="C1040" s="15">
        <v>1</v>
      </c>
      <c r="D1040" s="17">
        <v>271050</v>
      </c>
      <c r="E1040" s="17">
        <v>271050</v>
      </c>
      <c r="F1040" s="17">
        <v>0</v>
      </c>
      <c r="G1040" s="18">
        <v>1</v>
      </c>
      <c r="H1040" s="10">
        <v>2025</v>
      </c>
    </row>
    <row r="1041" spans="1:8" hidden="1" x14ac:dyDescent="0.3">
      <c r="A1041" s="4" t="s">
        <v>253</v>
      </c>
      <c r="B1041" s="16" t="s">
        <v>202</v>
      </c>
      <c r="C1041" s="15">
        <v>2</v>
      </c>
      <c r="D1041" s="17">
        <v>271050</v>
      </c>
      <c r="E1041" s="17">
        <v>271050</v>
      </c>
      <c r="F1041" s="17">
        <v>0</v>
      </c>
      <c r="G1041" s="18">
        <v>1</v>
      </c>
      <c r="H1041" s="10">
        <v>2025</v>
      </c>
    </row>
    <row r="1042" spans="1:8" hidden="1" x14ac:dyDescent="0.3">
      <c r="A1042" s="4" t="s">
        <v>253</v>
      </c>
      <c r="B1042" s="16" t="s">
        <v>202</v>
      </c>
      <c r="C1042" s="15">
        <v>10</v>
      </c>
      <c r="D1042" s="17">
        <v>0</v>
      </c>
      <c r="E1042" s="17">
        <v>80272</v>
      </c>
      <c r="F1042" s="17">
        <v>80272</v>
      </c>
      <c r="G1042" s="18">
        <v>0</v>
      </c>
      <c r="H1042" s="10">
        <v>2025</v>
      </c>
    </row>
    <row r="1043" spans="1:8" hidden="1" x14ac:dyDescent="0.3">
      <c r="A1043" s="4" t="s">
        <v>253</v>
      </c>
      <c r="B1043" s="16" t="s">
        <v>181</v>
      </c>
      <c r="C1043" s="15">
        <v>11</v>
      </c>
      <c r="D1043" s="17">
        <v>2112540</v>
      </c>
      <c r="E1043" s="17">
        <v>2077395</v>
      </c>
      <c r="F1043" s="17">
        <v>-35145</v>
      </c>
      <c r="G1043" s="18">
        <v>0.98336362861768301</v>
      </c>
      <c r="H1043" s="10">
        <v>2025</v>
      </c>
    </row>
    <row r="1044" spans="1:8" hidden="1" x14ac:dyDescent="0.3">
      <c r="A1044" s="4" t="s">
        <v>253</v>
      </c>
      <c r="B1044" s="16" t="s">
        <v>187</v>
      </c>
      <c r="C1044" s="15">
        <v>11</v>
      </c>
      <c r="D1044" s="17">
        <v>937290</v>
      </c>
      <c r="E1044" s="17">
        <v>861033</v>
      </c>
      <c r="F1044" s="17">
        <v>-76257</v>
      </c>
      <c r="G1044" s="18">
        <v>0.91864097557852964</v>
      </c>
      <c r="H1044" s="10">
        <v>2025</v>
      </c>
    </row>
    <row r="1045" spans="1:8" hidden="1" x14ac:dyDescent="0.3">
      <c r="A1045" s="4" t="s">
        <v>253</v>
      </c>
      <c r="B1045" s="16" t="s">
        <v>185</v>
      </c>
      <c r="C1045" s="15">
        <v>11</v>
      </c>
      <c r="D1045" s="17">
        <v>341696</v>
      </c>
      <c r="E1045" s="17">
        <v>341394</v>
      </c>
      <c r="F1045" s="17">
        <v>-302</v>
      </c>
      <c r="G1045" s="18">
        <v>0.99911617344071924</v>
      </c>
      <c r="H1045" s="10">
        <v>2025</v>
      </c>
    </row>
    <row r="1046" spans="1:8" hidden="1" x14ac:dyDescent="0.3">
      <c r="A1046" s="4" t="s">
        <v>253</v>
      </c>
      <c r="B1046" s="16" t="s">
        <v>192</v>
      </c>
      <c r="C1046" s="15">
        <v>11</v>
      </c>
      <c r="D1046" s="17">
        <v>604159</v>
      </c>
      <c r="E1046" s="17">
        <v>603200</v>
      </c>
      <c r="F1046" s="17">
        <v>-959</v>
      </c>
      <c r="G1046" s="18">
        <v>0.99841266951249596</v>
      </c>
      <c r="H1046" s="10">
        <v>2025</v>
      </c>
    </row>
    <row r="1047" spans="1:8" hidden="1" x14ac:dyDescent="0.3">
      <c r="A1047" s="4" t="s">
        <v>253</v>
      </c>
      <c r="B1047" s="16" t="s">
        <v>195</v>
      </c>
      <c r="C1047" s="15">
        <v>11</v>
      </c>
      <c r="D1047" s="17">
        <v>990425</v>
      </c>
      <c r="E1047" s="17">
        <v>989800</v>
      </c>
      <c r="F1047" s="17">
        <v>-625</v>
      </c>
      <c r="G1047" s="18">
        <v>0.99936895777065404</v>
      </c>
      <c r="H1047" s="10">
        <v>2025</v>
      </c>
    </row>
    <row r="1048" spans="1:8" hidden="1" x14ac:dyDescent="0.3">
      <c r="A1048" s="4" t="s">
        <v>253</v>
      </c>
      <c r="B1048" s="16" t="s">
        <v>194</v>
      </c>
      <c r="C1048" s="15">
        <v>11</v>
      </c>
      <c r="D1048" s="17">
        <v>2971275</v>
      </c>
      <c r="E1048" s="17">
        <v>3001100</v>
      </c>
      <c r="F1048" s="17">
        <v>29825</v>
      </c>
      <c r="G1048" s="18">
        <v>1.0100377783947969</v>
      </c>
      <c r="H1048" s="10">
        <v>2025</v>
      </c>
    </row>
    <row r="1049" spans="1:8" hidden="1" x14ac:dyDescent="0.3">
      <c r="A1049" s="4" t="s">
        <v>253</v>
      </c>
      <c r="B1049" s="16" t="s">
        <v>186</v>
      </c>
      <c r="C1049" s="15">
        <v>11</v>
      </c>
      <c r="D1049" s="17">
        <v>3065862</v>
      </c>
      <c r="E1049" s="17">
        <v>2816423</v>
      </c>
      <c r="F1049" s="17">
        <v>-249439</v>
      </c>
      <c r="G1049" s="18">
        <v>0.91863984745562588</v>
      </c>
      <c r="H1049" s="10">
        <v>2025</v>
      </c>
    </row>
    <row r="1050" spans="1:8" hidden="1" x14ac:dyDescent="0.3">
      <c r="A1050" s="4" t="s">
        <v>253</v>
      </c>
      <c r="B1050" s="16" t="s">
        <v>189</v>
      </c>
      <c r="C1050" s="15">
        <v>11</v>
      </c>
      <c r="D1050" s="17">
        <v>79601</v>
      </c>
      <c r="E1050" s="17">
        <v>0</v>
      </c>
      <c r="F1050" s="17">
        <v>-79601</v>
      </c>
      <c r="G1050" s="18">
        <v>0</v>
      </c>
      <c r="H1050" s="10">
        <v>2025</v>
      </c>
    </row>
    <row r="1051" spans="1:8" hidden="1" x14ac:dyDescent="0.3">
      <c r="A1051" s="4" t="s">
        <v>253</v>
      </c>
      <c r="B1051" s="16" t="s">
        <v>199</v>
      </c>
      <c r="C1051" s="15">
        <v>11</v>
      </c>
      <c r="D1051" s="17">
        <v>42168</v>
      </c>
      <c r="E1051" s="17">
        <v>0</v>
      </c>
      <c r="F1051" s="17">
        <v>-42168</v>
      </c>
      <c r="G1051" s="18">
        <v>0</v>
      </c>
      <c r="H1051" s="10">
        <v>2025</v>
      </c>
    </row>
    <row r="1052" spans="1:8" hidden="1" x14ac:dyDescent="0.3">
      <c r="A1052" s="4" t="s">
        <v>253</v>
      </c>
      <c r="B1052" s="16" t="s">
        <v>198</v>
      </c>
      <c r="C1052" s="15">
        <v>11</v>
      </c>
      <c r="D1052" s="17">
        <v>0</v>
      </c>
      <c r="E1052" s="17">
        <v>205762</v>
      </c>
      <c r="F1052" s="17">
        <v>205762</v>
      </c>
      <c r="G1052" s="18">
        <v>0</v>
      </c>
      <c r="H1052" s="10">
        <v>2025</v>
      </c>
    </row>
    <row r="1053" spans="1:8" hidden="1" x14ac:dyDescent="0.3">
      <c r="A1053" s="4" t="s">
        <v>253</v>
      </c>
      <c r="B1053" s="16" t="s">
        <v>205</v>
      </c>
      <c r="C1053" s="15">
        <v>11</v>
      </c>
      <c r="D1053" s="17">
        <v>2283633</v>
      </c>
      <c r="E1053" s="17">
        <v>4090461</v>
      </c>
      <c r="F1053" s="17">
        <v>1806828</v>
      </c>
      <c r="G1053" s="18">
        <v>1.791207694055919</v>
      </c>
      <c r="H1053" s="10">
        <v>2025</v>
      </c>
    </row>
    <row r="1054" spans="1:8" hidden="1" x14ac:dyDescent="0.3">
      <c r="A1054" s="4" t="s">
        <v>253</v>
      </c>
      <c r="B1054" s="16" t="s">
        <v>182</v>
      </c>
      <c r="C1054" s="15">
        <v>11</v>
      </c>
      <c r="D1054" s="17">
        <v>253504</v>
      </c>
      <c r="E1054" s="17">
        <v>249388</v>
      </c>
      <c r="F1054" s="17">
        <v>-4116</v>
      </c>
      <c r="G1054" s="18">
        <v>0.98376356980560464</v>
      </c>
      <c r="H1054" s="10">
        <v>2025</v>
      </c>
    </row>
    <row r="1055" spans="1:8" hidden="1" x14ac:dyDescent="0.3">
      <c r="A1055" s="4" t="s">
        <v>253</v>
      </c>
      <c r="B1055" s="16" t="s">
        <v>200</v>
      </c>
      <c r="C1055" s="15">
        <v>11</v>
      </c>
      <c r="D1055" s="17">
        <v>0</v>
      </c>
      <c r="E1055" s="17">
        <v>3514428</v>
      </c>
      <c r="F1055" s="17">
        <v>3514428</v>
      </c>
      <c r="G1055" s="18">
        <v>0</v>
      </c>
      <c r="H1055" s="10">
        <v>2025</v>
      </c>
    </row>
    <row r="1056" spans="1:8" hidden="1" x14ac:dyDescent="0.3">
      <c r="A1056" s="4" t="s">
        <v>253</v>
      </c>
      <c r="B1056" s="16" t="s">
        <v>183</v>
      </c>
      <c r="C1056" s="15">
        <v>11</v>
      </c>
      <c r="D1056" s="17">
        <v>2112540</v>
      </c>
      <c r="E1056" s="17">
        <v>2077395</v>
      </c>
      <c r="F1056" s="17">
        <v>-35145</v>
      </c>
      <c r="G1056" s="18">
        <v>0.98336362861768301</v>
      </c>
      <c r="H1056" s="10">
        <v>2025</v>
      </c>
    </row>
    <row r="1057" spans="1:8" hidden="1" x14ac:dyDescent="0.3">
      <c r="A1057" s="4" t="s">
        <v>253</v>
      </c>
      <c r="B1057" s="16" t="s">
        <v>206</v>
      </c>
      <c r="C1057" s="15">
        <v>11</v>
      </c>
      <c r="D1057" s="17">
        <v>600000</v>
      </c>
      <c r="E1057" s="17">
        <v>200000</v>
      </c>
      <c r="F1057" s="17">
        <v>-400000</v>
      </c>
      <c r="G1057" s="18">
        <v>0.33333333333333337</v>
      </c>
      <c r="H1057" s="10">
        <v>2025</v>
      </c>
    </row>
    <row r="1058" spans="1:8" hidden="1" x14ac:dyDescent="0.3">
      <c r="A1058" s="4" t="s">
        <v>253</v>
      </c>
      <c r="B1058" s="16" t="s">
        <v>177</v>
      </c>
      <c r="C1058" s="15">
        <v>11</v>
      </c>
      <c r="D1058" s="17">
        <v>22477000</v>
      </c>
      <c r="E1058" s="17">
        <v>20648267</v>
      </c>
      <c r="F1058" s="17">
        <v>-1828733</v>
      </c>
      <c r="G1058" s="18">
        <v>0.91863980958312941</v>
      </c>
      <c r="H1058" s="10">
        <v>2025</v>
      </c>
    </row>
    <row r="1059" spans="1:8" hidden="1" x14ac:dyDescent="0.3">
      <c r="A1059" s="4" t="s">
        <v>253</v>
      </c>
      <c r="B1059" s="16" t="s">
        <v>184</v>
      </c>
      <c r="C1059" s="15">
        <v>11</v>
      </c>
      <c r="D1059" s="17">
        <v>1032518</v>
      </c>
      <c r="E1059" s="17">
        <v>1031605</v>
      </c>
      <c r="F1059" s="17">
        <v>-913</v>
      </c>
      <c r="G1059" s="18">
        <v>0.99911575391421747</v>
      </c>
      <c r="H1059" s="10">
        <v>2025</v>
      </c>
    </row>
    <row r="1060" spans="1:8" hidden="1" x14ac:dyDescent="0.3">
      <c r="A1060" s="16" t="s">
        <v>56</v>
      </c>
      <c r="B1060" s="16" t="s">
        <v>181</v>
      </c>
      <c r="C1060" s="15">
        <v>11</v>
      </c>
      <c r="D1060" s="17">
        <v>6880038</v>
      </c>
      <c r="E1060" s="17">
        <v>6880039</v>
      </c>
      <c r="F1060" s="17">
        <v>1</v>
      </c>
      <c r="G1060" s="18">
        <v>1.0000001453480345</v>
      </c>
      <c r="H1060" s="10">
        <v>2025</v>
      </c>
    </row>
    <row r="1061" spans="1:8" hidden="1" x14ac:dyDescent="0.3">
      <c r="A1061" s="16" t="s">
        <v>56</v>
      </c>
      <c r="B1061" s="16" t="s">
        <v>187</v>
      </c>
      <c r="C1061" s="15">
        <v>11</v>
      </c>
      <c r="D1061" s="17">
        <v>3435808</v>
      </c>
      <c r="E1061" s="17">
        <v>3435809</v>
      </c>
      <c r="F1061" s="17">
        <v>1</v>
      </c>
      <c r="G1061" s="18">
        <v>1.0000002910523522</v>
      </c>
      <c r="H1061" s="10">
        <v>2025</v>
      </c>
    </row>
    <row r="1062" spans="1:8" hidden="1" x14ac:dyDescent="0.3">
      <c r="A1062" s="16" t="s">
        <v>56</v>
      </c>
      <c r="B1062" s="16" t="s">
        <v>185</v>
      </c>
      <c r="C1062" s="15">
        <v>11</v>
      </c>
      <c r="D1062" s="17">
        <v>1137030</v>
      </c>
      <c r="E1062" s="17">
        <v>1137030</v>
      </c>
      <c r="F1062" s="17">
        <v>0</v>
      </c>
      <c r="G1062" s="18">
        <v>1</v>
      </c>
      <c r="H1062" s="10">
        <v>2025</v>
      </c>
    </row>
    <row r="1063" spans="1:8" hidden="1" x14ac:dyDescent="0.3">
      <c r="A1063" s="16" t="s">
        <v>56</v>
      </c>
      <c r="B1063" s="16" t="s">
        <v>192</v>
      </c>
      <c r="C1063" s="15">
        <v>11</v>
      </c>
      <c r="D1063" s="17">
        <v>430094</v>
      </c>
      <c r="E1063" s="17">
        <v>660700</v>
      </c>
      <c r="F1063" s="17">
        <v>230606</v>
      </c>
      <c r="G1063" s="18">
        <v>1.5361758127293104</v>
      </c>
      <c r="H1063" s="10">
        <v>2025</v>
      </c>
    </row>
    <row r="1064" spans="1:8" hidden="1" x14ac:dyDescent="0.3">
      <c r="A1064" s="16" t="s">
        <v>56</v>
      </c>
      <c r="B1064" s="16" t="s">
        <v>195</v>
      </c>
      <c r="C1064" s="15">
        <v>11</v>
      </c>
      <c r="D1064" s="17">
        <v>3295740</v>
      </c>
      <c r="E1064" s="17">
        <v>3295800</v>
      </c>
      <c r="F1064" s="17">
        <v>60</v>
      </c>
      <c r="G1064" s="18">
        <v>1.0000182053195945</v>
      </c>
      <c r="H1064" s="10">
        <v>2025</v>
      </c>
    </row>
    <row r="1065" spans="1:8" hidden="1" x14ac:dyDescent="0.3">
      <c r="A1065" s="16" t="s">
        <v>56</v>
      </c>
      <c r="B1065" s="16" t="s">
        <v>193</v>
      </c>
      <c r="C1065" s="15">
        <v>11</v>
      </c>
      <c r="D1065" s="17">
        <v>2142231</v>
      </c>
      <c r="E1065" s="17">
        <v>847450</v>
      </c>
      <c r="F1065" s="17">
        <v>-1294781</v>
      </c>
      <c r="G1065" s="18">
        <v>0.39559225872466602</v>
      </c>
      <c r="H1065" s="10">
        <v>2025</v>
      </c>
    </row>
    <row r="1066" spans="1:8" hidden="1" x14ac:dyDescent="0.3">
      <c r="A1066" s="16" t="s">
        <v>56</v>
      </c>
      <c r="B1066" s="16" t="s">
        <v>194</v>
      </c>
      <c r="C1066" s="15">
        <v>11</v>
      </c>
      <c r="D1066" s="17">
        <v>9887220</v>
      </c>
      <c r="E1066" s="17">
        <v>6479300</v>
      </c>
      <c r="F1066" s="17">
        <v>-3407920</v>
      </c>
      <c r="G1066" s="18">
        <v>0.65532070693278799</v>
      </c>
      <c r="H1066" s="10">
        <v>2025</v>
      </c>
    </row>
    <row r="1067" spans="1:8" hidden="1" x14ac:dyDescent="0.3">
      <c r="A1067" s="16" t="s">
        <v>56</v>
      </c>
      <c r="B1067" s="16" t="s">
        <v>204</v>
      </c>
      <c r="C1067" s="15">
        <v>11</v>
      </c>
      <c r="D1067" s="17">
        <v>227083440</v>
      </c>
      <c r="E1067" s="17">
        <v>227100000</v>
      </c>
      <c r="F1067" s="17">
        <v>16560</v>
      </c>
      <c r="G1067" s="18">
        <v>1.0000729247363878</v>
      </c>
      <c r="H1067" s="10">
        <v>2025</v>
      </c>
    </row>
    <row r="1068" spans="1:8" hidden="1" x14ac:dyDescent="0.3">
      <c r="A1068" s="16" t="s">
        <v>56</v>
      </c>
      <c r="B1068" s="16" t="s">
        <v>196</v>
      </c>
      <c r="C1068" s="15">
        <v>11</v>
      </c>
      <c r="D1068" s="17">
        <v>766259</v>
      </c>
      <c r="E1068" s="17">
        <v>299100</v>
      </c>
      <c r="F1068" s="17">
        <v>-467159</v>
      </c>
      <c r="G1068" s="18">
        <v>0.39033799276745851</v>
      </c>
      <c r="H1068" s="10">
        <v>2025</v>
      </c>
    </row>
    <row r="1069" spans="1:8" hidden="1" x14ac:dyDescent="0.3">
      <c r="A1069" s="16" t="s">
        <v>56</v>
      </c>
      <c r="B1069" s="16" t="s">
        <v>197</v>
      </c>
      <c r="C1069" s="15">
        <v>11</v>
      </c>
      <c r="D1069" s="17">
        <v>510839</v>
      </c>
      <c r="E1069" s="17">
        <v>199400</v>
      </c>
      <c r="F1069" s="17">
        <v>-311439</v>
      </c>
      <c r="G1069" s="18">
        <v>0.39033824747131679</v>
      </c>
      <c r="H1069" s="10">
        <v>2025</v>
      </c>
    </row>
    <row r="1070" spans="1:8" hidden="1" x14ac:dyDescent="0.3">
      <c r="A1070" s="16" t="s">
        <v>56</v>
      </c>
      <c r="B1070" s="16" t="s">
        <v>180</v>
      </c>
      <c r="C1070" s="15">
        <v>11</v>
      </c>
      <c r="D1070" s="17">
        <v>200000</v>
      </c>
      <c r="E1070" s="17">
        <v>200000</v>
      </c>
      <c r="F1070" s="17">
        <v>0</v>
      </c>
      <c r="G1070" s="18">
        <v>1</v>
      </c>
      <c r="H1070" s="10">
        <v>2025</v>
      </c>
    </row>
    <row r="1071" spans="1:8" hidden="1" x14ac:dyDescent="0.3">
      <c r="A1071" s="4" t="s">
        <v>56</v>
      </c>
      <c r="B1071" s="16" t="s">
        <v>186</v>
      </c>
      <c r="C1071" s="15">
        <v>11</v>
      </c>
      <c r="D1071" s="17">
        <v>11238473</v>
      </c>
      <c r="E1071" s="17">
        <v>11238473</v>
      </c>
      <c r="F1071" s="17">
        <v>0</v>
      </c>
      <c r="G1071" s="18">
        <v>1</v>
      </c>
      <c r="H1071" s="10">
        <v>2025</v>
      </c>
    </row>
    <row r="1072" spans="1:8" hidden="1" x14ac:dyDescent="0.3">
      <c r="A1072" s="4" t="s">
        <v>56</v>
      </c>
      <c r="B1072" s="16" t="s">
        <v>177</v>
      </c>
      <c r="C1072" s="15">
        <v>1</v>
      </c>
      <c r="D1072" s="17">
        <v>22103500</v>
      </c>
      <c r="E1072" s="17">
        <v>21534100</v>
      </c>
      <c r="F1072" s="17">
        <v>-569400</v>
      </c>
      <c r="G1072" s="18">
        <v>0.9742393738548194</v>
      </c>
      <c r="H1072" s="10">
        <v>2025</v>
      </c>
    </row>
    <row r="1073" spans="1:8" hidden="1" x14ac:dyDescent="0.3">
      <c r="A1073" s="4" t="s">
        <v>56</v>
      </c>
      <c r="B1073" s="16" t="s">
        <v>177</v>
      </c>
      <c r="C1073" s="15">
        <v>2</v>
      </c>
      <c r="D1073" s="17">
        <v>24005600</v>
      </c>
      <c r="E1073" s="17">
        <v>22103500</v>
      </c>
      <c r="F1073" s="17">
        <v>-1902100</v>
      </c>
      <c r="G1073" s="18">
        <v>0.92076432165827982</v>
      </c>
      <c r="H1073" s="10">
        <v>2025</v>
      </c>
    </row>
    <row r="1074" spans="1:8" hidden="1" x14ac:dyDescent="0.3">
      <c r="A1074" s="4" t="s">
        <v>56</v>
      </c>
      <c r="B1074" s="16" t="s">
        <v>177</v>
      </c>
      <c r="C1074" s="15">
        <v>3</v>
      </c>
      <c r="D1074" s="17">
        <v>24005600</v>
      </c>
      <c r="E1074" s="17">
        <v>27808760</v>
      </c>
      <c r="F1074" s="17">
        <v>3803160</v>
      </c>
      <c r="G1074" s="18">
        <v>1.1584280334588597</v>
      </c>
      <c r="H1074" s="10">
        <v>2025</v>
      </c>
    </row>
    <row r="1075" spans="1:8" hidden="1" x14ac:dyDescent="0.3">
      <c r="A1075" s="4" t="s">
        <v>56</v>
      </c>
      <c r="B1075" s="16" t="s">
        <v>177</v>
      </c>
      <c r="C1075" s="15">
        <v>4</v>
      </c>
      <c r="D1075" s="17">
        <v>24005600</v>
      </c>
      <c r="E1075" s="17">
        <v>24005600</v>
      </c>
      <c r="F1075" s="17">
        <v>0</v>
      </c>
      <c r="G1075" s="18">
        <v>1</v>
      </c>
      <c r="H1075" s="10">
        <v>2025</v>
      </c>
    </row>
    <row r="1076" spans="1:8" hidden="1" x14ac:dyDescent="0.3">
      <c r="A1076" s="4" t="s">
        <v>56</v>
      </c>
      <c r="B1076" s="16" t="s">
        <v>177</v>
      </c>
      <c r="C1076" s="15">
        <v>5</v>
      </c>
      <c r="D1076" s="17">
        <v>24005600</v>
      </c>
      <c r="E1076" s="17">
        <v>24005600</v>
      </c>
      <c r="F1076" s="17">
        <v>0</v>
      </c>
      <c r="G1076" s="18">
        <v>1</v>
      </c>
      <c r="H1076" s="10">
        <v>2025</v>
      </c>
    </row>
    <row r="1077" spans="1:8" hidden="1" x14ac:dyDescent="0.3">
      <c r="A1077" s="4" t="s">
        <v>56</v>
      </c>
      <c r="B1077" s="16" t="s">
        <v>177</v>
      </c>
      <c r="C1077" s="15">
        <v>6</v>
      </c>
      <c r="D1077" s="17">
        <v>24005600</v>
      </c>
      <c r="E1077" s="17">
        <v>24005600</v>
      </c>
      <c r="F1077" s="17">
        <v>0</v>
      </c>
      <c r="G1077" s="18">
        <v>1</v>
      </c>
      <c r="H1077" s="10">
        <v>2025</v>
      </c>
    </row>
    <row r="1078" spans="1:8" hidden="1" x14ac:dyDescent="0.3">
      <c r="A1078" s="4" t="s">
        <v>56</v>
      </c>
      <c r="B1078" s="16" t="s">
        <v>177</v>
      </c>
      <c r="C1078" s="15">
        <v>7</v>
      </c>
      <c r="D1078" s="17">
        <v>53993500</v>
      </c>
      <c r="E1078" s="17">
        <v>53993500</v>
      </c>
      <c r="F1078" s="17">
        <v>0</v>
      </c>
      <c r="G1078" s="18">
        <v>1</v>
      </c>
      <c r="H1078" s="10">
        <v>2025</v>
      </c>
    </row>
    <row r="1079" spans="1:8" hidden="1" x14ac:dyDescent="0.3">
      <c r="A1079" s="16" t="s">
        <v>56</v>
      </c>
      <c r="B1079" s="16" t="s">
        <v>177</v>
      </c>
      <c r="C1079" s="15">
        <v>8</v>
      </c>
      <c r="D1079" s="17">
        <v>82393500</v>
      </c>
      <c r="E1079" s="17">
        <v>82393494</v>
      </c>
      <c r="F1079" s="17">
        <v>-6</v>
      </c>
      <c r="G1079" s="18">
        <v>0.99999992717872166</v>
      </c>
      <c r="H1079" s="10">
        <v>2025</v>
      </c>
    </row>
    <row r="1080" spans="1:8" hidden="1" x14ac:dyDescent="0.3">
      <c r="A1080" s="16" t="s">
        <v>56</v>
      </c>
      <c r="B1080" s="16" t="s">
        <v>177</v>
      </c>
      <c r="C1080" s="15">
        <v>9</v>
      </c>
      <c r="D1080" s="17">
        <v>82393500</v>
      </c>
      <c r="E1080" s="17">
        <v>82393500</v>
      </c>
      <c r="F1080" s="17">
        <v>0</v>
      </c>
      <c r="G1080" s="18">
        <v>1</v>
      </c>
      <c r="H1080" s="10">
        <v>2025</v>
      </c>
    </row>
    <row r="1081" spans="1:8" hidden="1" x14ac:dyDescent="0.3">
      <c r="A1081" s="16" t="s">
        <v>56</v>
      </c>
      <c r="B1081" s="16" t="s">
        <v>177</v>
      </c>
      <c r="C1081" s="15">
        <v>10</v>
      </c>
      <c r="D1081" s="17">
        <v>82393500</v>
      </c>
      <c r="E1081" s="17">
        <v>51153501</v>
      </c>
      <c r="F1081" s="17">
        <v>-31239999</v>
      </c>
      <c r="G1081" s="18">
        <v>0.62084388938447821</v>
      </c>
      <c r="H1081" s="10">
        <v>2025</v>
      </c>
    </row>
    <row r="1082" spans="1:8" hidden="1" x14ac:dyDescent="0.3">
      <c r="A1082" s="16" t="s">
        <v>56</v>
      </c>
      <c r="B1082" s="16" t="s">
        <v>180</v>
      </c>
      <c r="C1082" s="15">
        <v>1</v>
      </c>
      <c r="D1082" s="17">
        <v>200000</v>
      </c>
      <c r="E1082" s="17">
        <v>120000</v>
      </c>
      <c r="F1082" s="17">
        <v>-80000</v>
      </c>
      <c r="G1082" s="18">
        <v>0.6</v>
      </c>
      <c r="H1082" s="10">
        <v>2025</v>
      </c>
    </row>
    <row r="1083" spans="1:8" hidden="1" x14ac:dyDescent="0.3">
      <c r="A1083" s="16" t="s">
        <v>56</v>
      </c>
      <c r="B1083" s="16" t="s">
        <v>180</v>
      </c>
      <c r="C1083" s="15">
        <v>2</v>
      </c>
      <c r="D1083" s="17">
        <v>200000</v>
      </c>
      <c r="E1083" s="17">
        <v>200000</v>
      </c>
      <c r="F1083" s="17">
        <v>0</v>
      </c>
      <c r="G1083" s="18">
        <v>1</v>
      </c>
      <c r="H1083" s="10">
        <v>2025</v>
      </c>
    </row>
    <row r="1084" spans="1:8" hidden="1" x14ac:dyDescent="0.3">
      <c r="A1084" s="16" t="s">
        <v>56</v>
      </c>
      <c r="B1084" s="16" t="s">
        <v>180</v>
      </c>
      <c r="C1084" s="15">
        <v>3</v>
      </c>
      <c r="D1084" s="17">
        <v>200000</v>
      </c>
      <c r="E1084" s="17">
        <v>200000</v>
      </c>
      <c r="F1084" s="17">
        <v>0</v>
      </c>
      <c r="G1084" s="18">
        <v>1</v>
      </c>
      <c r="H1084" s="10">
        <v>2025</v>
      </c>
    </row>
    <row r="1085" spans="1:8" hidden="1" x14ac:dyDescent="0.3">
      <c r="A1085" s="16" t="s">
        <v>56</v>
      </c>
      <c r="B1085" s="16" t="s">
        <v>180</v>
      </c>
      <c r="C1085" s="15">
        <v>4</v>
      </c>
      <c r="D1085" s="17">
        <v>200000</v>
      </c>
      <c r="E1085" s="17">
        <v>200000</v>
      </c>
      <c r="F1085" s="17">
        <v>0</v>
      </c>
      <c r="G1085" s="18">
        <v>1</v>
      </c>
      <c r="H1085" s="10">
        <v>2025</v>
      </c>
    </row>
    <row r="1086" spans="1:8" hidden="1" x14ac:dyDescent="0.3">
      <c r="A1086" s="16" t="s">
        <v>56</v>
      </c>
      <c r="B1086" s="16" t="s">
        <v>180</v>
      </c>
      <c r="C1086" s="15">
        <v>5</v>
      </c>
      <c r="D1086" s="17">
        <v>200000</v>
      </c>
      <c r="E1086" s="17">
        <v>200000</v>
      </c>
      <c r="F1086" s="17">
        <v>0</v>
      </c>
      <c r="G1086" s="18">
        <v>1</v>
      </c>
      <c r="H1086" s="10">
        <v>2025</v>
      </c>
    </row>
    <row r="1087" spans="1:8" hidden="1" x14ac:dyDescent="0.3">
      <c r="A1087" s="16" t="s">
        <v>56</v>
      </c>
      <c r="B1087" s="16" t="s">
        <v>180</v>
      </c>
      <c r="C1087" s="15">
        <v>6</v>
      </c>
      <c r="D1087" s="17">
        <v>200000</v>
      </c>
      <c r="E1087" s="17">
        <v>200000</v>
      </c>
      <c r="F1087" s="17">
        <v>0</v>
      </c>
      <c r="G1087" s="18">
        <v>1</v>
      </c>
      <c r="H1087" s="10">
        <v>2025</v>
      </c>
    </row>
    <row r="1088" spans="1:8" hidden="1" x14ac:dyDescent="0.3">
      <c r="A1088" s="16" t="s">
        <v>56</v>
      </c>
      <c r="B1088" s="16" t="s">
        <v>180</v>
      </c>
      <c r="C1088" s="15">
        <v>7</v>
      </c>
      <c r="D1088" s="17">
        <v>200000</v>
      </c>
      <c r="E1088" s="17">
        <v>200000</v>
      </c>
      <c r="F1088" s="17">
        <v>0</v>
      </c>
      <c r="G1088" s="18">
        <v>1</v>
      </c>
      <c r="H1088" s="10">
        <v>2025</v>
      </c>
    </row>
    <row r="1089" spans="1:8" hidden="1" x14ac:dyDescent="0.3">
      <c r="A1089" s="4" t="s">
        <v>56</v>
      </c>
      <c r="B1089" s="16" t="s">
        <v>180</v>
      </c>
      <c r="C1089" s="15">
        <v>8</v>
      </c>
      <c r="D1089" s="17">
        <v>200000</v>
      </c>
      <c r="E1089" s="17">
        <v>200000</v>
      </c>
      <c r="F1089" s="17">
        <v>0</v>
      </c>
      <c r="G1089" s="18">
        <v>1</v>
      </c>
      <c r="H1089" s="10">
        <v>2025</v>
      </c>
    </row>
    <row r="1090" spans="1:8" hidden="1" x14ac:dyDescent="0.3">
      <c r="A1090" s="4" t="s">
        <v>56</v>
      </c>
      <c r="B1090" s="16" t="s">
        <v>180</v>
      </c>
      <c r="C1090" s="15">
        <v>9</v>
      </c>
      <c r="D1090" s="17">
        <v>200000</v>
      </c>
      <c r="E1090" s="17">
        <v>200000</v>
      </c>
      <c r="F1090" s="17">
        <v>0</v>
      </c>
      <c r="G1090" s="18">
        <v>1</v>
      </c>
      <c r="H1090" s="10">
        <v>2025</v>
      </c>
    </row>
    <row r="1091" spans="1:8" hidden="1" x14ac:dyDescent="0.3">
      <c r="A1091" s="4" t="s">
        <v>56</v>
      </c>
      <c r="B1091" s="16" t="s">
        <v>180</v>
      </c>
      <c r="C1091" s="15">
        <v>10</v>
      </c>
      <c r="D1091" s="17">
        <v>200000</v>
      </c>
      <c r="E1091" s="17">
        <v>200000</v>
      </c>
      <c r="F1091" s="17">
        <v>0</v>
      </c>
      <c r="G1091" s="18">
        <v>1</v>
      </c>
      <c r="H1091" s="10">
        <v>2025</v>
      </c>
    </row>
    <row r="1092" spans="1:8" hidden="1" x14ac:dyDescent="0.3">
      <c r="A1092" s="4" t="s">
        <v>56</v>
      </c>
      <c r="B1092" s="16" t="s">
        <v>181</v>
      </c>
      <c r="C1092" s="15">
        <v>1</v>
      </c>
      <c r="D1092" s="17">
        <v>1857881</v>
      </c>
      <c r="E1092" s="17">
        <v>1803787</v>
      </c>
      <c r="F1092" s="17">
        <v>-54094</v>
      </c>
      <c r="G1092" s="18">
        <v>0.97088403401509571</v>
      </c>
      <c r="H1092" s="10">
        <v>2025</v>
      </c>
    </row>
    <row r="1093" spans="1:8" hidden="1" x14ac:dyDescent="0.3">
      <c r="A1093" s="4" t="s">
        <v>56</v>
      </c>
      <c r="B1093" s="16" t="s">
        <v>181</v>
      </c>
      <c r="C1093" s="15">
        <v>2</v>
      </c>
      <c r="D1093" s="17">
        <v>2016326</v>
      </c>
      <c r="E1093" s="17">
        <v>1857882</v>
      </c>
      <c r="F1093" s="17">
        <v>-158444</v>
      </c>
      <c r="G1093" s="18">
        <v>0.92141945300511929</v>
      </c>
      <c r="H1093" s="10">
        <v>2025</v>
      </c>
    </row>
    <row r="1094" spans="1:8" hidden="1" x14ac:dyDescent="0.3">
      <c r="A1094" s="4" t="s">
        <v>56</v>
      </c>
      <c r="B1094" s="16" t="s">
        <v>181</v>
      </c>
      <c r="C1094" s="15">
        <v>3</v>
      </c>
      <c r="D1094" s="17">
        <v>2016326</v>
      </c>
      <c r="E1094" s="17">
        <v>2333131</v>
      </c>
      <c r="F1094" s="17">
        <v>316805</v>
      </c>
      <c r="G1094" s="18">
        <v>1.1571199300113177</v>
      </c>
      <c r="H1094" s="10">
        <v>2025</v>
      </c>
    </row>
    <row r="1095" spans="1:8" hidden="1" x14ac:dyDescent="0.3">
      <c r="A1095" s="4" t="s">
        <v>56</v>
      </c>
      <c r="B1095" s="16" t="s">
        <v>181</v>
      </c>
      <c r="C1095" s="15">
        <v>4</v>
      </c>
      <c r="D1095" s="17">
        <v>2016326</v>
      </c>
      <c r="E1095" s="17">
        <v>2016327</v>
      </c>
      <c r="F1095" s="17">
        <v>1</v>
      </c>
      <c r="G1095" s="18">
        <v>1.0000004959515476</v>
      </c>
      <c r="H1095" s="10">
        <v>2025</v>
      </c>
    </row>
    <row r="1096" spans="1:8" hidden="1" x14ac:dyDescent="0.3">
      <c r="A1096" s="4" t="s">
        <v>56</v>
      </c>
      <c r="B1096" s="16" t="s">
        <v>181</v>
      </c>
      <c r="C1096" s="15">
        <v>5</v>
      </c>
      <c r="D1096" s="17">
        <v>2016326</v>
      </c>
      <c r="E1096" s="17">
        <v>2016327</v>
      </c>
      <c r="F1096" s="17">
        <v>1</v>
      </c>
      <c r="G1096" s="18">
        <v>1.0000004959515476</v>
      </c>
      <c r="H1096" s="10">
        <v>2025</v>
      </c>
    </row>
    <row r="1097" spans="1:8" hidden="1" x14ac:dyDescent="0.3">
      <c r="A1097" s="4" t="s">
        <v>56</v>
      </c>
      <c r="B1097" s="16" t="s">
        <v>181</v>
      </c>
      <c r="C1097" s="15">
        <v>6</v>
      </c>
      <c r="D1097" s="17">
        <v>2016326</v>
      </c>
      <c r="E1097" s="17">
        <v>2016327</v>
      </c>
      <c r="F1097" s="17">
        <v>1</v>
      </c>
      <c r="G1097" s="18">
        <v>1.0000004959515476</v>
      </c>
      <c r="H1097" s="10">
        <v>2025</v>
      </c>
    </row>
    <row r="1098" spans="1:8" hidden="1" x14ac:dyDescent="0.3">
      <c r="A1098" s="4" t="s">
        <v>56</v>
      </c>
      <c r="B1098" s="16" t="s">
        <v>181</v>
      </c>
      <c r="C1098" s="15">
        <v>7</v>
      </c>
      <c r="D1098" s="17">
        <v>4514318</v>
      </c>
      <c r="E1098" s="17">
        <v>4514319</v>
      </c>
      <c r="F1098" s="17">
        <v>1</v>
      </c>
      <c r="G1098" s="18">
        <v>1.0000002215174031</v>
      </c>
      <c r="H1098" s="10">
        <v>2025</v>
      </c>
    </row>
    <row r="1099" spans="1:8" hidden="1" x14ac:dyDescent="0.3">
      <c r="A1099" s="16" t="s">
        <v>56</v>
      </c>
      <c r="B1099" s="16" t="s">
        <v>181</v>
      </c>
      <c r="C1099" s="15">
        <v>8</v>
      </c>
      <c r="D1099" s="17">
        <v>6880038</v>
      </c>
      <c r="E1099" s="17">
        <v>6880039</v>
      </c>
      <c r="F1099" s="17">
        <v>1</v>
      </c>
      <c r="G1099" s="18">
        <v>1.0000001453480345</v>
      </c>
      <c r="H1099" s="10">
        <v>2025</v>
      </c>
    </row>
    <row r="1100" spans="1:8" hidden="1" x14ac:dyDescent="0.3">
      <c r="A1100" s="16" t="s">
        <v>56</v>
      </c>
      <c r="B1100" s="16" t="s">
        <v>181</v>
      </c>
      <c r="C1100" s="15">
        <v>9</v>
      </c>
      <c r="D1100" s="17">
        <v>6880038</v>
      </c>
      <c r="E1100" s="17">
        <v>6880039</v>
      </c>
      <c r="F1100" s="17">
        <v>1</v>
      </c>
      <c r="G1100" s="18">
        <v>1.0000001453480345</v>
      </c>
      <c r="H1100" s="10">
        <v>2025</v>
      </c>
    </row>
    <row r="1101" spans="1:8" hidden="1" x14ac:dyDescent="0.3">
      <c r="A1101" s="16" t="s">
        <v>56</v>
      </c>
      <c r="B1101" s="16" t="s">
        <v>181</v>
      </c>
      <c r="C1101" s="15">
        <v>10</v>
      </c>
      <c r="D1101" s="17">
        <v>6880038</v>
      </c>
      <c r="E1101" s="17">
        <v>6893905</v>
      </c>
      <c r="F1101" s="17">
        <v>13867</v>
      </c>
      <c r="G1101" s="18">
        <v>1.0020155411932319</v>
      </c>
      <c r="H1101" s="10">
        <v>2025</v>
      </c>
    </row>
    <row r="1102" spans="1:8" hidden="1" x14ac:dyDescent="0.3">
      <c r="A1102" s="16" t="s">
        <v>56</v>
      </c>
      <c r="B1102" s="16" t="s">
        <v>182</v>
      </c>
      <c r="C1102" s="15">
        <v>1</v>
      </c>
      <c r="D1102" s="17">
        <v>222945</v>
      </c>
      <c r="E1102" s="17">
        <v>216541</v>
      </c>
      <c r="F1102" s="17">
        <v>-6404</v>
      </c>
      <c r="G1102" s="18">
        <v>0.97127542667474043</v>
      </c>
      <c r="H1102" s="10">
        <v>2025</v>
      </c>
    </row>
    <row r="1103" spans="1:8" hidden="1" x14ac:dyDescent="0.3">
      <c r="A1103" s="16" t="s">
        <v>56</v>
      </c>
      <c r="B1103" s="16" t="s">
        <v>182</v>
      </c>
      <c r="C1103" s="15">
        <v>2</v>
      </c>
      <c r="D1103" s="17">
        <v>241959</v>
      </c>
      <c r="E1103" s="17">
        <v>223035</v>
      </c>
      <c r="F1103" s="17">
        <v>-18924</v>
      </c>
      <c r="G1103" s="18">
        <v>0.9217884021673094</v>
      </c>
      <c r="H1103" s="10">
        <v>2025</v>
      </c>
    </row>
    <row r="1104" spans="1:8" hidden="1" x14ac:dyDescent="0.3">
      <c r="A1104" s="16" t="s">
        <v>56</v>
      </c>
      <c r="B1104" s="16" t="s">
        <v>182</v>
      </c>
      <c r="C1104" s="15">
        <v>3</v>
      </c>
      <c r="D1104" s="17">
        <v>241959</v>
      </c>
      <c r="E1104" s="17">
        <v>280088</v>
      </c>
      <c r="F1104" s="17">
        <v>38129</v>
      </c>
      <c r="G1104" s="18">
        <v>1.1575845494484602</v>
      </c>
      <c r="H1104" s="10">
        <v>2025</v>
      </c>
    </row>
    <row r="1105" spans="1:8" hidden="1" x14ac:dyDescent="0.3">
      <c r="A1105" s="16" t="s">
        <v>56</v>
      </c>
      <c r="B1105" s="16" t="s">
        <v>182</v>
      </c>
      <c r="C1105" s="15">
        <v>4</v>
      </c>
      <c r="D1105" s="17">
        <v>241959</v>
      </c>
      <c r="E1105" s="17">
        <v>242056</v>
      </c>
      <c r="F1105" s="17">
        <v>97</v>
      </c>
      <c r="G1105" s="18">
        <v>1.0004008943664009</v>
      </c>
      <c r="H1105" s="10">
        <v>2025</v>
      </c>
    </row>
    <row r="1106" spans="1:8" hidden="1" x14ac:dyDescent="0.3">
      <c r="A1106" s="16" t="s">
        <v>56</v>
      </c>
      <c r="B1106" s="16" t="s">
        <v>182</v>
      </c>
      <c r="C1106" s="15">
        <v>5</v>
      </c>
      <c r="D1106" s="17">
        <v>241959</v>
      </c>
      <c r="E1106" s="17">
        <v>242056</v>
      </c>
      <c r="F1106" s="17">
        <v>97</v>
      </c>
      <c r="G1106" s="18">
        <v>1.0004008943664009</v>
      </c>
      <c r="H1106" s="10">
        <v>2025</v>
      </c>
    </row>
    <row r="1107" spans="1:8" hidden="1" x14ac:dyDescent="0.3">
      <c r="A1107" s="16" t="s">
        <v>56</v>
      </c>
      <c r="B1107" s="16" t="s">
        <v>182</v>
      </c>
      <c r="C1107" s="15">
        <v>6</v>
      </c>
      <c r="D1107" s="17">
        <v>241959</v>
      </c>
      <c r="E1107" s="17">
        <v>242056</v>
      </c>
      <c r="F1107" s="17">
        <v>97</v>
      </c>
      <c r="G1107" s="18">
        <v>1.0004008943664009</v>
      </c>
      <c r="H1107" s="10">
        <v>2025</v>
      </c>
    </row>
    <row r="1108" spans="1:8" hidden="1" x14ac:dyDescent="0.3">
      <c r="A1108" s="16" t="s">
        <v>56</v>
      </c>
      <c r="B1108" s="16" t="s">
        <v>182</v>
      </c>
      <c r="C1108" s="15">
        <v>7</v>
      </c>
      <c r="D1108" s="17">
        <v>541718</v>
      </c>
      <c r="E1108" s="17">
        <v>541935</v>
      </c>
      <c r="F1108" s="17">
        <v>217</v>
      </c>
      <c r="G1108" s="18">
        <v>1.0004005774222013</v>
      </c>
      <c r="H1108" s="10">
        <v>2025</v>
      </c>
    </row>
    <row r="1109" spans="1:8" hidden="1" x14ac:dyDescent="0.3">
      <c r="A1109" s="16" t="s">
        <v>56</v>
      </c>
      <c r="B1109" s="16" t="s">
        <v>182</v>
      </c>
      <c r="C1109" s="15">
        <v>8</v>
      </c>
      <c r="D1109" s="17">
        <v>825604</v>
      </c>
      <c r="E1109" s="17">
        <v>825935</v>
      </c>
      <c r="F1109" s="17">
        <v>331</v>
      </c>
      <c r="G1109" s="18">
        <v>1.0004009186002005</v>
      </c>
      <c r="H1109" s="10">
        <v>2025</v>
      </c>
    </row>
    <row r="1110" spans="1:8" hidden="1" x14ac:dyDescent="0.3">
      <c r="A1110" s="16" t="s">
        <v>56</v>
      </c>
      <c r="B1110" s="16" t="s">
        <v>182</v>
      </c>
      <c r="C1110" s="15">
        <v>9</v>
      </c>
      <c r="D1110" s="17">
        <v>825604</v>
      </c>
      <c r="E1110" s="17">
        <v>825935</v>
      </c>
      <c r="F1110" s="17">
        <v>331</v>
      </c>
      <c r="G1110" s="18">
        <v>1.0004009186002005</v>
      </c>
      <c r="H1110" s="10">
        <v>2025</v>
      </c>
    </row>
    <row r="1111" spans="1:8" hidden="1" x14ac:dyDescent="0.3">
      <c r="A1111" s="16" t="s">
        <v>56</v>
      </c>
      <c r="B1111" s="16" t="s">
        <v>182</v>
      </c>
      <c r="C1111" s="15">
        <v>10</v>
      </c>
      <c r="D1111" s="17">
        <v>825604</v>
      </c>
      <c r="E1111" s="17">
        <v>827601</v>
      </c>
      <c r="F1111" s="17">
        <v>1997</v>
      </c>
      <c r="G1111" s="18">
        <v>1.0024188351800623</v>
      </c>
      <c r="H1111" s="10">
        <v>2025</v>
      </c>
    </row>
    <row r="1112" spans="1:8" hidden="1" x14ac:dyDescent="0.3">
      <c r="A1112" s="16" t="s">
        <v>56</v>
      </c>
      <c r="B1112" s="16" t="s">
        <v>183</v>
      </c>
      <c r="C1112" s="15">
        <v>1</v>
      </c>
      <c r="D1112" s="17">
        <v>1857881</v>
      </c>
      <c r="E1112" s="17">
        <v>1803787</v>
      </c>
      <c r="F1112" s="17">
        <v>-54094</v>
      </c>
      <c r="G1112" s="18">
        <v>0.97088403401509571</v>
      </c>
      <c r="H1112" s="10">
        <v>2025</v>
      </c>
    </row>
    <row r="1113" spans="1:8" hidden="1" x14ac:dyDescent="0.3">
      <c r="A1113" s="16" t="s">
        <v>56</v>
      </c>
      <c r="B1113" s="16" t="s">
        <v>183</v>
      </c>
      <c r="C1113" s="15">
        <v>2</v>
      </c>
      <c r="D1113" s="17">
        <v>2016326</v>
      </c>
      <c r="E1113" s="17">
        <v>1857882</v>
      </c>
      <c r="F1113" s="17">
        <v>-158444</v>
      </c>
      <c r="G1113" s="18">
        <v>0.92141945300511929</v>
      </c>
      <c r="H1113" s="10">
        <v>2025</v>
      </c>
    </row>
    <row r="1114" spans="1:8" hidden="1" x14ac:dyDescent="0.3">
      <c r="A1114" s="16" t="s">
        <v>56</v>
      </c>
      <c r="B1114" s="16" t="s">
        <v>183</v>
      </c>
      <c r="C1114" s="15">
        <v>3</v>
      </c>
      <c r="D1114" s="17">
        <v>2016326</v>
      </c>
      <c r="E1114" s="17">
        <v>2333131</v>
      </c>
      <c r="F1114" s="17">
        <v>316805</v>
      </c>
      <c r="G1114" s="18">
        <v>1.1571199300113177</v>
      </c>
      <c r="H1114" s="10">
        <v>2025</v>
      </c>
    </row>
    <row r="1115" spans="1:8" hidden="1" x14ac:dyDescent="0.3">
      <c r="A1115" s="16" t="s">
        <v>56</v>
      </c>
      <c r="B1115" s="16" t="s">
        <v>183</v>
      </c>
      <c r="C1115" s="15">
        <v>4</v>
      </c>
      <c r="D1115" s="17">
        <v>2016326</v>
      </c>
      <c r="E1115" s="17">
        <v>2016327</v>
      </c>
      <c r="F1115" s="17">
        <v>1</v>
      </c>
      <c r="G1115" s="18">
        <v>1.0000004959515476</v>
      </c>
      <c r="H1115" s="10">
        <v>2025</v>
      </c>
    </row>
    <row r="1116" spans="1:8" hidden="1" x14ac:dyDescent="0.3">
      <c r="A1116" s="16" t="s">
        <v>56</v>
      </c>
      <c r="B1116" s="16" t="s">
        <v>183</v>
      </c>
      <c r="C1116" s="15">
        <v>5</v>
      </c>
      <c r="D1116" s="17">
        <v>2016326</v>
      </c>
      <c r="E1116" s="17">
        <v>2016327</v>
      </c>
      <c r="F1116" s="17">
        <v>1</v>
      </c>
      <c r="G1116" s="18">
        <v>1.0000004959515476</v>
      </c>
      <c r="H1116" s="10">
        <v>2025</v>
      </c>
    </row>
    <row r="1117" spans="1:8" hidden="1" x14ac:dyDescent="0.3">
      <c r="A1117" s="16" t="s">
        <v>56</v>
      </c>
      <c r="B1117" s="16" t="s">
        <v>183</v>
      </c>
      <c r="C1117" s="15">
        <v>6</v>
      </c>
      <c r="D1117" s="17">
        <v>2016326</v>
      </c>
      <c r="E1117" s="17">
        <v>2016327</v>
      </c>
      <c r="F1117" s="17">
        <v>1</v>
      </c>
      <c r="G1117" s="18">
        <v>1.0000004959515476</v>
      </c>
      <c r="H1117" s="10">
        <v>2025</v>
      </c>
    </row>
    <row r="1118" spans="1:8" hidden="1" x14ac:dyDescent="0.3">
      <c r="A1118" s="16" t="s">
        <v>56</v>
      </c>
      <c r="B1118" s="16" t="s">
        <v>183</v>
      </c>
      <c r="C1118" s="15">
        <v>7</v>
      </c>
      <c r="D1118" s="17">
        <v>4514318</v>
      </c>
      <c r="E1118" s="17">
        <v>4514319</v>
      </c>
      <c r="F1118" s="17">
        <v>1</v>
      </c>
      <c r="G1118" s="18">
        <v>1.0000002215174031</v>
      </c>
      <c r="H1118" s="10">
        <v>2025</v>
      </c>
    </row>
    <row r="1119" spans="1:8" hidden="1" x14ac:dyDescent="0.3">
      <c r="A1119" s="16" t="s">
        <v>56</v>
      </c>
      <c r="B1119" s="16" t="s">
        <v>183</v>
      </c>
      <c r="C1119" s="15">
        <v>8</v>
      </c>
      <c r="D1119" s="17">
        <v>6880038</v>
      </c>
      <c r="E1119" s="17">
        <v>6880039</v>
      </c>
      <c r="F1119" s="17">
        <v>1</v>
      </c>
      <c r="G1119" s="18">
        <v>1.0000001453480345</v>
      </c>
      <c r="H1119" s="10">
        <v>2025</v>
      </c>
    </row>
    <row r="1120" spans="1:8" hidden="1" x14ac:dyDescent="0.3">
      <c r="A1120" s="16" t="s">
        <v>56</v>
      </c>
      <c r="B1120" s="16" t="s">
        <v>183</v>
      </c>
      <c r="C1120" s="15">
        <v>9</v>
      </c>
      <c r="D1120" s="17">
        <v>6880038</v>
      </c>
      <c r="E1120" s="17">
        <v>6880039</v>
      </c>
      <c r="F1120" s="17">
        <v>1</v>
      </c>
      <c r="G1120" s="18">
        <v>1.0000001453480345</v>
      </c>
      <c r="H1120" s="10">
        <v>2025</v>
      </c>
    </row>
    <row r="1121" spans="1:8" hidden="1" x14ac:dyDescent="0.3">
      <c r="A1121" s="16" t="s">
        <v>56</v>
      </c>
      <c r="B1121" s="16" t="s">
        <v>183</v>
      </c>
      <c r="C1121" s="15">
        <v>10</v>
      </c>
      <c r="D1121" s="17">
        <v>6880038</v>
      </c>
      <c r="E1121" s="17">
        <v>6893905</v>
      </c>
      <c r="F1121" s="17">
        <v>13867</v>
      </c>
      <c r="G1121" s="18">
        <v>1.0020155411932319</v>
      </c>
      <c r="H1121" s="10">
        <v>2025</v>
      </c>
    </row>
    <row r="1122" spans="1:8" hidden="1" x14ac:dyDescent="0.3">
      <c r="A1122" s="16" t="s">
        <v>56</v>
      </c>
      <c r="B1122" s="16" t="s">
        <v>184</v>
      </c>
      <c r="C1122" s="15">
        <v>1</v>
      </c>
      <c r="D1122" s="17">
        <v>921715</v>
      </c>
      <c r="E1122" s="17">
        <v>897972</v>
      </c>
      <c r="F1122" s="17">
        <v>-23743</v>
      </c>
      <c r="G1122" s="18">
        <v>0.97424041053904953</v>
      </c>
      <c r="H1122" s="10">
        <v>2025</v>
      </c>
    </row>
    <row r="1123" spans="1:8" hidden="1" x14ac:dyDescent="0.3">
      <c r="A1123" s="16" t="s">
        <v>56</v>
      </c>
      <c r="B1123" s="16" t="s">
        <v>184</v>
      </c>
      <c r="C1123" s="15">
        <v>2</v>
      </c>
      <c r="D1123" s="17">
        <v>1001033</v>
      </c>
      <c r="E1123" s="17">
        <v>921716</v>
      </c>
      <c r="F1123" s="17">
        <v>-79317</v>
      </c>
      <c r="G1123" s="18">
        <v>0.92076484991004293</v>
      </c>
      <c r="H1123" s="10">
        <v>2025</v>
      </c>
    </row>
    <row r="1124" spans="1:8" hidden="1" x14ac:dyDescent="0.3">
      <c r="A1124" s="16" t="s">
        <v>56</v>
      </c>
      <c r="B1124" s="16" t="s">
        <v>184</v>
      </c>
      <c r="C1124" s="15">
        <v>3</v>
      </c>
      <c r="D1124" s="17">
        <v>1001033</v>
      </c>
      <c r="E1124" s="17">
        <v>1159625</v>
      </c>
      <c r="F1124" s="17">
        <v>158592</v>
      </c>
      <c r="G1124" s="18">
        <v>1.1584283435211427</v>
      </c>
      <c r="H1124" s="10">
        <v>2025</v>
      </c>
    </row>
    <row r="1125" spans="1:8" hidden="1" x14ac:dyDescent="0.3">
      <c r="A1125" s="16" t="s">
        <v>56</v>
      </c>
      <c r="B1125" s="16" t="s">
        <v>184</v>
      </c>
      <c r="C1125" s="15">
        <v>4</v>
      </c>
      <c r="D1125" s="17">
        <v>1001033</v>
      </c>
      <c r="E1125" s="17">
        <v>1001034</v>
      </c>
      <c r="F1125" s="17">
        <v>1</v>
      </c>
      <c r="G1125" s="18">
        <v>1.000000998968066</v>
      </c>
      <c r="H1125" s="10">
        <v>2025</v>
      </c>
    </row>
    <row r="1126" spans="1:8" hidden="1" x14ac:dyDescent="0.3">
      <c r="A1126" s="16" t="s">
        <v>56</v>
      </c>
      <c r="B1126" s="16" t="s">
        <v>184</v>
      </c>
      <c r="C1126" s="15">
        <v>5</v>
      </c>
      <c r="D1126" s="17">
        <v>1001033</v>
      </c>
      <c r="E1126" s="17">
        <v>1001034</v>
      </c>
      <c r="F1126" s="17">
        <v>1</v>
      </c>
      <c r="G1126" s="18">
        <v>1.000000998968066</v>
      </c>
      <c r="H1126" s="10">
        <v>2025</v>
      </c>
    </row>
    <row r="1127" spans="1:8" hidden="1" x14ac:dyDescent="0.3">
      <c r="A1127" s="16" t="s">
        <v>56</v>
      </c>
      <c r="B1127" s="16" t="s">
        <v>184</v>
      </c>
      <c r="C1127" s="15">
        <v>6</v>
      </c>
      <c r="D1127" s="17">
        <v>1001033</v>
      </c>
      <c r="E1127" s="17">
        <v>1001034</v>
      </c>
      <c r="F1127" s="17">
        <v>1</v>
      </c>
      <c r="G1127" s="18">
        <v>1.000000998968066</v>
      </c>
      <c r="H1127" s="10">
        <v>2025</v>
      </c>
    </row>
    <row r="1128" spans="1:8" hidden="1" x14ac:dyDescent="0.3">
      <c r="A1128" s="16" t="s">
        <v>56</v>
      </c>
      <c r="B1128" s="16" t="s">
        <v>184</v>
      </c>
      <c r="C1128" s="15">
        <v>7</v>
      </c>
      <c r="D1128" s="17">
        <v>2251528</v>
      </c>
      <c r="E1128" s="17">
        <v>2251529</v>
      </c>
      <c r="F1128" s="17">
        <v>1</v>
      </c>
      <c r="G1128" s="18">
        <v>1.0000004441428221</v>
      </c>
      <c r="H1128" s="10">
        <v>2025</v>
      </c>
    </row>
    <row r="1129" spans="1:8" hidden="1" x14ac:dyDescent="0.3">
      <c r="A1129" s="4" t="s">
        <v>56</v>
      </c>
      <c r="B1129" s="16" t="s">
        <v>184</v>
      </c>
      <c r="C1129" s="15">
        <v>8</v>
      </c>
      <c r="D1129" s="17">
        <v>3435808</v>
      </c>
      <c r="E1129" s="17">
        <v>3435809</v>
      </c>
      <c r="F1129" s="17">
        <v>1</v>
      </c>
      <c r="G1129" s="18">
        <v>1.0000002910523522</v>
      </c>
      <c r="H1129" s="10">
        <v>2025</v>
      </c>
    </row>
    <row r="1130" spans="1:8" hidden="1" x14ac:dyDescent="0.3">
      <c r="A1130" s="4" t="s">
        <v>56</v>
      </c>
      <c r="B1130" s="16" t="s">
        <v>184</v>
      </c>
      <c r="C1130" s="15">
        <v>9</v>
      </c>
      <c r="D1130" s="17">
        <v>3435808</v>
      </c>
      <c r="E1130" s="17">
        <v>3435809</v>
      </c>
      <c r="F1130" s="17">
        <v>1</v>
      </c>
      <c r="G1130" s="18">
        <v>1.0000002910523522</v>
      </c>
      <c r="H1130" s="10">
        <v>2025</v>
      </c>
    </row>
    <row r="1131" spans="1:8" hidden="1" x14ac:dyDescent="0.3">
      <c r="A1131" s="16" t="s">
        <v>56</v>
      </c>
      <c r="B1131" s="4" t="s">
        <v>184</v>
      </c>
      <c r="C1131" s="15">
        <v>10</v>
      </c>
      <c r="D1131" s="17">
        <v>3435808</v>
      </c>
      <c r="E1131" s="17">
        <v>3442750</v>
      </c>
      <c r="F1131" s="17">
        <v>6942</v>
      </c>
      <c r="G1131" s="18">
        <v>1.0020204854287551</v>
      </c>
      <c r="H1131" s="10">
        <v>2025</v>
      </c>
    </row>
    <row r="1132" spans="1:8" hidden="1" x14ac:dyDescent="0.3">
      <c r="A1132" s="16" t="s">
        <v>56</v>
      </c>
      <c r="B1132" s="4" t="s">
        <v>185</v>
      </c>
      <c r="C1132" s="15">
        <v>1</v>
      </c>
      <c r="D1132" s="17">
        <v>305028</v>
      </c>
      <c r="E1132" s="17">
        <v>297171</v>
      </c>
      <c r="F1132" s="17">
        <v>-7857</v>
      </c>
      <c r="G1132" s="18">
        <v>0.97424170895786621</v>
      </c>
      <c r="H1132" s="10">
        <v>2025</v>
      </c>
    </row>
    <row r="1133" spans="1:8" hidden="1" x14ac:dyDescent="0.3">
      <c r="A1133" s="16" t="s">
        <v>56</v>
      </c>
      <c r="B1133" s="4" t="s">
        <v>185</v>
      </c>
      <c r="C1133" s="15">
        <v>2</v>
      </c>
      <c r="D1133" s="17">
        <v>331277</v>
      </c>
      <c r="E1133" s="17">
        <v>305028</v>
      </c>
      <c r="F1133" s="17">
        <v>-26249</v>
      </c>
      <c r="G1133" s="18">
        <v>0.92076419431472756</v>
      </c>
      <c r="H1133" s="10">
        <v>2025</v>
      </c>
    </row>
    <row r="1134" spans="1:8" hidden="1" x14ac:dyDescent="0.3">
      <c r="A1134" s="16" t="s">
        <v>56</v>
      </c>
      <c r="B1134" s="4" t="s">
        <v>185</v>
      </c>
      <c r="C1134" s="15">
        <v>3</v>
      </c>
      <c r="D1134" s="17">
        <v>331277</v>
      </c>
      <c r="E1134" s="17">
        <v>383761</v>
      </c>
      <c r="F1134" s="17">
        <v>52484</v>
      </c>
      <c r="G1134" s="18">
        <v>1.1584293506642478</v>
      </c>
      <c r="H1134" s="10">
        <v>2025</v>
      </c>
    </row>
    <row r="1135" spans="1:8" hidden="1" x14ac:dyDescent="0.3">
      <c r="A1135" s="4" t="s">
        <v>56</v>
      </c>
      <c r="B1135" s="16" t="s">
        <v>185</v>
      </c>
      <c r="C1135" s="15">
        <v>4</v>
      </c>
      <c r="D1135" s="17">
        <v>331277</v>
      </c>
      <c r="E1135" s="17">
        <v>331277</v>
      </c>
      <c r="F1135" s="17">
        <v>0</v>
      </c>
      <c r="G1135" s="18">
        <v>1</v>
      </c>
      <c r="H1135" s="10">
        <v>2025</v>
      </c>
    </row>
    <row r="1136" spans="1:8" hidden="1" x14ac:dyDescent="0.3">
      <c r="A1136" s="4" t="s">
        <v>56</v>
      </c>
      <c r="B1136" s="16" t="s">
        <v>185</v>
      </c>
      <c r="C1136" s="15">
        <v>5</v>
      </c>
      <c r="D1136" s="17">
        <v>331277</v>
      </c>
      <c r="E1136" s="17">
        <v>331277</v>
      </c>
      <c r="F1136" s="17">
        <v>0</v>
      </c>
      <c r="G1136" s="18">
        <v>1</v>
      </c>
      <c r="H1136" s="10">
        <v>2025</v>
      </c>
    </row>
    <row r="1137" spans="1:8" hidden="1" x14ac:dyDescent="0.3">
      <c r="A1137" s="4" t="s">
        <v>56</v>
      </c>
      <c r="B1137" s="16" t="s">
        <v>185</v>
      </c>
      <c r="C1137" s="15">
        <v>6</v>
      </c>
      <c r="D1137" s="17">
        <v>331277</v>
      </c>
      <c r="E1137" s="17">
        <v>331277</v>
      </c>
      <c r="F1137" s="17">
        <v>0</v>
      </c>
      <c r="G1137" s="18">
        <v>1</v>
      </c>
      <c r="H1137" s="10">
        <v>2025</v>
      </c>
    </row>
    <row r="1138" spans="1:8" hidden="1" x14ac:dyDescent="0.3">
      <c r="A1138" s="4" t="s">
        <v>56</v>
      </c>
      <c r="B1138" s="16" t="s">
        <v>185</v>
      </c>
      <c r="C1138" s="15">
        <v>7</v>
      </c>
      <c r="D1138" s="17">
        <v>745110</v>
      </c>
      <c r="E1138" s="17">
        <v>745110</v>
      </c>
      <c r="F1138" s="17">
        <v>0</v>
      </c>
      <c r="G1138" s="18">
        <v>1</v>
      </c>
      <c r="H1138" s="10">
        <v>2025</v>
      </c>
    </row>
    <row r="1139" spans="1:8" hidden="1" x14ac:dyDescent="0.3">
      <c r="A1139" s="4" t="s">
        <v>56</v>
      </c>
      <c r="B1139" s="16" t="s">
        <v>185</v>
      </c>
      <c r="C1139" s="15">
        <v>8</v>
      </c>
      <c r="D1139" s="17">
        <v>1137030</v>
      </c>
      <c r="E1139" s="17">
        <v>1137030</v>
      </c>
      <c r="F1139" s="17">
        <v>0</v>
      </c>
      <c r="G1139" s="18">
        <v>1</v>
      </c>
      <c r="H1139" s="10">
        <v>2025</v>
      </c>
    </row>
    <row r="1140" spans="1:8" hidden="1" x14ac:dyDescent="0.3">
      <c r="A1140" s="16" t="s">
        <v>56</v>
      </c>
      <c r="B1140" s="16" t="s">
        <v>185</v>
      </c>
      <c r="C1140" s="15">
        <v>9</v>
      </c>
      <c r="D1140" s="17">
        <v>1137030</v>
      </c>
      <c r="E1140" s="17">
        <v>1137030</v>
      </c>
      <c r="F1140" s="17">
        <v>0</v>
      </c>
      <c r="G1140" s="18">
        <v>1</v>
      </c>
      <c r="H1140" s="10">
        <v>2025</v>
      </c>
    </row>
    <row r="1141" spans="1:8" hidden="1" x14ac:dyDescent="0.3">
      <c r="A1141" s="16" t="s">
        <v>56</v>
      </c>
      <c r="B1141" s="16" t="s">
        <v>185</v>
      </c>
      <c r="C1141" s="15">
        <v>10</v>
      </c>
      <c r="D1141" s="17">
        <v>1137030</v>
      </c>
      <c r="E1141" s="17">
        <v>1139327</v>
      </c>
      <c r="F1141" s="17">
        <v>2297</v>
      </c>
      <c r="G1141" s="18">
        <v>1.0020201753691635</v>
      </c>
      <c r="H1141" s="10">
        <v>2025</v>
      </c>
    </row>
    <row r="1142" spans="1:8" hidden="1" x14ac:dyDescent="0.3">
      <c r="A1142" s="16" t="s">
        <v>56</v>
      </c>
      <c r="B1142" s="16" t="s">
        <v>186</v>
      </c>
      <c r="C1142" s="15">
        <v>1</v>
      </c>
      <c r="D1142" s="17">
        <v>10340000</v>
      </c>
      <c r="E1142" s="17">
        <v>10340000</v>
      </c>
      <c r="F1142" s="17">
        <v>0</v>
      </c>
      <c r="G1142" s="18">
        <v>1</v>
      </c>
      <c r="H1142" s="10">
        <v>2025</v>
      </c>
    </row>
    <row r="1143" spans="1:8" hidden="1" x14ac:dyDescent="0.3">
      <c r="A1143" s="16" t="s">
        <v>56</v>
      </c>
      <c r="B1143" s="16" t="s">
        <v>186</v>
      </c>
      <c r="C1143" s="15">
        <v>2</v>
      </c>
      <c r="D1143" s="17">
        <v>3274363</v>
      </c>
      <c r="E1143" s="17">
        <v>3014917</v>
      </c>
      <c r="F1143" s="17">
        <v>-259446</v>
      </c>
      <c r="G1143" s="18">
        <v>0.92076443570856381</v>
      </c>
      <c r="H1143" s="10">
        <v>2025</v>
      </c>
    </row>
    <row r="1144" spans="1:8" hidden="1" x14ac:dyDescent="0.3">
      <c r="A1144" s="16" t="s">
        <v>56</v>
      </c>
      <c r="B1144" s="16" t="s">
        <v>186</v>
      </c>
      <c r="C1144" s="15">
        <v>3</v>
      </c>
      <c r="D1144" s="17">
        <v>3274363</v>
      </c>
      <c r="E1144" s="17">
        <v>3793115</v>
      </c>
      <c r="F1144" s="17">
        <v>518752</v>
      </c>
      <c r="G1144" s="18">
        <v>1.1584283721749848</v>
      </c>
      <c r="H1144" s="10">
        <v>2025</v>
      </c>
    </row>
    <row r="1145" spans="1:8" hidden="1" x14ac:dyDescent="0.3">
      <c r="A1145" s="16" t="s">
        <v>56</v>
      </c>
      <c r="B1145" s="16" t="s">
        <v>186</v>
      </c>
      <c r="C1145" s="15">
        <v>4</v>
      </c>
      <c r="D1145" s="17">
        <v>3274363</v>
      </c>
      <c r="E1145" s="17">
        <v>3274364</v>
      </c>
      <c r="F1145" s="17">
        <v>1</v>
      </c>
      <c r="G1145" s="18">
        <v>1.0000003054029136</v>
      </c>
      <c r="H1145" s="10">
        <v>2025</v>
      </c>
    </row>
    <row r="1146" spans="1:8" hidden="1" x14ac:dyDescent="0.3">
      <c r="A1146" s="4" t="s">
        <v>56</v>
      </c>
      <c r="B1146" s="16" t="s">
        <v>186</v>
      </c>
      <c r="C1146" s="15">
        <v>5</v>
      </c>
      <c r="D1146" s="17">
        <v>3274363</v>
      </c>
      <c r="E1146" s="17">
        <v>3274364</v>
      </c>
      <c r="F1146" s="17">
        <v>1</v>
      </c>
      <c r="G1146" s="18">
        <v>1.0000003054029136</v>
      </c>
      <c r="H1146" s="10">
        <v>2025</v>
      </c>
    </row>
    <row r="1147" spans="1:8" hidden="1" x14ac:dyDescent="0.3">
      <c r="A1147" s="4" t="s">
        <v>56</v>
      </c>
      <c r="B1147" s="16" t="s">
        <v>186</v>
      </c>
      <c r="C1147" s="15">
        <v>6</v>
      </c>
      <c r="D1147" s="17">
        <v>3274363</v>
      </c>
      <c r="E1147" s="17">
        <v>3274364</v>
      </c>
      <c r="F1147" s="17">
        <v>1</v>
      </c>
      <c r="G1147" s="18">
        <v>1.0000003054029136</v>
      </c>
      <c r="H1147" s="10">
        <v>2025</v>
      </c>
    </row>
    <row r="1148" spans="1:8" hidden="1" x14ac:dyDescent="0.3">
      <c r="A1148" s="4" t="s">
        <v>56</v>
      </c>
      <c r="B1148" s="16" t="s">
        <v>186</v>
      </c>
      <c r="C1148" s="15">
        <v>7</v>
      </c>
      <c r="D1148" s="17">
        <v>7364713</v>
      </c>
      <c r="E1148" s="17">
        <v>7364713</v>
      </c>
      <c r="F1148" s="17">
        <v>0</v>
      </c>
      <c r="G1148" s="18">
        <v>1</v>
      </c>
      <c r="H1148" s="10">
        <v>2025</v>
      </c>
    </row>
    <row r="1149" spans="1:8" hidden="1" x14ac:dyDescent="0.3">
      <c r="A1149" s="4" t="s">
        <v>56</v>
      </c>
      <c r="B1149" s="16" t="s">
        <v>186</v>
      </c>
      <c r="C1149" s="15">
        <v>8</v>
      </c>
      <c r="D1149" s="17">
        <v>11238473</v>
      </c>
      <c r="E1149" s="17">
        <v>11238473</v>
      </c>
      <c r="F1149" s="17">
        <v>0</v>
      </c>
      <c r="G1149" s="18">
        <v>1</v>
      </c>
      <c r="H1149" s="10">
        <v>2025</v>
      </c>
    </row>
    <row r="1150" spans="1:8" hidden="1" x14ac:dyDescent="0.3">
      <c r="A1150" s="16" t="s">
        <v>56</v>
      </c>
      <c r="B1150" s="16" t="s">
        <v>186</v>
      </c>
      <c r="C1150" s="15">
        <v>9</v>
      </c>
      <c r="D1150" s="17">
        <v>11238473</v>
      </c>
      <c r="E1150" s="17">
        <v>11238473</v>
      </c>
      <c r="F1150" s="17">
        <v>0</v>
      </c>
      <c r="G1150" s="18">
        <v>1</v>
      </c>
      <c r="H1150" s="10">
        <v>2025</v>
      </c>
    </row>
    <row r="1151" spans="1:8" hidden="1" x14ac:dyDescent="0.3">
      <c r="A1151" s="16" t="s">
        <v>56</v>
      </c>
      <c r="B1151" s="16" t="s">
        <v>186</v>
      </c>
      <c r="C1151" s="15">
        <v>10</v>
      </c>
      <c r="D1151" s="17">
        <v>11238473</v>
      </c>
      <c r="E1151" s="17">
        <v>11261178</v>
      </c>
      <c r="F1151" s="17">
        <v>22705</v>
      </c>
      <c r="G1151" s="18">
        <v>1.0020202922585657</v>
      </c>
      <c r="H1151" s="10">
        <v>2025</v>
      </c>
    </row>
    <row r="1152" spans="1:8" hidden="1" x14ac:dyDescent="0.3">
      <c r="A1152" s="16" t="s">
        <v>56</v>
      </c>
      <c r="B1152" s="16" t="s">
        <v>187</v>
      </c>
      <c r="C1152" s="15">
        <v>1</v>
      </c>
      <c r="D1152" s="17">
        <v>921715</v>
      </c>
      <c r="E1152" s="17">
        <v>897972</v>
      </c>
      <c r="F1152" s="17">
        <v>-23743</v>
      </c>
      <c r="G1152" s="18">
        <v>0.97424041053904953</v>
      </c>
      <c r="H1152" s="10">
        <v>2025</v>
      </c>
    </row>
    <row r="1153" spans="1:8" hidden="1" x14ac:dyDescent="0.3">
      <c r="A1153" s="16" t="s">
        <v>56</v>
      </c>
      <c r="B1153" s="16" t="s">
        <v>187</v>
      </c>
      <c r="C1153" s="15">
        <v>2</v>
      </c>
      <c r="D1153" s="17">
        <v>1001033</v>
      </c>
      <c r="E1153" s="17">
        <v>921716</v>
      </c>
      <c r="F1153" s="17">
        <v>-79317</v>
      </c>
      <c r="G1153" s="18">
        <v>0.92076484991004293</v>
      </c>
      <c r="H1153" s="10">
        <v>2025</v>
      </c>
    </row>
    <row r="1154" spans="1:8" hidden="1" x14ac:dyDescent="0.3">
      <c r="A1154" s="16" t="s">
        <v>56</v>
      </c>
      <c r="B1154" s="16" t="s">
        <v>187</v>
      </c>
      <c r="C1154" s="15">
        <v>3</v>
      </c>
      <c r="D1154" s="17">
        <v>1001033</v>
      </c>
      <c r="E1154" s="17">
        <v>1159625</v>
      </c>
      <c r="F1154" s="17">
        <v>158592</v>
      </c>
      <c r="G1154" s="18">
        <v>1.1584283435211427</v>
      </c>
      <c r="H1154" s="10">
        <v>2025</v>
      </c>
    </row>
    <row r="1155" spans="1:8" hidden="1" x14ac:dyDescent="0.3">
      <c r="A1155" s="16" t="s">
        <v>56</v>
      </c>
      <c r="B1155" s="16" t="s">
        <v>187</v>
      </c>
      <c r="C1155" s="15">
        <v>4</v>
      </c>
      <c r="D1155" s="17">
        <v>1001033</v>
      </c>
      <c r="E1155" s="17">
        <v>1001034</v>
      </c>
      <c r="F1155" s="17">
        <v>1</v>
      </c>
      <c r="G1155" s="18">
        <v>1.000000998968066</v>
      </c>
      <c r="H1155" s="10">
        <v>2025</v>
      </c>
    </row>
    <row r="1156" spans="1:8" hidden="1" x14ac:dyDescent="0.3">
      <c r="A1156" s="16" t="s">
        <v>56</v>
      </c>
      <c r="B1156" s="16" t="s">
        <v>187</v>
      </c>
      <c r="C1156" s="15">
        <v>5</v>
      </c>
      <c r="D1156" s="17">
        <v>1001033</v>
      </c>
      <c r="E1156" s="17">
        <v>1001034</v>
      </c>
      <c r="F1156" s="17">
        <v>1</v>
      </c>
      <c r="G1156" s="18">
        <v>1.000000998968066</v>
      </c>
      <c r="H1156" s="10">
        <v>2025</v>
      </c>
    </row>
    <row r="1157" spans="1:8" hidden="1" x14ac:dyDescent="0.3">
      <c r="A1157" s="16" t="s">
        <v>56</v>
      </c>
      <c r="B1157" s="16" t="s">
        <v>187</v>
      </c>
      <c r="C1157" s="15">
        <v>6</v>
      </c>
      <c r="D1157" s="17">
        <v>1001033</v>
      </c>
      <c r="E1157" s="17">
        <v>1001034</v>
      </c>
      <c r="F1157" s="17">
        <v>1</v>
      </c>
      <c r="G1157" s="18">
        <v>1.000000998968066</v>
      </c>
      <c r="H1157" s="10">
        <v>2025</v>
      </c>
    </row>
    <row r="1158" spans="1:8" hidden="1" x14ac:dyDescent="0.3">
      <c r="A1158" s="16" t="s">
        <v>56</v>
      </c>
      <c r="B1158" s="16" t="s">
        <v>187</v>
      </c>
      <c r="C1158" s="15">
        <v>7</v>
      </c>
      <c r="D1158" s="17">
        <v>2251528</v>
      </c>
      <c r="E1158" s="17">
        <v>2251529</v>
      </c>
      <c r="F1158" s="17">
        <v>1</v>
      </c>
      <c r="G1158" s="18">
        <v>1.0000004441428221</v>
      </c>
      <c r="H1158" s="10">
        <v>2025</v>
      </c>
    </row>
    <row r="1159" spans="1:8" hidden="1" x14ac:dyDescent="0.3">
      <c r="A1159" s="16" t="s">
        <v>56</v>
      </c>
      <c r="B1159" s="16" t="s">
        <v>187</v>
      </c>
      <c r="C1159" s="15">
        <v>8</v>
      </c>
      <c r="D1159" s="17">
        <v>3435808</v>
      </c>
      <c r="E1159" s="17">
        <v>3435809</v>
      </c>
      <c r="F1159" s="17">
        <v>1</v>
      </c>
      <c r="G1159" s="18">
        <v>1.0000002910523522</v>
      </c>
      <c r="H1159" s="10">
        <v>2025</v>
      </c>
    </row>
    <row r="1160" spans="1:8" hidden="1" x14ac:dyDescent="0.3">
      <c r="A1160" s="4" t="s">
        <v>56</v>
      </c>
      <c r="B1160" s="16" t="s">
        <v>187</v>
      </c>
      <c r="C1160" s="15">
        <v>9</v>
      </c>
      <c r="D1160" s="17">
        <v>3435808</v>
      </c>
      <c r="E1160" s="17">
        <v>3435809</v>
      </c>
      <c r="F1160" s="17">
        <v>1</v>
      </c>
      <c r="G1160" s="18">
        <v>1.0000002910523522</v>
      </c>
      <c r="H1160" s="10">
        <v>2025</v>
      </c>
    </row>
    <row r="1161" spans="1:8" hidden="1" x14ac:dyDescent="0.3">
      <c r="A1161" s="4" t="s">
        <v>56</v>
      </c>
      <c r="B1161" s="16" t="s">
        <v>187</v>
      </c>
      <c r="C1161" s="15">
        <v>10</v>
      </c>
      <c r="D1161" s="17">
        <v>3435808</v>
      </c>
      <c r="E1161" s="17">
        <v>3442750</v>
      </c>
      <c r="F1161" s="17">
        <v>6942</v>
      </c>
      <c r="G1161" s="18">
        <v>1.0020204854287551</v>
      </c>
      <c r="H1161" s="10">
        <v>2025</v>
      </c>
    </row>
    <row r="1162" spans="1:8" hidden="1" x14ac:dyDescent="0.3">
      <c r="A1162" s="4" t="s">
        <v>56</v>
      </c>
      <c r="B1162" s="16" t="s">
        <v>192</v>
      </c>
      <c r="C1162" s="15">
        <v>1</v>
      </c>
      <c r="D1162" s="17">
        <v>115380</v>
      </c>
      <c r="E1162" s="17">
        <v>97050</v>
      </c>
      <c r="F1162" s="17">
        <v>-18330</v>
      </c>
      <c r="G1162" s="18">
        <v>0.84113364534581392</v>
      </c>
      <c r="H1162" s="10">
        <v>2025</v>
      </c>
    </row>
    <row r="1163" spans="1:8" hidden="1" x14ac:dyDescent="0.3">
      <c r="A1163" s="4" t="s">
        <v>56</v>
      </c>
      <c r="B1163" s="16" t="s">
        <v>192</v>
      </c>
      <c r="C1163" s="15">
        <v>2</v>
      </c>
      <c r="D1163" s="17">
        <v>125309</v>
      </c>
      <c r="E1163" s="17">
        <v>115350</v>
      </c>
      <c r="F1163" s="17">
        <v>-9959</v>
      </c>
      <c r="G1163" s="18">
        <v>0.92052446352616335</v>
      </c>
      <c r="H1163" s="10">
        <v>2025</v>
      </c>
    </row>
    <row r="1164" spans="1:8" hidden="1" x14ac:dyDescent="0.3">
      <c r="A1164" s="4" t="s">
        <v>56</v>
      </c>
      <c r="B1164" s="16" t="s">
        <v>192</v>
      </c>
      <c r="C1164" s="15">
        <v>3</v>
      </c>
      <c r="D1164" s="17">
        <v>125309</v>
      </c>
      <c r="E1164" s="17">
        <v>145434</v>
      </c>
      <c r="F1164" s="17">
        <v>20125</v>
      </c>
      <c r="G1164" s="18">
        <v>1.1606029894101781</v>
      </c>
      <c r="H1164" s="10">
        <v>2025</v>
      </c>
    </row>
    <row r="1165" spans="1:8" hidden="1" x14ac:dyDescent="0.3">
      <c r="A1165" s="4" t="s">
        <v>56</v>
      </c>
      <c r="B1165" s="16" t="s">
        <v>192</v>
      </c>
      <c r="C1165" s="15">
        <v>4</v>
      </c>
      <c r="D1165" s="17">
        <v>125309</v>
      </c>
      <c r="E1165" s="17">
        <v>125592</v>
      </c>
      <c r="F1165" s="17">
        <v>283</v>
      </c>
      <c r="G1165" s="18">
        <v>1.0022584171926996</v>
      </c>
      <c r="H1165" s="10">
        <v>2025</v>
      </c>
    </row>
    <row r="1166" spans="1:8" hidden="1" x14ac:dyDescent="0.3">
      <c r="A1166" s="4" t="s">
        <v>56</v>
      </c>
      <c r="B1166" s="16" t="s">
        <v>192</v>
      </c>
      <c r="C1166" s="15">
        <v>5</v>
      </c>
      <c r="D1166" s="17">
        <v>125309</v>
      </c>
      <c r="E1166" s="17">
        <v>125592</v>
      </c>
      <c r="F1166" s="17">
        <v>283</v>
      </c>
      <c r="G1166" s="18">
        <v>1.0022584171926996</v>
      </c>
      <c r="H1166" s="10">
        <v>2025</v>
      </c>
    </row>
    <row r="1167" spans="1:8" hidden="1" x14ac:dyDescent="0.3">
      <c r="A1167" s="4" t="s">
        <v>56</v>
      </c>
      <c r="B1167" s="16" t="s">
        <v>192</v>
      </c>
      <c r="C1167" s="15">
        <v>6</v>
      </c>
      <c r="D1167" s="17">
        <v>125309</v>
      </c>
      <c r="E1167" s="17">
        <v>125592</v>
      </c>
      <c r="F1167" s="17">
        <v>283</v>
      </c>
      <c r="G1167" s="18">
        <v>1.0022584171926996</v>
      </c>
      <c r="H1167" s="10">
        <v>2025</v>
      </c>
    </row>
    <row r="1168" spans="1:8" hidden="1" x14ac:dyDescent="0.3">
      <c r="A1168" s="4" t="s">
        <v>56</v>
      </c>
      <c r="B1168" s="16" t="s">
        <v>192</v>
      </c>
      <c r="C1168" s="15">
        <v>7</v>
      </c>
      <c r="D1168" s="17">
        <v>281846</v>
      </c>
      <c r="E1168" s="17">
        <v>282150</v>
      </c>
      <c r="F1168" s="17">
        <v>304</v>
      </c>
      <c r="G1168" s="18">
        <v>1.0010786032088446</v>
      </c>
      <c r="H1168" s="10">
        <v>2025</v>
      </c>
    </row>
    <row r="1169" spans="1:8" hidden="1" x14ac:dyDescent="0.3">
      <c r="A1169" s="4" t="s">
        <v>56</v>
      </c>
      <c r="B1169" s="16" t="s">
        <v>192</v>
      </c>
      <c r="C1169" s="15">
        <v>8</v>
      </c>
      <c r="D1169" s="17">
        <v>430094</v>
      </c>
      <c r="E1169" s="17">
        <v>430550</v>
      </c>
      <c r="F1169" s="17">
        <v>456</v>
      </c>
      <c r="G1169" s="18">
        <v>1.0010602333443388</v>
      </c>
      <c r="H1169" s="10">
        <v>2025</v>
      </c>
    </row>
    <row r="1170" spans="1:8" hidden="1" x14ac:dyDescent="0.3">
      <c r="A1170" s="16" t="s">
        <v>56</v>
      </c>
      <c r="B1170" s="16" t="s">
        <v>192</v>
      </c>
      <c r="C1170" s="15">
        <v>9</v>
      </c>
      <c r="D1170" s="17">
        <v>430094</v>
      </c>
      <c r="E1170" s="17">
        <v>851500</v>
      </c>
      <c r="F1170" s="17">
        <v>421406</v>
      </c>
      <c r="G1170" s="18">
        <v>1.9797997647026</v>
      </c>
      <c r="H1170" s="10">
        <v>2025</v>
      </c>
    </row>
    <row r="1171" spans="1:8" hidden="1" x14ac:dyDescent="0.3">
      <c r="A1171" s="16" t="s">
        <v>56</v>
      </c>
      <c r="B1171" s="16" t="s">
        <v>192</v>
      </c>
      <c r="C1171" s="15">
        <v>10</v>
      </c>
      <c r="D1171" s="17">
        <v>430094</v>
      </c>
      <c r="E1171" s="17">
        <v>334250</v>
      </c>
      <c r="F1171" s="17">
        <v>-95844</v>
      </c>
      <c r="G1171" s="18">
        <v>0.77715569154649911</v>
      </c>
      <c r="H1171" s="10">
        <v>2025</v>
      </c>
    </row>
    <row r="1172" spans="1:8" hidden="1" x14ac:dyDescent="0.3">
      <c r="A1172" s="16" t="s">
        <v>56</v>
      </c>
      <c r="B1172" s="16" t="s">
        <v>193</v>
      </c>
      <c r="C1172" s="15">
        <v>1</v>
      </c>
      <c r="D1172" s="17">
        <v>574691</v>
      </c>
      <c r="E1172" s="17">
        <v>993136</v>
      </c>
      <c r="F1172" s="17">
        <v>418445</v>
      </c>
      <c r="G1172" s="18">
        <v>1.7281217210640154</v>
      </c>
      <c r="H1172" s="10">
        <v>2025</v>
      </c>
    </row>
    <row r="1173" spans="1:8" hidden="1" x14ac:dyDescent="0.3">
      <c r="A1173" s="16" t="s">
        <v>56</v>
      </c>
      <c r="B1173" s="16" t="s">
        <v>193</v>
      </c>
      <c r="C1173" s="15">
        <v>2</v>
      </c>
      <c r="D1173" s="17">
        <v>624145</v>
      </c>
      <c r="E1173" s="17">
        <v>637360</v>
      </c>
      <c r="F1173" s="17">
        <v>13215</v>
      </c>
      <c r="G1173" s="18">
        <v>1.0211729646155943</v>
      </c>
      <c r="H1173" s="10">
        <v>2025</v>
      </c>
    </row>
    <row r="1174" spans="1:8" hidden="1" x14ac:dyDescent="0.3">
      <c r="A1174" s="16" t="s">
        <v>56</v>
      </c>
      <c r="B1174" s="16" t="s">
        <v>193</v>
      </c>
      <c r="C1174" s="15">
        <v>3</v>
      </c>
      <c r="D1174" s="17">
        <v>624145</v>
      </c>
      <c r="E1174" s="17">
        <v>813721</v>
      </c>
      <c r="F1174" s="17">
        <v>189576</v>
      </c>
      <c r="G1174" s="18">
        <v>1.3037371123697217</v>
      </c>
      <c r="H1174" s="10">
        <v>2025</v>
      </c>
    </row>
    <row r="1175" spans="1:8" hidden="1" x14ac:dyDescent="0.3">
      <c r="A1175" s="16" t="s">
        <v>56</v>
      </c>
      <c r="B1175" s="16" t="s">
        <v>193</v>
      </c>
      <c r="C1175" s="15">
        <v>4</v>
      </c>
      <c r="D1175" s="17">
        <v>624145</v>
      </c>
      <c r="E1175" s="17">
        <v>696321</v>
      </c>
      <c r="F1175" s="17">
        <v>72176</v>
      </c>
      <c r="G1175" s="18">
        <v>1.1156397952398882</v>
      </c>
      <c r="H1175" s="10">
        <v>2025</v>
      </c>
    </row>
    <row r="1176" spans="1:8" hidden="1" x14ac:dyDescent="0.3">
      <c r="A1176" s="16" t="s">
        <v>56</v>
      </c>
      <c r="B1176" s="16" t="s">
        <v>193</v>
      </c>
      <c r="C1176" s="15">
        <v>5</v>
      </c>
      <c r="D1176" s="17">
        <v>624145</v>
      </c>
      <c r="E1176" s="17">
        <v>696321</v>
      </c>
      <c r="F1176" s="17">
        <v>72176</v>
      </c>
      <c r="G1176" s="18">
        <v>1.1156397952398882</v>
      </c>
      <c r="H1176" s="10">
        <v>2025</v>
      </c>
    </row>
    <row r="1177" spans="1:8" hidden="1" x14ac:dyDescent="0.3">
      <c r="A1177" s="16" t="s">
        <v>56</v>
      </c>
      <c r="B1177" s="16" t="s">
        <v>193</v>
      </c>
      <c r="C1177" s="15">
        <v>6</v>
      </c>
      <c r="D1177" s="17">
        <v>624145</v>
      </c>
      <c r="E1177" s="17">
        <v>696321</v>
      </c>
      <c r="F1177" s="17">
        <v>72176</v>
      </c>
      <c r="G1177" s="18">
        <v>1.1156397952398882</v>
      </c>
      <c r="H1177" s="10">
        <v>2025</v>
      </c>
    </row>
    <row r="1178" spans="1:8" hidden="1" x14ac:dyDescent="0.3">
      <c r="A1178" s="16" t="s">
        <v>56</v>
      </c>
      <c r="B1178" s="16" t="s">
        <v>193</v>
      </c>
      <c r="C1178" s="15">
        <v>7</v>
      </c>
      <c r="D1178" s="17">
        <v>1403831</v>
      </c>
      <c r="E1178" s="17">
        <v>847510</v>
      </c>
      <c r="F1178" s="17">
        <v>-556321</v>
      </c>
      <c r="G1178" s="18">
        <v>0.6037122702091634</v>
      </c>
      <c r="H1178" s="10">
        <v>2025</v>
      </c>
    </row>
    <row r="1179" spans="1:8" hidden="1" x14ac:dyDescent="0.3">
      <c r="A1179" s="16" t="s">
        <v>56</v>
      </c>
      <c r="B1179" s="16" t="s">
        <v>193</v>
      </c>
      <c r="C1179" s="15">
        <v>8</v>
      </c>
      <c r="D1179" s="17">
        <v>2142231</v>
      </c>
      <c r="E1179" s="17">
        <v>847510</v>
      </c>
      <c r="F1179" s="17">
        <v>-1294721</v>
      </c>
      <c r="G1179" s="18">
        <v>0.39562026690865737</v>
      </c>
      <c r="H1179" s="10">
        <v>2025</v>
      </c>
    </row>
    <row r="1180" spans="1:8" hidden="1" x14ac:dyDescent="0.3">
      <c r="A1180" s="16" t="s">
        <v>56</v>
      </c>
      <c r="B1180" s="16" t="s">
        <v>193</v>
      </c>
      <c r="C1180" s="15">
        <v>9</v>
      </c>
      <c r="D1180" s="17">
        <v>2142231</v>
      </c>
      <c r="E1180" s="17">
        <v>3261450</v>
      </c>
      <c r="F1180" s="17">
        <v>1119219</v>
      </c>
      <c r="G1180" s="18">
        <v>1.5224548613104749</v>
      </c>
      <c r="H1180" s="10">
        <v>2025</v>
      </c>
    </row>
    <row r="1181" spans="1:8" hidden="1" x14ac:dyDescent="0.3">
      <c r="A1181" s="16" t="s">
        <v>56</v>
      </c>
      <c r="B1181" s="16" t="s">
        <v>193</v>
      </c>
      <c r="C1181" s="15">
        <v>10</v>
      </c>
      <c r="D1181" s="17">
        <v>2142231</v>
      </c>
      <c r="E1181" s="17">
        <v>847450</v>
      </c>
      <c r="F1181" s="17">
        <v>-1294781</v>
      </c>
      <c r="G1181" s="18">
        <v>0.39559225872466602</v>
      </c>
      <c r="H1181" s="10">
        <v>2025</v>
      </c>
    </row>
    <row r="1182" spans="1:8" hidden="1" x14ac:dyDescent="0.3">
      <c r="A1182" s="16" t="s">
        <v>56</v>
      </c>
      <c r="B1182" s="16" t="s">
        <v>194</v>
      </c>
      <c r="C1182" s="15">
        <v>1</v>
      </c>
      <c r="D1182" s="17">
        <v>2652420</v>
      </c>
      <c r="E1182" s="17">
        <v>3189036</v>
      </c>
      <c r="F1182" s="17">
        <v>536616</v>
      </c>
      <c r="G1182" s="18">
        <v>1.2023118510643112</v>
      </c>
      <c r="H1182" s="10">
        <v>2025</v>
      </c>
    </row>
    <row r="1183" spans="1:8" hidden="1" x14ac:dyDescent="0.3">
      <c r="A1183" s="16" t="s">
        <v>56</v>
      </c>
      <c r="B1183" s="16" t="s">
        <v>194</v>
      </c>
      <c r="C1183" s="15">
        <v>2</v>
      </c>
      <c r="D1183" s="17">
        <v>2880672</v>
      </c>
      <c r="E1183" s="17">
        <v>2651860</v>
      </c>
      <c r="F1183" s="17">
        <v>-228812</v>
      </c>
      <c r="G1183" s="18">
        <v>0.9205699225736218</v>
      </c>
      <c r="H1183" s="10">
        <v>2025</v>
      </c>
    </row>
    <row r="1184" spans="1:8" hidden="1" x14ac:dyDescent="0.3">
      <c r="A1184" s="16" t="s">
        <v>56</v>
      </c>
      <c r="B1184" s="16" t="s">
        <v>194</v>
      </c>
      <c r="C1184" s="15">
        <v>3</v>
      </c>
      <c r="D1184" s="17">
        <v>2880672</v>
      </c>
      <c r="E1184" s="17">
        <v>3337653</v>
      </c>
      <c r="F1184" s="17">
        <v>456981</v>
      </c>
      <c r="G1184" s="18">
        <v>1.1586369430466226</v>
      </c>
      <c r="H1184" s="10">
        <v>2025</v>
      </c>
    </row>
    <row r="1185" spans="1:8" hidden="1" x14ac:dyDescent="0.3">
      <c r="A1185" s="16" t="s">
        <v>56</v>
      </c>
      <c r="B1185" s="16" t="s">
        <v>194</v>
      </c>
      <c r="C1185" s="15">
        <v>4</v>
      </c>
      <c r="D1185" s="17">
        <v>2880672</v>
      </c>
      <c r="E1185" s="17">
        <v>2881001</v>
      </c>
      <c r="F1185" s="17">
        <v>329</v>
      </c>
      <c r="G1185" s="18">
        <v>1.0001142094622366</v>
      </c>
      <c r="H1185" s="10">
        <v>2025</v>
      </c>
    </row>
    <row r="1186" spans="1:8" hidden="1" x14ac:dyDescent="0.3">
      <c r="A1186" s="16" t="s">
        <v>56</v>
      </c>
      <c r="B1186" s="16" t="s">
        <v>194</v>
      </c>
      <c r="C1186" s="15">
        <v>5</v>
      </c>
      <c r="D1186" s="17">
        <v>2880672</v>
      </c>
      <c r="E1186" s="17">
        <v>2881001</v>
      </c>
      <c r="F1186" s="17">
        <v>329</v>
      </c>
      <c r="G1186" s="18">
        <v>1.0001142094622366</v>
      </c>
      <c r="H1186" s="10">
        <v>2025</v>
      </c>
    </row>
    <row r="1187" spans="1:8" hidden="1" x14ac:dyDescent="0.3">
      <c r="A1187" s="16" t="s">
        <v>56</v>
      </c>
      <c r="B1187" s="16" t="s">
        <v>194</v>
      </c>
      <c r="C1187" s="15">
        <v>6</v>
      </c>
      <c r="D1187" s="17">
        <v>2880672</v>
      </c>
      <c r="E1187" s="17">
        <v>2881001</v>
      </c>
      <c r="F1187" s="17">
        <v>329</v>
      </c>
      <c r="G1187" s="18">
        <v>1.0001142094622366</v>
      </c>
      <c r="H1187" s="10">
        <v>2025</v>
      </c>
    </row>
    <row r="1188" spans="1:8" hidden="1" x14ac:dyDescent="0.3">
      <c r="A1188" s="16" t="s">
        <v>56</v>
      </c>
      <c r="B1188" s="16" t="s">
        <v>194</v>
      </c>
      <c r="C1188" s="15">
        <v>7</v>
      </c>
      <c r="D1188" s="17">
        <v>6479220</v>
      </c>
      <c r="E1188" s="17">
        <v>6479260</v>
      </c>
      <c r="F1188" s="17">
        <v>40</v>
      </c>
      <c r="G1188" s="18">
        <v>1.0000061735826227</v>
      </c>
      <c r="H1188" s="10">
        <v>2025</v>
      </c>
    </row>
    <row r="1189" spans="1:8" hidden="1" x14ac:dyDescent="0.3">
      <c r="A1189" s="16" t="s">
        <v>56</v>
      </c>
      <c r="B1189" s="16" t="s">
        <v>194</v>
      </c>
      <c r="C1189" s="15">
        <v>8</v>
      </c>
      <c r="D1189" s="17">
        <v>9887220</v>
      </c>
      <c r="E1189" s="17">
        <v>5059260</v>
      </c>
      <c r="F1189" s="17">
        <v>-4827960</v>
      </c>
      <c r="G1189" s="18">
        <v>0.51169691783939264</v>
      </c>
      <c r="H1189" s="10">
        <v>2025</v>
      </c>
    </row>
    <row r="1190" spans="1:8" hidden="1" x14ac:dyDescent="0.3">
      <c r="A1190" s="16" t="s">
        <v>56</v>
      </c>
      <c r="B1190" s="16" t="s">
        <v>194</v>
      </c>
      <c r="C1190" s="15">
        <v>9</v>
      </c>
      <c r="D1190" s="17">
        <v>9887220</v>
      </c>
      <c r="E1190" s="17">
        <v>7615300</v>
      </c>
      <c r="F1190" s="17">
        <v>-2271920</v>
      </c>
      <c r="G1190" s="18">
        <v>0.77021650170624301</v>
      </c>
      <c r="H1190" s="10">
        <v>2025</v>
      </c>
    </row>
    <row r="1191" spans="1:8" hidden="1" x14ac:dyDescent="0.3">
      <c r="A1191" s="16" t="s">
        <v>56</v>
      </c>
      <c r="B1191" s="16" t="s">
        <v>194</v>
      </c>
      <c r="C1191" s="15">
        <v>10</v>
      </c>
      <c r="D1191" s="17">
        <v>9887220</v>
      </c>
      <c r="E1191" s="17">
        <v>6479300</v>
      </c>
      <c r="F1191" s="17">
        <v>-3407920</v>
      </c>
      <c r="G1191" s="18">
        <v>0.65532070693278799</v>
      </c>
      <c r="H1191" s="10">
        <v>2025</v>
      </c>
    </row>
    <row r="1192" spans="1:8" hidden="1" x14ac:dyDescent="0.3">
      <c r="A1192" s="16" t="s">
        <v>56</v>
      </c>
      <c r="B1192" s="16" t="s">
        <v>195</v>
      </c>
      <c r="C1192" s="15">
        <v>1</v>
      </c>
      <c r="D1192" s="17">
        <v>884140</v>
      </c>
      <c r="E1192" s="17">
        <v>917000</v>
      </c>
      <c r="F1192" s="17">
        <v>32860</v>
      </c>
      <c r="G1192" s="18">
        <v>1.0371660596738073</v>
      </c>
      <c r="H1192" s="10">
        <v>2025</v>
      </c>
    </row>
    <row r="1193" spans="1:8" hidden="1" x14ac:dyDescent="0.3">
      <c r="A1193" s="16" t="s">
        <v>56</v>
      </c>
      <c r="B1193" s="16" t="s">
        <v>195</v>
      </c>
      <c r="C1193" s="15">
        <v>2</v>
      </c>
      <c r="D1193" s="17">
        <v>960224</v>
      </c>
      <c r="E1193" s="17">
        <v>884000</v>
      </c>
      <c r="F1193" s="17">
        <v>-76224</v>
      </c>
      <c r="G1193" s="18">
        <v>0.92061852234478625</v>
      </c>
      <c r="H1193" s="10">
        <v>2025</v>
      </c>
    </row>
    <row r="1194" spans="1:8" hidden="1" x14ac:dyDescent="0.3">
      <c r="A1194" s="16" t="s">
        <v>56</v>
      </c>
      <c r="B1194" s="16" t="s">
        <v>195</v>
      </c>
      <c r="C1194" s="15">
        <v>3</v>
      </c>
      <c r="D1194" s="17">
        <v>960224</v>
      </c>
      <c r="E1194" s="17">
        <v>1112505</v>
      </c>
      <c r="F1194" s="17">
        <v>152281</v>
      </c>
      <c r="G1194" s="18">
        <v>1.1585890375579031</v>
      </c>
      <c r="H1194" s="10">
        <v>2025</v>
      </c>
    </row>
    <row r="1195" spans="1:8" hidden="1" x14ac:dyDescent="0.3">
      <c r="A1195" s="16" t="s">
        <v>56</v>
      </c>
      <c r="B1195" s="16" t="s">
        <v>195</v>
      </c>
      <c r="C1195" s="15">
        <v>4</v>
      </c>
      <c r="D1195" s="17">
        <v>960224</v>
      </c>
      <c r="E1195" s="17">
        <v>960395</v>
      </c>
      <c r="F1195" s="17">
        <v>171</v>
      </c>
      <c r="G1195" s="18">
        <v>1.0001780834471956</v>
      </c>
      <c r="H1195" s="10">
        <v>2025</v>
      </c>
    </row>
    <row r="1196" spans="1:8" hidden="1" x14ac:dyDescent="0.3">
      <c r="A1196" s="16" t="s">
        <v>56</v>
      </c>
      <c r="B1196" s="16" t="s">
        <v>195</v>
      </c>
      <c r="C1196" s="15">
        <v>5</v>
      </c>
      <c r="D1196" s="17">
        <v>960224</v>
      </c>
      <c r="E1196" s="17">
        <v>960395</v>
      </c>
      <c r="F1196" s="17">
        <v>171</v>
      </c>
      <c r="G1196" s="18">
        <v>1.0001780834471956</v>
      </c>
      <c r="H1196" s="10">
        <v>2025</v>
      </c>
    </row>
    <row r="1197" spans="1:8" hidden="1" x14ac:dyDescent="0.3">
      <c r="A1197" s="16" t="s">
        <v>56</v>
      </c>
      <c r="B1197" s="16" t="s">
        <v>195</v>
      </c>
      <c r="C1197" s="15">
        <v>6</v>
      </c>
      <c r="D1197" s="17">
        <v>960224</v>
      </c>
      <c r="E1197" s="17">
        <v>960395</v>
      </c>
      <c r="F1197" s="17">
        <v>171</v>
      </c>
      <c r="G1197" s="18">
        <v>1.0001780834471956</v>
      </c>
      <c r="H1197" s="10">
        <v>2025</v>
      </c>
    </row>
    <row r="1198" spans="1:8" hidden="1" x14ac:dyDescent="0.3">
      <c r="A1198" s="16" t="s">
        <v>56</v>
      </c>
      <c r="B1198" s="16" t="s">
        <v>195</v>
      </c>
      <c r="C1198" s="15">
        <v>7</v>
      </c>
      <c r="D1198" s="17">
        <v>2159740</v>
      </c>
      <c r="E1198" s="17">
        <v>2159800</v>
      </c>
      <c r="F1198" s="17">
        <v>60</v>
      </c>
      <c r="G1198" s="18">
        <v>1.0000277811218017</v>
      </c>
      <c r="H1198" s="10">
        <v>2025</v>
      </c>
    </row>
    <row r="1199" spans="1:8" hidden="1" x14ac:dyDescent="0.3">
      <c r="A1199" s="16" t="s">
        <v>56</v>
      </c>
      <c r="B1199" s="16" t="s">
        <v>195</v>
      </c>
      <c r="C1199" s="15">
        <v>8</v>
      </c>
      <c r="D1199" s="17">
        <v>3295740</v>
      </c>
      <c r="E1199" s="17">
        <v>3295800</v>
      </c>
      <c r="F1199" s="17">
        <v>60</v>
      </c>
      <c r="G1199" s="18">
        <v>1.0000182053195945</v>
      </c>
      <c r="H1199" s="10">
        <v>2025</v>
      </c>
    </row>
    <row r="1200" spans="1:8" hidden="1" x14ac:dyDescent="0.3">
      <c r="A1200" s="16" t="s">
        <v>56</v>
      </c>
      <c r="B1200" s="16" t="s">
        <v>195</v>
      </c>
      <c r="C1200" s="15">
        <v>9</v>
      </c>
      <c r="D1200" s="17">
        <v>3295740</v>
      </c>
      <c r="E1200" s="17">
        <v>3295800</v>
      </c>
      <c r="F1200" s="17">
        <v>60</v>
      </c>
      <c r="G1200" s="18">
        <v>1.0000182053195945</v>
      </c>
      <c r="H1200" s="10">
        <v>2025</v>
      </c>
    </row>
    <row r="1201" spans="1:8" hidden="1" x14ac:dyDescent="0.3">
      <c r="A1201" s="16" t="s">
        <v>56</v>
      </c>
      <c r="B1201" s="16" t="s">
        <v>195</v>
      </c>
      <c r="C1201" s="15">
        <v>10</v>
      </c>
      <c r="D1201" s="17">
        <v>3295740</v>
      </c>
      <c r="E1201" s="17">
        <v>3298100</v>
      </c>
      <c r="F1201" s="17">
        <v>2360</v>
      </c>
      <c r="G1201" s="18">
        <v>1.0007160759040459</v>
      </c>
      <c r="H1201" s="10">
        <v>2025</v>
      </c>
    </row>
    <row r="1202" spans="1:8" hidden="1" x14ac:dyDescent="0.3">
      <c r="A1202" s="16" t="s">
        <v>56</v>
      </c>
      <c r="B1202" s="16" t="s">
        <v>196</v>
      </c>
      <c r="C1202" s="15">
        <v>1</v>
      </c>
      <c r="D1202" s="17">
        <v>205562</v>
      </c>
      <c r="E1202" s="17">
        <v>225000</v>
      </c>
      <c r="F1202" s="17">
        <v>19438</v>
      </c>
      <c r="G1202" s="18">
        <v>1.0945602786507234</v>
      </c>
      <c r="H1202" s="10">
        <v>2025</v>
      </c>
    </row>
    <row r="1203" spans="1:8" hidden="1" x14ac:dyDescent="0.3">
      <c r="A1203" s="16" t="s">
        <v>56</v>
      </c>
      <c r="B1203" s="16" t="s">
        <v>196</v>
      </c>
      <c r="C1203" s="15">
        <v>2</v>
      </c>
      <c r="D1203" s="17">
        <v>223252</v>
      </c>
      <c r="E1203" s="17">
        <v>225000</v>
      </c>
      <c r="F1203" s="17">
        <v>1748</v>
      </c>
      <c r="G1203" s="18">
        <v>1.0078297170910004</v>
      </c>
      <c r="H1203" s="10">
        <v>2025</v>
      </c>
    </row>
    <row r="1204" spans="1:8" hidden="1" x14ac:dyDescent="0.3">
      <c r="A1204" s="16" t="s">
        <v>56</v>
      </c>
      <c r="B1204" s="16" t="s">
        <v>196</v>
      </c>
      <c r="C1204" s="15">
        <v>3</v>
      </c>
      <c r="D1204" s="17">
        <v>223252</v>
      </c>
      <c r="E1204" s="17">
        <v>287100</v>
      </c>
      <c r="F1204" s="17">
        <v>63848</v>
      </c>
      <c r="G1204" s="18">
        <v>1.2859907190081163</v>
      </c>
      <c r="H1204" s="10">
        <v>2025</v>
      </c>
    </row>
    <row r="1205" spans="1:8" hidden="1" x14ac:dyDescent="0.3">
      <c r="A1205" s="16" t="s">
        <v>56</v>
      </c>
      <c r="B1205" s="16" t="s">
        <v>196</v>
      </c>
      <c r="C1205" s="15">
        <v>4</v>
      </c>
      <c r="D1205" s="17">
        <v>223252</v>
      </c>
      <c r="E1205" s="17">
        <v>245700</v>
      </c>
      <c r="F1205" s="17">
        <v>22448</v>
      </c>
      <c r="G1205" s="18">
        <v>1.1005500510633723</v>
      </c>
      <c r="H1205" s="10">
        <v>2025</v>
      </c>
    </row>
    <row r="1206" spans="1:8" hidden="1" x14ac:dyDescent="0.3">
      <c r="A1206" s="16" t="s">
        <v>56</v>
      </c>
      <c r="B1206" s="16" t="s">
        <v>196</v>
      </c>
      <c r="C1206" s="15">
        <v>5</v>
      </c>
      <c r="D1206" s="17">
        <v>223252</v>
      </c>
      <c r="E1206" s="17">
        <v>245700</v>
      </c>
      <c r="F1206" s="17">
        <v>22448</v>
      </c>
      <c r="G1206" s="18">
        <v>1.1005500510633723</v>
      </c>
      <c r="H1206" s="10">
        <v>2025</v>
      </c>
    </row>
    <row r="1207" spans="1:8" hidden="1" x14ac:dyDescent="0.3">
      <c r="A1207" s="16" t="s">
        <v>56</v>
      </c>
      <c r="B1207" s="16" t="s">
        <v>196</v>
      </c>
      <c r="C1207" s="15">
        <v>6</v>
      </c>
      <c r="D1207" s="17">
        <v>223252</v>
      </c>
      <c r="E1207" s="17">
        <v>245700</v>
      </c>
      <c r="F1207" s="17">
        <v>22448</v>
      </c>
      <c r="G1207" s="18">
        <v>1.1005500510633723</v>
      </c>
      <c r="H1207" s="10">
        <v>2025</v>
      </c>
    </row>
    <row r="1208" spans="1:8" hidden="1" x14ac:dyDescent="0.3">
      <c r="A1208" s="16" t="s">
        <v>56</v>
      </c>
      <c r="B1208" s="16" t="s">
        <v>196</v>
      </c>
      <c r="C1208" s="15">
        <v>7</v>
      </c>
      <c r="D1208" s="17">
        <v>502139</v>
      </c>
      <c r="E1208" s="17">
        <v>299100</v>
      </c>
      <c r="F1208" s="17">
        <v>-203039</v>
      </c>
      <c r="G1208" s="18">
        <v>0.59565180159278608</v>
      </c>
      <c r="H1208" s="10">
        <v>2025</v>
      </c>
    </row>
    <row r="1209" spans="1:8" hidden="1" x14ac:dyDescent="0.3">
      <c r="A1209" s="16" t="s">
        <v>56</v>
      </c>
      <c r="B1209" s="16" t="s">
        <v>196</v>
      </c>
      <c r="C1209" s="15">
        <v>8</v>
      </c>
      <c r="D1209" s="17">
        <v>766259</v>
      </c>
      <c r="E1209" s="17">
        <v>299100</v>
      </c>
      <c r="F1209" s="17">
        <v>-467159</v>
      </c>
      <c r="G1209" s="18">
        <v>0.39033799276745851</v>
      </c>
      <c r="H1209" s="10">
        <v>2025</v>
      </c>
    </row>
    <row r="1210" spans="1:8" hidden="1" x14ac:dyDescent="0.3">
      <c r="A1210" s="4" t="s">
        <v>56</v>
      </c>
      <c r="B1210" s="16" t="s">
        <v>196</v>
      </c>
      <c r="C1210" s="15">
        <v>9</v>
      </c>
      <c r="D1210" s="17">
        <v>766259</v>
      </c>
      <c r="E1210" s="17">
        <v>1151100</v>
      </c>
      <c r="F1210" s="17">
        <v>384841</v>
      </c>
      <c r="G1210" s="18">
        <v>1.5022335789856955</v>
      </c>
      <c r="H1210" s="10">
        <v>2025</v>
      </c>
    </row>
    <row r="1211" spans="1:8" hidden="1" x14ac:dyDescent="0.3">
      <c r="A1211" s="4" t="s">
        <v>56</v>
      </c>
      <c r="B1211" s="16" t="s">
        <v>196</v>
      </c>
      <c r="C1211" s="15">
        <v>10</v>
      </c>
      <c r="D1211" s="17">
        <v>766259</v>
      </c>
      <c r="E1211" s="17">
        <v>299100</v>
      </c>
      <c r="F1211" s="17">
        <v>-467159</v>
      </c>
      <c r="G1211" s="18">
        <v>0.39033799276745851</v>
      </c>
      <c r="H1211" s="10">
        <v>2025</v>
      </c>
    </row>
    <row r="1212" spans="1:8" hidden="1" x14ac:dyDescent="0.3">
      <c r="A1212" s="4" t="s">
        <v>56</v>
      </c>
      <c r="B1212" s="16" t="s">
        <v>197</v>
      </c>
      <c r="C1212" s="15">
        <v>1</v>
      </c>
      <c r="D1212" s="17">
        <v>137041</v>
      </c>
      <c r="E1212" s="17">
        <v>150000</v>
      </c>
      <c r="F1212" s="17">
        <v>12959</v>
      </c>
      <c r="G1212" s="18">
        <v>1.0945629410176516</v>
      </c>
      <c r="H1212" s="10">
        <v>2025</v>
      </c>
    </row>
    <row r="1213" spans="1:8" hidden="1" x14ac:dyDescent="0.3">
      <c r="A1213" s="4" t="s">
        <v>56</v>
      </c>
      <c r="B1213" s="16" t="s">
        <v>197</v>
      </c>
      <c r="C1213" s="15">
        <v>2</v>
      </c>
      <c r="D1213" s="17">
        <v>148834</v>
      </c>
      <c r="E1213" s="17">
        <v>150000</v>
      </c>
      <c r="F1213" s="17">
        <v>1166</v>
      </c>
      <c r="G1213" s="18">
        <v>1.0078342314256152</v>
      </c>
      <c r="H1213" s="10">
        <v>2025</v>
      </c>
    </row>
    <row r="1214" spans="1:8" hidden="1" x14ac:dyDescent="0.3">
      <c r="A1214" s="4" t="s">
        <v>56</v>
      </c>
      <c r="B1214" s="16" t="s">
        <v>197</v>
      </c>
      <c r="C1214" s="15">
        <v>3</v>
      </c>
      <c r="D1214" s="17">
        <v>148834</v>
      </c>
      <c r="E1214" s="17">
        <v>191400</v>
      </c>
      <c r="F1214" s="17">
        <v>42566</v>
      </c>
      <c r="G1214" s="18">
        <v>1.285996479299085</v>
      </c>
      <c r="H1214" s="10">
        <v>2025</v>
      </c>
    </row>
    <row r="1215" spans="1:8" hidden="1" x14ac:dyDescent="0.3">
      <c r="A1215" s="4" t="s">
        <v>56</v>
      </c>
      <c r="B1215" s="16" t="s">
        <v>197</v>
      </c>
      <c r="C1215" s="15">
        <v>4</v>
      </c>
      <c r="D1215" s="17">
        <v>148834</v>
      </c>
      <c r="E1215" s="17">
        <v>163800</v>
      </c>
      <c r="F1215" s="17">
        <v>14966</v>
      </c>
      <c r="G1215" s="18">
        <v>1.1005549807167718</v>
      </c>
      <c r="H1215" s="10">
        <v>2025</v>
      </c>
    </row>
    <row r="1216" spans="1:8" hidden="1" x14ac:dyDescent="0.3">
      <c r="A1216" s="4" t="s">
        <v>56</v>
      </c>
      <c r="B1216" s="16" t="s">
        <v>197</v>
      </c>
      <c r="C1216" s="15">
        <v>5</v>
      </c>
      <c r="D1216" s="17">
        <v>148834</v>
      </c>
      <c r="E1216" s="17">
        <v>163800</v>
      </c>
      <c r="F1216" s="17">
        <v>14966</v>
      </c>
      <c r="G1216" s="18">
        <v>1.1005549807167718</v>
      </c>
      <c r="H1216" s="10">
        <v>2025</v>
      </c>
    </row>
    <row r="1217" spans="1:8" hidden="1" x14ac:dyDescent="0.3">
      <c r="A1217" s="4" t="s">
        <v>56</v>
      </c>
      <c r="B1217" s="16" t="s">
        <v>197</v>
      </c>
      <c r="C1217" s="15">
        <v>6</v>
      </c>
      <c r="D1217" s="17">
        <v>148834</v>
      </c>
      <c r="E1217" s="17">
        <v>163800</v>
      </c>
      <c r="F1217" s="17">
        <v>14966</v>
      </c>
      <c r="G1217" s="18">
        <v>1.1005549807167718</v>
      </c>
      <c r="H1217" s="10">
        <v>2025</v>
      </c>
    </row>
    <row r="1218" spans="1:8" hidden="1" x14ac:dyDescent="0.3">
      <c r="A1218" s="4" t="s">
        <v>56</v>
      </c>
      <c r="B1218" s="16" t="s">
        <v>197</v>
      </c>
      <c r="C1218" s="15">
        <v>7</v>
      </c>
      <c r="D1218" s="17">
        <v>334759</v>
      </c>
      <c r="E1218" s="17">
        <v>199400</v>
      </c>
      <c r="F1218" s="17">
        <v>-135359</v>
      </c>
      <c r="G1218" s="18">
        <v>0.5956523947078346</v>
      </c>
      <c r="H1218" s="10">
        <v>2025</v>
      </c>
    </row>
    <row r="1219" spans="1:8" hidden="1" x14ac:dyDescent="0.3">
      <c r="A1219" s="4" t="s">
        <v>56</v>
      </c>
      <c r="B1219" s="16" t="s">
        <v>197</v>
      </c>
      <c r="C1219" s="15">
        <v>8</v>
      </c>
      <c r="D1219" s="17">
        <v>510839</v>
      </c>
      <c r="E1219" s="17">
        <v>199400</v>
      </c>
      <c r="F1219" s="17">
        <v>-311439</v>
      </c>
      <c r="G1219" s="18">
        <v>0.39033824747131679</v>
      </c>
      <c r="H1219" s="10">
        <v>2025</v>
      </c>
    </row>
    <row r="1220" spans="1:8" hidden="1" x14ac:dyDescent="0.3">
      <c r="A1220" s="16" t="s">
        <v>56</v>
      </c>
      <c r="B1220" s="16" t="s">
        <v>197</v>
      </c>
      <c r="C1220" s="15">
        <v>9</v>
      </c>
      <c r="D1220" s="17">
        <v>510839</v>
      </c>
      <c r="E1220" s="17">
        <v>767400</v>
      </c>
      <c r="F1220" s="17">
        <v>256561</v>
      </c>
      <c r="G1220" s="18">
        <v>1.5022345592251181</v>
      </c>
      <c r="H1220" s="10">
        <v>2025</v>
      </c>
    </row>
    <row r="1221" spans="1:8" hidden="1" x14ac:dyDescent="0.3">
      <c r="A1221" s="16" t="s">
        <v>56</v>
      </c>
      <c r="B1221" s="16" t="s">
        <v>197</v>
      </c>
      <c r="C1221" s="15">
        <v>10</v>
      </c>
      <c r="D1221" s="17">
        <v>510839</v>
      </c>
      <c r="E1221" s="17">
        <v>199400</v>
      </c>
      <c r="F1221" s="17">
        <v>-311439</v>
      </c>
      <c r="G1221" s="18">
        <v>0.39033824747131679</v>
      </c>
      <c r="H1221" s="10">
        <v>2025</v>
      </c>
    </row>
    <row r="1222" spans="1:8" hidden="1" x14ac:dyDescent="0.3">
      <c r="A1222" s="16" t="s">
        <v>56</v>
      </c>
      <c r="B1222" s="16" t="s">
        <v>204</v>
      </c>
      <c r="C1222" s="15">
        <v>8</v>
      </c>
      <c r="D1222" s="17">
        <v>227083440</v>
      </c>
      <c r="E1222" s="17">
        <v>227100000</v>
      </c>
      <c r="F1222" s="17">
        <v>16560</v>
      </c>
      <c r="G1222" s="18">
        <v>1.0000729247363878</v>
      </c>
      <c r="H1222" s="10">
        <v>2025</v>
      </c>
    </row>
    <row r="1223" spans="1:8" hidden="1" x14ac:dyDescent="0.3">
      <c r="A1223" s="16" t="s">
        <v>56</v>
      </c>
      <c r="B1223" s="16" t="s">
        <v>204</v>
      </c>
      <c r="C1223" s="15">
        <v>9</v>
      </c>
      <c r="D1223" s="17">
        <v>227083440</v>
      </c>
      <c r="E1223" s="17">
        <v>227100000</v>
      </c>
      <c r="F1223" s="17">
        <v>16560</v>
      </c>
      <c r="G1223" s="18">
        <v>1.0000729247363878</v>
      </c>
      <c r="H1223" s="10">
        <v>2025</v>
      </c>
    </row>
    <row r="1224" spans="1:8" hidden="1" x14ac:dyDescent="0.3">
      <c r="A1224" s="16" t="s">
        <v>56</v>
      </c>
      <c r="B1224" s="16" t="s">
        <v>204</v>
      </c>
      <c r="C1224" s="15">
        <v>10</v>
      </c>
      <c r="D1224" s="17">
        <v>227083440</v>
      </c>
      <c r="E1224" s="17">
        <v>227100000</v>
      </c>
      <c r="F1224" s="17">
        <v>16560</v>
      </c>
      <c r="G1224" s="18">
        <v>1.0000729247363878</v>
      </c>
      <c r="H1224" s="10">
        <v>2025</v>
      </c>
    </row>
    <row r="1225" spans="1:8" hidden="1" x14ac:dyDescent="0.3">
      <c r="A1225" s="16" t="s">
        <v>56</v>
      </c>
      <c r="B1225" s="16" t="s">
        <v>182</v>
      </c>
      <c r="C1225" s="15">
        <v>11</v>
      </c>
      <c r="D1225" s="17">
        <v>825604</v>
      </c>
      <c r="E1225" s="17">
        <v>825935</v>
      </c>
      <c r="F1225" s="17">
        <v>331</v>
      </c>
      <c r="G1225" s="18">
        <v>1.0004009186002005</v>
      </c>
      <c r="H1225" s="10">
        <v>2025</v>
      </c>
    </row>
    <row r="1226" spans="1:8" hidden="1" x14ac:dyDescent="0.3">
      <c r="A1226" s="16" t="s">
        <v>56</v>
      </c>
      <c r="B1226" s="16" t="s">
        <v>183</v>
      </c>
      <c r="C1226" s="15">
        <v>11</v>
      </c>
      <c r="D1226" s="17">
        <v>6880038</v>
      </c>
      <c r="E1226" s="17">
        <v>6880039</v>
      </c>
      <c r="F1226" s="17">
        <v>1</v>
      </c>
      <c r="G1226" s="18">
        <v>1.0000001453480345</v>
      </c>
      <c r="H1226" s="10">
        <v>2025</v>
      </c>
    </row>
    <row r="1227" spans="1:8" hidden="1" x14ac:dyDescent="0.3">
      <c r="A1227" s="16" t="s">
        <v>56</v>
      </c>
      <c r="B1227" s="16" t="s">
        <v>177</v>
      </c>
      <c r="C1227" s="15">
        <v>11</v>
      </c>
      <c r="D1227" s="17">
        <v>82393500</v>
      </c>
      <c r="E1227" s="17">
        <v>82393500</v>
      </c>
      <c r="F1227" s="17">
        <v>0</v>
      </c>
      <c r="G1227" s="18">
        <v>1</v>
      </c>
      <c r="H1227" s="10">
        <v>2025</v>
      </c>
    </row>
    <row r="1228" spans="1:8" hidden="1" x14ac:dyDescent="0.3">
      <c r="A1228" s="16" t="s">
        <v>56</v>
      </c>
      <c r="B1228" s="16" t="s">
        <v>184</v>
      </c>
      <c r="C1228" s="15">
        <v>11</v>
      </c>
      <c r="D1228" s="17">
        <v>3435808</v>
      </c>
      <c r="E1228" s="17">
        <v>3435809</v>
      </c>
      <c r="F1228" s="17">
        <v>1</v>
      </c>
      <c r="G1228" s="18">
        <v>1.0000002910523522</v>
      </c>
      <c r="H1228" s="10">
        <v>2025</v>
      </c>
    </row>
    <row r="1229" spans="1:8" hidden="1" x14ac:dyDescent="0.3">
      <c r="A1229" s="4" t="s">
        <v>56</v>
      </c>
      <c r="B1229" s="16" t="s">
        <v>177</v>
      </c>
      <c r="C1229" s="15">
        <v>12</v>
      </c>
      <c r="D1229" s="17">
        <v>82393500</v>
      </c>
      <c r="E1229" s="17">
        <v>82013899</v>
      </c>
      <c r="F1229" s="17">
        <v>-379601</v>
      </c>
      <c r="G1229" s="18">
        <v>0.99539282831776787</v>
      </c>
      <c r="H1229" s="10">
        <v>2025</v>
      </c>
    </row>
    <row r="1230" spans="1:8" hidden="1" x14ac:dyDescent="0.3">
      <c r="A1230" s="4" t="s">
        <v>56</v>
      </c>
      <c r="B1230" s="16" t="s">
        <v>180</v>
      </c>
      <c r="C1230" s="15">
        <v>12</v>
      </c>
      <c r="D1230" s="17">
        <v>200000</v>
      </c>
      <c r="E1230" s="17">
        <v>146667</v>
      </c>
      <c r="F1230" s="17">
        <v>-53333</v>
      </c>
      <c r="G1230" s="18">
        <v>0.73333499999999996</v>
      </c>
      <c r="H1230" s="10">
        <v>2025</v>
      </c>
    </row>
    <row r="1231" spans="1:8" hidden="1" x14ac:dyDescent="0.3">
      <c r="A1231" s="4" t="s">
        <v>56</v>
      </c>
      <c r="B1231" s="16" t="s">
        <v>181</v>
      </c>
      <c r="C1231" s="15">
        <v>12</v>
      </c>
      <c r="D1231" s="17">
        <v>6880038</v>
      </c>
      <c r="E1231" s="17">
        <v>21045030</v>
      </c>
      <c r="F1231" s="17">
        <v>14164992</v>
      </c>
      <c r="G1231" s="18">
        <v>3.0588537447031543</v>
      </c>
      <c r="H1231" s="10">
        <v>2025</v>
      </c>
    </row>
    <row r="1232" spans="1:8" hidden="1" x14ac:dyDescent="0.3">
      <c r="A1232" s="4" t="s">
        <v>56</v>
      </c>
      <c r="B1232" s="16" t="s">
        <v>182</v>
      </c>
      <c r="C1232" s="15">
        <v>12</v>
      </c>
      <c r="D1232" s="17">
        <v>825604</v>
      </c>
      <c r="E1232" s="17">
        <v>1588109</v>
      </c>
      <c r="F1232" s="17">
        <v>762505</v>
      </c>
      <c r="G1232" s="18">
        <v>1.9235723179635758</v>
      </c>
      <c r="H1232" s="10">
        <v>2025</v>
      </c>
    </row>
    <row r="1233" spans="1:8" hidden="1" x14ac:dyDescent="0.3">
      <c r="A1233" s="4" t="s">
        <v>56</v>
      </c>
      <c r="B1233" s="16" t="s">
        <v>183</v>
      </c>
      <c r="C1233" s="15">
        <v>12</v>
      </c>
      <c r="D1233" s="17">
        <v>6880038</v>
      </c>
      <c r="E1233" s="17">
        <v>6932954</v>
      </c>
      <c r="F1233" s="17">
        <v>52916</v>
      </c>
      <c r="G1233" s="18">
        <v>1.0076912365891002</v>
      </c>
      <c r="H1233" s="10">
        <v>2025</v>
      </c>
    </row>
    <row r="1234" spans="1:8" hidden="1" x14ac:dyDescent="0.3">
      <c r="A1234" s="4" t="s">
        <v>56</v>
      </c>
      <c r="B1234" s="16" t="s">
        <v>184</v>
      </c>
      <c r="C1234" s="15">
        <v>12</v>
      </c>
      <c r="D1234" s="17">
        <v>3435808</v>
      </c>
      <c r="E1234" s="17">
        <v>15959719</v>
      </c>
      <c r="F1234" s="17">
        <v>12523911</v>
      </c>
      <c r="G1234" s="18">
        <v>4.6451137549013222</v>
      </c>
      <c r="H1234" s="10">
        <v>2025</v>
      </c>
    </row>
    <row r="1235" spans="1:8" hidden="1" x14ac:dyDescent="0.3">
      <c r="A1235" s="4" t="s">
        <v>56</v>
      </c>
      <c r="B1235" s="16" t="s">
        <v>185</v>
      </c>
      <c r="C1235" s="15">
        <v>12</v>
      </c>
      <c r="D1235" s="17">
        <v>1137030</v>
      </c>
      <c r="E1235" s="17">
        <v>1146853</v>
      </c>
      <c r="F1235" s="17">
        <v>9823</v>
      </c>
      <c r="G1235" s="18">
        <v>1.0086391739883733</v>
      </c>
      <c r="H1235" s="10">
        <v>2025</v>
      </c>
    </row>
    <row r="1236" spans="1:8" hidden="1" x14ac:dyDescent="0.3">
      <c r="A1236" s="4" t="s">
        <v>56</v>
      </c>
      <c r="B1236" s="16" t="s">
        <v>186</v>
      </c>
      <c r="C1236" s="15">
        <v>12</v>
      </c>
      <c r="D1236" s="17">
        <v>11238473</v>
      </c>
      <c r="E1236" s="17">
        <v>-17540913</v>
      </c>
      <c r="F1236" s="17">
        <v>-28779386</v>
      </c>
      <c r="G1236" s="18">
        <v>-1.5607914883098444</v>
      </c>
      <c r="H1236" s="10">
        <v>2025</v>
      </c>
    </row>
    <row r="1237" spans="1:8" hidden="1" x14ac:dyDescent="0.3">
      <c r="A1237" s="4" t="s">
        <v>56</v>
      </c>
      <c r="B1237" s="16" t="s">
        <v>187</v>
      </c>
      <c r="C1237" s="15">
        <v>12</v>
      </c>
      <c r="D1237" s="17">
        <v>3435808</v>
      </c>
      <c r="E1237" s="17">
        <v>18055504</v>
      </c>
      <c r="F1237" s="17">
        <v>14619696</v>
      </c>
      <c r="G1237" s="18">
        <v>5.2550969087911783</v>
      </c>
      <c r="H1237" s="10">
        <v>2025</v>
      </c>
    </row>
    <row r="1238" spans="1:8" hidden="1" x14ac:dyDescent="0.3">
      <c r="A1238" s="16" t="s">
        <v>56</v>
      </c>
      <c r="B1238" s="16" t="s">
        <v>192</v>
      </c>
      <c r="C1238" s="15">
        <v>12</v>
      </c>
      <c r="D1238" s="17">
        <v>430094</v>
      </c>
      <c r="E1238" s="17">
        <v>613750</v>
      </c>
      <c r="F1238" s="17">
        <v>183656</v>
      </c>
      <c r="G1238" s="18">
        <v>1.4270136295786504</v>
      </c>
      <c r="H1238" s="10">
        <v>2025</v>
      </c>
    </row>
    <row r="1239" spans="1:8" hidden="1" x14ac:dyDescent="0.3">
      <c r="A1239" s="16" t="s">
        <v>56</v>
      </c>
      <c r="B1239" s="16" t="s">
        <v>193</v>
      </c>
      <c r="C1239" s="15">
        <v>12</v>
      </c>
      <c r="D1239" s="17">
        <v>2142231</v>
      </c>
      <c r="E1239" s="17">
        <v>847450</v>
      </c>
      <c r="F1239" s="17">
        <v>-1294781</v>
      </c>
      <c r="G1239" s="18">
        <v>0.39559225872466602</v>
      </c>
      <c r="H1239" s="10">
        <v>2025</v>
      </c>
    </row>
    <row r="1240" spans="1:8" hidden="1" x14ac:dyDescent="0.3">
      <c r="A1240" s="16" t="s">
        <v>56</v>
      </c>
      <c r="B1240" s="16" t="s">
        <v>194</v>
      </c>
      <c r="C1240" s="15">
        <v>12</v>
      </c>
      <c r="D1240" s="17">
        <v>9887220</v>
      </c>
      <c r="E1240" s="17">
        <v>6564700</v>
      </c>
      <c r="F1240" s="17">
        <v>-3322520</v>
      </c>
      <c r="G1240" s="18">
        <v>0.66395811967367979</v>
      </c>
      <c r="H1240" s="10">
        <v>2025</v>
      </c>
    </row>
    <row r="1241" spans="1:8" hidden="1" x14ac:dyDescent="0.3">
      <c r="A1241" s="16" t="s">
        <v>56</v>
      </c>
      <c r="B1241" s="16" t="s">
        <v>195</v>
      </c>
      <c r="C1241" s="15">
        <v>12</v>
      </c>
      <c r="D1241" s="17">
        <v>3295740</v>
      </c>
      <c r="E1241" s="17">
        <v>3324850</v>
      </c>
      <c r="F1241" s="17">
        <v>29110</v>
      </c>
      <c r="G1241" s="18">
        <v>1.0088326142232094</v>
      </c>
      <c r="H1241" s="10">
        <v>2025</v>
      </c>
    </row>
    <row r="1242" spans="1:8" hidden="1" x14ac:dyDescent="0.3">
      <c r="A1242" s="16" t="s">
        <v>56</v>
      </c>
      <c r="B1242" s="16" t="s">
        <v>196</v>
      </c>
      <c r="C1242" s="15">
        <v>12</v>
      </c>
      <c r="D1242" s="17">
        <v>766259</v>
      </c>
      <c r="E1242" s="17">
        <v>299100</v>
      </c>
      <c r="F1242" s="17">
        <v>-467159</v>
      </c>
      <c r="G1242" s="18">
        <v>0.39033799276745851</v>
      </c>
      <c r="H1242" s="10">
        <v>2025</v>
      </c>
    </row>
    <row r="1243" spans="1:8" hidden="1" x14ac:dyDescent="0.3">
      <c r="A1243" s="16" t="s">
        <v>56</v>
      </c>
      <c r="B1243" s="16" t="s">
        <v>197</v>
      </c>
      <c r="C1243" s="15">
        <v>12</v>
      </c>
      <c r="D1243" s="17">
        <v>510839</v>
      </c>
      <c r="E1243" s="17">
        <v>199400</v>
      </c>
      <c r="F1243" s="17">
        <v>-311439</v>
      </c>
      <c r="G1243" s="18">
        <v>0.39033824747131679</v>
      </c>
      <c r="H1243" s="10">
        <v>2025</v>
      </c>
    </row>
    <row r="1244" spans="1:8" hidden="1" x14ac:dyDescent="0.3">
      <c r="A1244" s="16" t="s">
        <v>56</v>
      </c>
      <c r="B1244" s="16" t="s">
        <v>204</v>
      </c>
      <c r="C1244" s="15">
        <v>12</v>
      </c>
      <c r="D1244" s="17">
        <v>227083440</v>
      </c>
      <c r="E1244" s="17">
        <v>227016000</v>
      </c>
      <c r="F1244" s="17">
        <v>-67440</v>
      </c>
      <c r="G1244" s="18">
        <v>0.99970301665326189</v>
      </c>
      <c r="H1244" s="10">
        <v>2025</v>
      </c>
    </row>
    <row r="1245" spans="1:8" hidden="1" x14ac:dyDescent="0.3">
      <c r="A1245" s="16" t="s">
        <v>103</v>
      </c>
      <c r="B1245" s="16" t="s">
        <v>181</v>
      </c>
      <c r="C1245" s="15">
        <v>11</v>
      </c>
      <c r="D1245" s="17">
        <v>1259912</v>
      </c>
      <c r="E1245" s="17">
        <v>1259913</v>
      </c>
      <c r="F1245" s="17">
        <v>1</v>
      </c>
      <c r="G1245" s="18">
        <v>1.0000007937062272</v>
      </c>
      <c r="H1245" s="10">
        <v>2025</v>
      </c>
    </row>
    <row r="1246" spans="1:8" hidden="1" x14ac:dyDescent="0.3">
      <c r="A1246" s="16" t="s">
        <v>103</v>
      </c>
      <c r="B1246" s="16" t="s">
        <v>187</v>
      </c>
      <c r="C1246" s="15">
        <v>11</v>
      </c>
      <c r="D1246" s="17">
        <v>630712</v>
      </c>
      <c r="E1246" s="17">
        <v>630713</v>
      </c>
      <c r="F1246" s="17">
        <v>1</v>
      </c>
      <c r="G1246" s="18">
        <v>1.0000015855097097</v>
      </c>
      <c r="H1246" s="10">
        <v>2025</v>
      </c>
    </row>
    <row r="1247" spans="1:8" hidden="1" x14ac:dyDescent="0.3">
      <c r="A1247" s="16" t="s">
        <v>103</v>
      </c>
      <c r="B1247" s="16" t="s">
        <v>185</v>
      </c>
      <c r="C1247" s="15">
        <v>11</v>
      </c>
      <c r="D1247" s="17">
        <v>208725</v>
      </c>
      <c r="E1247" s="17">
        <v>208725</v>
      </c>
      <c r="F1247" s="17">
        <v>0</v>
      </c>
      <c r="G1247" s="18">
        <v>1</v>
      </c>
      <c r="H1247" s="10">
        <v>2025</v>
      </c>
    </row>
    <row r="1248" spans="1:8" hidden="1" x14ac:dyDescent="0.3">
      <c r="A1248" s="16" t="s">
        <v>103</v>
      </c>
      <c r="B1248" s="16" t="s">
        <v>192</v>
      </c>
      <c r="C1248" s="15">
        <v>11</v>
      </c>
      <c r="D1248" s="17">
        <v>369050</v>
      </c>
      <c r="E1248" s="17">
        <v>368600</v>
      </c>
      <c r="F1248" s="17">
        <v>-450</v>
      </c>
      <c r="G1248" s="18">
        <v>0.99878065302804497</v>
      </c>
      <c r="H1248" s="10">
        <v>2025</v>
      </c>
    </row>
    <row r="1249" spans="1:8" hidden="1" x14ac:dyDescent="0.3">
      <c r="A1249" s="16" t="s">
        <v>103</v>
      </c>
      <c r="B1249" s="16" t="s">
        <v>195</v>
      </c>
      <c r="C1249" s="15">
        <v>11</v>
      </c>
      <c r="D1249" s="17">
        <v>605000</v>
      </c>
      <c r="E1249" s="17">
        <v>605000</v>
      </c>
      <c r="F1249" s="17">
        <v>0</v>
      </c>
      <c r="G1249" s="18">
        <v>1</v>
      </c>
      <c r="H1249" s="10">
        <v>2025</v>
      </c>
    </row>
    <row r="1250" spans="1:8" hidden="1" x14ac:dyDescent="0.3">
      <c r="A1250" s="16" t="s">
        <v>103</v>
      </c>
      <c r="B1250" s="16" t="s">
        <v>193</v>
      </c>
      <c r="C1250" s="15">
        <v>11</v>
      </c>
      <c r="D1250" s="17">
        <v>1285625</v>
      </c>
      <c r="E1250" s="17">
        <v>1285700</v>
      </c>
      <c r="F1250" s="17">
        <v>75</v>
      </c>
      <c r="G1250" s="18">
        <v>1.0000583373845406</v>
      </c>
      <c r="H1250" s="10">
        <v>2025</v>
      </c>
    </row>
    <row r="1251" spans="1:8" hidden="1" x14ac:dyDescent="0.3">
      <c r="A1251" s="16" t="s">
        <v>103</v>
      </c>
      <c r="B1251" s="16" t="s">
        <v>194</v>
      </c>
      <c r="C1251" s="15">
        <v>11</v>
      </c>
      <c r="D1251" s="17">
        <v>1815000</v>
      </c>
      <c r="E1251" s="17">
        <v>1815000</v>
      </c>
      <c r="F1251" s="17">
        <v>0</v>
      </c>
      <c r="G1251" s="18">
        <v>1</v>
      </c>
      <c r="H1251" s="10">
        <v>2025</v>
      </c>
    </row>
    <row r="1252" spans="1:8" hidden="1" x14ac:dyDescent="0.3">
      <c r="A1252" s="16" t="s">
        <v>103</v>
      </c>
      <c r="B1252" s="16" t="s">
        <v>196</v>
      </c>
      <c r="C1252" s="15">
        <v>11</v>
      </c>
      <c r="D1252" s="17">
        <v>453750</v>
      </c>
      <c r="E1252" s="17">
        <v>453800</v>
      </c>
      <c r="F1252" s="17">
        <v>50</v>
      </c>
      <c r="G1252" s="18">
        <v>1.0001101928374656</v>
      </c>
      <c r="H1252" s="10">
        <v>2025</v>
      </c>
    </row>
    <row r="1253" spans="1:8" hidden="1" x14ac:dyDescent="0.3">
      <c r="A1253" s="16" t="s">
        <v>103</v>
      </c>
      <c r="B1253" s="16" t="s">
        <v>197</v>
      </c>
      <c r="C1253" s="15">
        <v>11</v>
      </c>
      <c r="D1253" s="17">
        <v>302500</v>
      </c>
      <c r="E1253" s="17">
        <v>302500</v>
      </c>
      <c r="F1253" s="17">
        <v>0</v>
      </c>
      <c r="G1253" s="18">
        <v>1</v>
      </c>
      <c r="H1253" s="10">
        <v>2025</v>
      </c>
    </row>
    <row r="1254" spans="1:8" hidden="1" x14ac:dyDescent="0.3">
      <c r="A1254" s="16" t="s">
        <v>103</v>
      </c>
      <c r="B1254" s="16" t="s">
        <v>177</v>
      </c>
      <c r="C1254" s="15">
        <v>1</v>
      </c>
      <c r="D1254" s="17">
        <v>13750000</v>
      </c>
      <c r="E1254" s="17">
        <v>13750000</v>
      </c>
      <c r="F1254" s="17">
        <v>0</v>
      </c>
      <c r="G1254" s="18">
        <v>1</v>
      </c>
      <c r="H1254" s="10">
        <v>2025</v>
      </c>
    </row>
    <row r="1255" spans="1:8" hidden="1" x14ac:dyDescent="0.3">
      <c r="A1255" s="16" t="s">
        <v>103</v>
      </c>
      <c r="B1255" s="16" t="s">
        <v>177</v>
      </c>
      <c r="C1255" s="15">
        <v>2</v>
      </c>
      <c r="D1255" s="17">
        <v>15125000</v>
      </c>
      <c r="E1255" s="17">
        <v>15170000</v>
      </c>
      <c r="F1255" s="17">
        <v>45000</v>
      </c>
      <c r="G1255" s="18">
        <v>1.0029752066115702</v>
      </c>
      <c r="H1255" s="10">
        <v>2025</v>
      </c>
    </row>
    <row r="1256" spans="1:8" hidden="1" x14ac:dyDescent="0.3">
      <c r="A1256" s="16" t="s">
        <v>103</v>
      </c>
      <c r="B1256" s="16" t="s">
        <v>177</v>
      </c>
      <c r="C1256" s="15">
        <v>3</v>
      </c>
      <c r="D1256" s="17">
        <v>15125000</v>
      </c>
      <c r="E1256" s="17">
        <v>15125000</v>
      </c>
      <c r="F1256" s="17">
        <v>0</v>
      </c>
      <c r="G1256" s="18">
        <v>1</v>
      </c>
      <c r="H1256" s="10">
        <v>2025</v>
      </c>
    </row>
    <row r="1257" spans="1:8" hidden="1" x14ac:dyDescent="0.3">
      <c r="A1257" s="16" t="s">
        <v>103</v>
      </c>
      <c r="B1257" s="16" t="s">
        <v>177</v>
      </c>
      <c r="C1257" s="15">
        <v>4</v>
      </c>
      <c r="D1257" s="17">
        <v>15125000</v>
      </c>
      <c r="E1257" s="17">
        <v>13612498</v>
      </c>
      <c r="F1257" s="17">
        <v>-1512502</v>
      </c>
      <c r="G1257" s="18">
        <v>0.89999986776859509</v>
      </c>
      <c r="H1257" s="10">
        <v>2025</v>
      </c>
    </row>
    <row r="1258" spans="1:8" hidden="1" x14ac:dyDescent="0.3">
      <c r="A1258" s="16" t="s">
        <v>103</v>
      </c>
      <c r="B1258" s="16" t="s">
        <v>177</v>
      </c>
      <c r="C1258" s="15">
        <v>5</v>
      </c>
      <c r="D1258" s="17">
        <v>15125000</v>
      </c>
      <c r="E1258" s="17">
        <v>15125000</v>
      </c>
      <c r="F1258" s="17">
        <v>0</v>
      </c>
      <c r="G1258" s="18">
        <v>1</v>
      </c>
      <c r="H1258" s="10">
        <v>2025</v>
      </c>
    </row>
    <row r="1259" spans="1:8" hidden="1" x14ac:dyDescent="0.3">
      <c r="A1259" s="16" t="s">
        <v>103</v>
      </c>
      <c r="B1259" s="16" t="s">
        <v>177</v>
      </c>
      <c r="C1259" s="15">
        <v>6</v>
      </c>
      <c r="D1259" s="17">
        <v>15125000</v>
      </c>
      <c r="E1259" s="17">
        <v>14116667</v>
      </c>
      <c r="F1259" s="17">
        <v>-1008333</v>
      </c>
      <c r="G1259" s="18">
        <v>0.93333335537190087</v>
      </c>
      <c r="H1259" s="10">
        <v>2025</v>
      </c>
    </row>
    <row r="1260" spans="1:8" hidden="1" x14ac:dyDescent="0.3">
      <c r="A1260" s="16" t="s">
        <v>103</v>
      </c>
      <c r="B1260" s="16" t="s">
        <v>177</v>
      </c>
      <c r="C1260" s="15">
        <v>7</v>
      </c>
      <c r="D1260" s="17">
        <v>15125000</v>
      </c>
      <c r="E1260" s="17">
        <v>15125000</v>
      </c>
      <c r="F1260" s="17">
        <v>0</v>
      </c>
      <c r="G1260" s="18">
        <v>1</v>
      </c>
      <c r="H1260" s="10">
        <v>2025</v>
      </c>
    </row>
    <row r="1261" spans="1:8" hidden="1" x14ac:dyDescent="0.3">
      <c r="A1261" s="16" t="s">
        <v>103</v>
      </c>
      <c r="B1261" s="16" t="s">
        <v>177</v>
      </c>
      <c r="C1261" s="15">
        <v>8</v>
      </c>
      <c r="D1261" s="17">
        <v>15125000</v>
      </c>
      <c r="E1261" s="17">
        <v>15125000</v>
      </c>
      <c r="F1261" s="17">
        <v>0</v>
      </c>
      <c r="G1261" s="18">
        <v>1</v>
      </c>
      <c r="H1261" s="10">
        <v>2025</v>
      </c>
    </row>
    <row r="1262" spans="1:8" hidden="1" x14ac:dyDescent="0.3">
      <c r="A1262" s="16" t="s">
        <v>103</v>
      </c>
      <c r="B1262" s="16" t="s">
        <v>177</v>
      </c>
      <c r="C1262" s="15">
        <v>9</v>
      </c>
      <c r="D1262" s="17">
        <v>15125000</v>
      </c>
      <c r="E1262" s="17">
        <v>15125000</v>
      </c>
      <c r="F1262" s="17">
        <v>0</v>
      </c>
      <c r="G1262" s="18">
        <v>1</v>
      </c>
      <c r="H1262" s="10">
        <v>2025</v>
      </c>
    </row>
    <row r="1263" spans="1:8" hidden="1" x14ac:dyDescent="0.3">
      <c r="A1263" s="16" t="s">
        <v>103</v>
      </c>
      <c r="B1263" s="16" t="s">
        <v>177</v>
      </c>
      <c r="C1263" s="15">
        <v>10</v>
      </c>
      <c r="D1263" s="17">
        <v>15125000</v>
      </c>
      <c r="E1263" s="17">
        <v>15125000</v>
      </c>
      <c r="F1263" s="17">
        <v>0</v>
      </c>
      <c r="G1263" s="18">
        <v>1</v>
      </c>
      <c r="H1263" s="10">
        <v>2025</v>
      </c>
    </row>
    <row r="1264" spans="1:8" hidden="1" x14ac:dyDescent="0.3">
      <c r="A1264" s="16" t="s">
        <v>103</v>
      </c>
      <c r="B1264" s="16" t="s">
        <v>179</v>
      </c>
      <c r="C1264" s="15">
        <v>6</v>
      </c>
      <c r="D1264" s="17">
        <v>0</v>
      </c>
      <c r="E1264" s="17">
        <v>1008333</v>
      </c>
      <c r="F1264" s="17">
        <v>1008333</v>
      </c>
      <c r="G1264" s="18">
        <v>0</v>
      </c>
      <c r="H1264" s="10">
        <v>2025</v>
      </c>
    </row>
    <row r="1265" spans="1:8" hidden="1" x14ac:dyDescent="0.3">
      <c r="A1265" s="16" t="s">
        <v>103</v>
      </c>
      <c r="B1265" s="16" t="s">
        <v>181</v>
      </c>
      <c r="C1265" s="15">
        <v>1</v>
      </c>
      <c r="D1265" s="17">
        <v>1145375</v>
      </c>
      <c r="E1265" s="17">
        <v>1145375</v>
      </c>
      <c r="F1265" s="17">
        <v>0</v>
      </c>
      <c r="G1265" s="18">
        <v>1</v>
      </c>
      <c r="H1265" s="10">
        <v>2025</v>
      </c>
    </row>
    <row r="1266" spans="1:8" hidden="1" x14ac:dyDescent="0.3">
      <c r="A1266" s="16" t="s">
        <v>103</v>
      </c>
      <c r="B1266" s="16" t="s">
        <v>181</v>
      </c>
      <c r="C1266" s="15">
        <v>2</v>
      </c>
      <c r="D1266" s="17">
        <v>1259912</v>
      </c>
      <c r="E1266" s="17">
        <v>1263661</v>
      </c>
      <c r="F1266" s="17">
        <v>3749</v>
      </c>
      <c r="G1266" s="18">
        <v>1.0029756046454039</v>
      </c>
      <c r="H1266" s="10">
        <v>2025</v>
      </c>
    </row>
    <row r="1267" spans="1:8" hidden="1" x14ac:dyDescent="0.3">
      <c r="A1267" s="16" t="s">
        <v>103</v>
      </c>
      <c r="B1267" s="16" t="s">
        <v>181</v>
      </c>
      <c r="C1267" s="15">
        <v>3</v>
      </c>
      <c r="D1267" s="17">
        <v>1259912</v>
      </c>
      <c r="E1267" s="17">
        <v>1259913</v>
      </c>
      <c r="F1267" s="17">
        <v>1</v>
      </c>
      <c r="G1267" s="18">
        <v>1.0000007937062272</v>
      </c>
      <c r="H1267" s="10">
        <v>2025</v>
      </c>
    </row>
    <row r="1268" spans="1:8" hidden="1" x14ac:dyDescent="0.3">
      <c r="A1268" s="4" t="s">
        <v>103</v>
      </c>
      <c r="B1268" s="16" t="s">
        <v>181</v>
      </c>
      <c r="C1268" s="15">
        <v>4</v>
      </c>
      <c r="D1268" s="17">
        <v>1259912</v>
      </c>
      <c r="E1268" s="17">
        <v>1259912</v>
      </c>
      <c r="F1268" s="17">
        <v>0</v>
      </c>
      <c r="G1268" s="18">
        <v>1</v>
      </c>
      <c r="H1268" s="10">
        <v>2025</v>
      </c>
    </row>
    <row r="1269" spans="1:8" hidden="1" x14ac:dyDescent="0.3">
      <c r="A1269" s="4" t="s">
        <v>103</v>
      </c>
      <c r="B1269" s="16" t="s">
        <v>181</v>
      </c>
      <c r="C1269" s="15">
        <v>5</v>
      </c>
      <c r="D1269" s="17">
        <v>1259912</v>
      </c>
      <c r="E1269" s="17">
        <v>1259913</v>
      </c>
      <c r="F1269" s="17">
        <v>1</v>
      </c>
      <c r="G1269" s="18">
        <v>1.0000007937062272</v>
      </c>
      <c r="H1269" s="10">
        <v>2025</v>
      </c>
    </row>
    <row r="1270" spans="1:8" hidden="1" x14ac:dyDescent="0.3">
      <c r="A1270" s="4" t="s">
        <v>103</v>
      </c>
      <c r="B1270" s="16" t="s">
        <v>181</v>
      </c>
      <c r="C1270" s="15">
        <v>6</v>
      </c>
      <c r="D1270" s="17">
        <v>1259912</v>
      </c>
      <c r="E1270" s="17">
        <v>1259912</v>
      </c>
      <c r="F1270" s="17">
        <v>0</v>
      </c>
      <c r="G1270" s="18">
        <v>1</v>
      </c>
      <c r="H1270" s="10">
        <v>2025</v>
      </c>
    </row>
    <row r="1271" spans="1:8" hidden="1" x14ac:dyDescent="0.3">
      <c r="A1271" s="4" t="s">
        <v>103</v>
      </c>
      <c r="B1271" s="16" t="s">
        <v>181</v>
      </c>
      <c r="C1271" s="15">
        <v>7</v>
      </c>
      <c r="D1271" s="17">
        <v>1259912</v>
      </c>
      <c r="E1271" s="17">
        <v>1259913</v>
      </c>
      <c r="F1271" s="17">
        <v>1</v>
      </c>
      <c r="G1271" s="18">
        <v>1.0000007937062272</v>
      </c>
      <c r="H1271" s="10">
        <v>2025</v>
      </c>
    </row>
    <row r="1272" spans="1:8" hidden="1" x14ac:dyDescent="0.3">
      <c r="A1272" s="4" t="s">
        <v>103</v>
      </c>
      <c r="B1272" s="16" t="s">
        <v>181</v>
      </c>
      <c r="C1272" s="15">
        <v>8</v>
      </c>
      <c r="D1272" s="17">
        <v>1259912</v>
      </c>
      <c r="E1272" s="17">
        <v>1259913</v>
      </c>
      <c r="F1272" s="17">
        <v>1</v>
      </c>
      <c r="G1272" s="18">
        <v>1.0000007937062272</v>
      </c>
      <c r="H1272" s="10">
        <v>2025</v>
      </c>
    </row>
    <row r="1273" spans="1:8" hidden="1" x14ac:dyDescent="0.3">
      <c r="A1273" s="4" t="s">
        <v>103</v>
      </c>
      <c r="B1273" s="16" t="s">
        <v>181</v>
      </c>
      <c r="C1273" s="15">
        <v>9</v>
      </c>
      <c r="D1273" s="17">
        <v>1259912</v>
      </c>
      <c r="E1273" s="17">
        <v>1259913</v>
      </c>
      <c r="F1273" s="17">
        <v>1</v>
      </c>
      <c r="G1273" s="18">
        <v>1.0000007937062272</v>
      </c>
      <c r="H1273" s="10">
        <v>2025</v>
      </c>
    </row>
    <row r="1274" spans="1:8" hidden="1" x14ac:dyDescent="0.3">
      <c r="A1274" s="4" t="s">
        <v>103</v>
      </c>
      <c r="B1274" s="16" t="s">
        <v>181</v>
      </c>
      <c r="C1274" s="15">
        <v>10</v>
      </c>
      <c r="D1274" s="17">
        <v>1259912</v>
      </c>
      <c r="E1274" s="17">
        <v>1259913</v>
      </c>
      <c r="F1274" s="17">
        <v>1</v>
      </c>
      <c r="G1274" s="18">
        <v>1.0000007937062272</v>
      </c>
      <c r="H1274" s="10">
        <v>2025</v>
      </c>
    </row>
    <row r="1275" spans="1:8" hidden="1" x14ac:dyDescent="0.3">
      <c r="A1275" s="4" t="s">
        <v>103</v>
      </c>
      <c r="B1275" s="16" t="s">
        <v>182</v>
      </c>
      <c r="C1275" s="15">
        <v>1</v>
      </c>
      <c r="D1275" s="17">
        <v>137445</v>
      </c>
      <c r="E1275" s="17">
        <v>137500</v>
      </c>
      <c r="F1275" s="17">
        <v>55</v>
      </c>
      <c r="G1275" s="18">
        <v>1.0004001600640255</v>
      </c>
      <c r="H1275" s="10">
        <v>2025</v>
      </c>
    </row>
    <row r="1276" spans="1:8" hidden="1" x14ac:dyDescent="0.3">
      <c r="A1276" s="4" t="s">
        <v>103</v>
      </c>
      <c r="B1276" s="16" t="s">
        <v>182</v>
      </c>
      <c r="C1276" s="15">
        <v>2</v>
      </c>
      <c r="D1276" s="17">
        <v>151189</v>
      </c>
      <c r="E1276" s="17">
        <v>151700</v>
      </c>
      <c r="F1276" s="17">
        <v>511</v>
      </c>
      <c r="G1276" s="18">
        <v>1.0033798755200445</v>
      </c>
      <c r="H1276" s="10">
        <v>2025</v>
      </c>
    </row>
    <row r="1277" spans="1:8" hidden="1" x14ac:dyDescent="0.3">
      <c r="A1277" s="4" t="s">
        <v>103</v>
      </c>
      <c r="B1277" s="16" t="s">
        <v>182</v>
      </c>
      <c r="C1277" s="15">
        <v>3</v>
      </c>
      <c r="D1277" s="17">
        <v>151189</v>
      </c>
      <c r="E1277" s="17">
        <v>151250</v>
      </c>
      <c r="F1277" s="17">
        <v>61</v>
      </c>
      <c r="G1277" s="18">
        <v>1.0004034685063068</v>
      </c>
      <c r="H1277" s="10">
        <v>2025</v>
      </c>
    </row>
    <row r="1278" spans="1:8" hidden="1" x14ac:dyDescent="0.3">
      <c r="A1278" s="16" t="s">
        <v>103</v>
      </c>
      <c r="B1278" s="16" t="s">
        <v>182</v>
      </c>
      <c r="C1278" s="15">
        <v>4</v>
      </c>
      <c r="D1278" s="17">
        <v>151189</v>
      </c>
      <c r="E1278" s="17">
        <v>151250</v>
      </c>
      <c r="F1278" s="17">
        <v>61</v>
      </c>
      <c r="G1278" s="18">
        <v>1.0004034685063068</v>
      </c>
      <c r="H1278" s="10">
        <v>2025</v>
      </c>
    </row>
    <row r="1279" spans="1:8" hidden="1" x14ac:dyDescent="0.3">
      <c r="A1279" s="16" t="s">
        <v>103</v>
      </c>
      <c r="B1279" s="16" t="s">
        <v>182</v>
      </c>
      <c r="C1279" s="15">
        <v>5</v>
      </c>
      <c r="D1279" s="17">
        <v>151189</v>
      </c>
      <c r="E1279" s="17">
        <v>151250</v>
      </c>
      <c r="F1279" s="17">
        <v>61</v>
      </c>
      <c r="G1279" s="18">
        <v>1.0004034685063068</v>
      </c>
      <c r="H1279" s="10">
        <v>2025</v>
      </c>
    </row>
    <row r="1280" spans="1:8" hidden="1" x14ac:dyDescent="0.3">
      <c r="A1280" s="16" t="s">
        <v>103</v>
      </c>
      <c r="B1280" s="16" t="s">
        <v>182</v>
      </c>
      <c r="C1280" s="15">
        <v>6</v>
      </c>
      <c r="D1280" s="17">
        <v>151189</v>
      </c>
      <c r="E1280" s="17">
        <v>151250</v>
      </c>
      <c r="F1280" s="17">
        <v>61</v>
      </c>
      <c r="G1280" s="18">
        <v>1.0004034685063068</v>
      </c>
      <c r="H1280" s="10">
        <v>2025</v>
      </c>
    </row>
    <row r="1281" spans="1:8" hidden="1" x14ac:dyDescent="0.3">
      <c r="A1281" s="16" t="s">
        <v>103</v>
      </c>
      <c r="B1281" s="16" t="s">
        <v>182</v>
      </c>
      <c r="C1281" s="15">
        <v>7</v>
      </c>
      <c r="D1281" s="17">
        <v>151189</v>
      </c>
      <c r="E1281" s="17">
        <v>151250</v>
      </c>
      <c r="F1281" s="17">
        <v>61</v>
      </c>
      <c r="G1281" s="18">
        <v>1.0004034685063068</v>
      </c>
      <c r="H1281" s="10">
        <v>2025</v>
      </c>
    </row>
    <row r="1282" spans="1:8" hidden="1" x14ac:dyDescent="0.3">
      <c r="A1282" s="16" t="s">
        <v>103</v>
      </c>
      <c r="B1282" s="16" t="s">
        <v>182</v>
      </c>
      <c r="C1282" s="15">
        <v>8</v>
      </c>
      <c r="D1282" s="17">
        <v>151189</v>
      </c>
      <c r="E1282" s="17">
        <v>151250</v>
      </c>
      <c r="F1282" s="17">
        <v>61</v>
      </c>
      <c r="G1282" s="18">
        <v>1.0004034685063068</v>
      </c>
      <c r="H1282" s="10">
        <v>2025</v>
      </c>
    </row>
    <row r="1283" spans="1:8" hidden="1" x14ac:dyDescent="0.3">
      <c r="A1283" s="16" t="s">
        <v>103</v>
      </c>
      <c r="B1283" s="16" t="s">
        <v>182</v>
      </c>
      <c r="C1283" s="15">
        <v>9</v>
      </c>
      <c r="D1283" s="17">
        <v>151189</v>
      </c>
      <c r="E1283" s="17">
        <v>151250</v>
      </c>
      <c r="F1283" s="17">
        <v>61</v>
      </c>
      <c r="G1283" s="18">
        <v>1.0004034685063068</v>
      </c>
      <c r="H1283" s="10">
        <v>2025</v>
      </c>
    </row>
    <row r="1284" spans="1:8" hidden="1" x14ac:dyDescent="0.3">
      <c r="A1284" s="16" t="s">
        <v>103</v>
      </c>
      <c r="B1284" s="16" t="s">
        <v>182</v>
      </c>
      <c r="C1284" s="15">
        <v>10</v>
      </c>
      <c r="D1284" s="17">
        <v>151189</v>
      </c>
      <c r="E1284" s="17">
        <v>151250</v>
      </c>
      <c r="F1284" s="17">
        <v>61</v>
      </c>
      <c r="G1284" s="18">
        <v>1.0004034685063068</v>
      </c>
      <c r="H1284" s="10">
        <v>2025</v>
      </c>
    </row>
    <row r="1285" spans="1:8" hidden="1" x14ac:dyDescent="0.3">
      <c r="A1285" s="16" t="s">
        <v>103</v>
      </c>
      <c r="B1285" s="16" t="s">
        <v>183</v>
      </c>
      <c r="C1285" s="15">
        <v>1</v>
      </c>
      <c r="D1285" s="17">
        <v>1145375</v>
      </c>
      <c r="E1285" s="17">
        <v>1145375</v>
      </c>
      <c r="F1285" s="17">
        <v>0</v>
      </c>
      <c r="G1285" s="18">
        <v>1</v>
      </c>
      <c r="H1285" s="10">
        <v>2025</v>
      </c>
    </row>
    <row r="1286" spans="1:8" hidden="1" x14ac:dyDescent="0.3">
      <c r="A1286" s="16" t="s">
        <v>103</v>
      </c>
      <c r="B1286" s="16" t="s">
        <v>183</v>
      </c>
      <c r="C1286" s="15">
        <v>2</v>
      </c>
      <c r="D1286" s="17">
        <v>1259912</v>
      </c>
      <c r="E1286" s="17">
        <v>1263661</v>
      </c>
      <c r="F1286" s="17">
        <v>3749</v>
      </c>
      <c r="G1286" s="18">
        <v>1.0029756046454039</v>
      </c>
      <c r="H1286" s="10">
        <v>2025</v>
      </c>
    </row>
    <row r="1287" spans="1:8" hidden="1" x14ac:dyDescent="0.3">
      <c r="A1287" s="16" t="s">
        <v>103</v>
      </c>
      <c r="B1287" s="16" t="s">
        <v>183</v>
      </c>
      <c r="C1287" s="15">
        <v>3</v>
      </c>
      <c r="D1287" s="17">
        <v>1259912</v>
      </c>
      <c r="E1287" s="17">
        <v>1259913</v>
      </c>
      <c r="F1287" s="17">
        <v>1</v>
      </c>
      <c r="G1287" s="18">
        <v>1.0000007937062272</v>
      </c>
      <c r="H1287" s="10">
        <v>2025</v>
      </c>
    </row>
    <row r="1288" spans="1:8" hidden="1" x14ac:dyDescent="0.3">
      <c r="A1288" s="16" t="s">
        <v>103</v>
      </c>
      <c r="B1288" s="4" t="s">
        <v>183</v>
      </c>
      <c r="C1288" s="15">
        <v>4</v>
      </c>
      <c r="D1288" s="17">
        <v>1259912</v>
      </c>
      <c r="E1288" s="17">
        <v>1259912</v>
      </c>
      <c r="F1288" s="17">
        <v>0</v>
      </c>
      <c r="G1288" s="18">
        <v>1</v>
      </c>
      <c r="H1288" s="10">
        <v>2025</v>
      </c>
    </row>
    <row r="1289" spans="1:8" hidden="1" x14ac:dyDescent="0.3">
      <c r="A1289" s="16" t="s">
        <v>103</v>
      </c>
      <c r="B1289" s="4" t="s">
        <v>183</v>
      </c>
      <c r="C1289" s="15">
        <v>5</v>
      </c>
      <c r="D1289" s="17">
        <v>1259912</v>
      </c>
      <c r="E1289" s="17">
        <v>1259913</v>
      </c>
      <c r="F1289" s="17">
        <v>1</v>
      </c>
      <c r="G1289" s="18">
        <v>1.0000007937062272</v>
      </c>
      <c r="H1289" s="10">
        <v>2025</v>
      </c>
    </row>
    <row r="1290" spans="1:8" hidden="1" x14ac:dyDescent="0.3">
      <c r="A1290" s="4" t="s">
        <v>103</v>
      </c>
      <c r="B1290" s="4" t="s">
        <v>183</v>
      </c>
      <c r="C1290" s="15">
        <v>6</v>
      </c>
      <c r="D1290" s="17">
        <v>1259912</v>
      </c>
      <c r="E1290" s="17">
        <v>1259912</v>
      </c>
      <c r="F1290" s="17">
        <v>0</v>
      </c>
      <c r="G1290" s="18">
        <v>1</v>
      </c>
      <c r="H1290" s="10">
        <v>2025</v>
      </c>
    </row>
    <row r="1291" spans="1:8" hidden="1" x14ac:dyDescent="0.3">
      <c r="A1291" s="4" t="s">
        <v>103</v>
      </c>
      <c r="B1291" s="4" t="s">
        <v>183</v>
      </c>
      <c r="C1291" s="15">
        <v>7</v>
      </c>
      <c r="D1291" s="17">
        <v>1259912</v>
      </c>
      <c r="E1291" s="17">
        <v>1259913</v>
      </c>
      <c r="F1291" s="17">
        <v>1</v>
      </c>
      <c r="G1291" s="18">
        <v>1.0000007937062272</v>
      </c>
      <c r="H1291" s="10">
        <v>2025</v>
      </c>
    </row>
    <row r="1292" spans="1:8" hidden="1" x14ac:dyDescent="0.3">
      <c r="A1292" s="4" t="s">
        <v>103</v>
      </c>
      <c r="B1292" s="4" t="s">
        <v>183</v>
      </c>
      <c r="C1292" s="15">
        <v>8</v>
      </c>
      <c r="D1292" s="17">
        <v>1259912</v>
      </c>
      <c r="E1292" s="17">
        <v>1259913</v>
      </c>
      <c r="F1292" s="17">
        <v>1</v>
      </c>
      <c r="G1292" s="18">
        <v>1.0000007937062272</v>
      </c>
      <c r="H1292" s="10">
        <v>2025</v>
      </c>
    </row>
    <row r="1293" spans="1:8" hidden="1" x14ac:dyDescent="0.3">
      <c r="A1293" s="4" t="s">
        <v>103</v>
      </c>
      <c r="B1293" s="4" t="s">
        <v>183</v>
      </c>
      <c r="C1293" s="15">
        <v>9</v>
      </c>
      <c r="D1293" s="17">
        <v>1259912</v>
      </c>
      <c r="E1293" s="17">
        <v>1259913</v>
      </c>
      <c r="F1293" s="17">
        <v>1</v>
      </c>
      <c r="G1293" s="18">
        <v>1.0000007937062272</v>
      </c>
      <c r="H1293" s="10">
        <v>2025</v>
      </c>
    </row>
    <row r="1294" spans="1:8" hidden="1" x14ac:dyDescent="0.3">
      <c r="A1294" s="4" t="s">
        <v>103</v>
      </c>
      <c r="B1294" s="4" t="s">
        <v>183</v>
      </c>
      <c r="C1294" s="15">
        <v>10</v>
      </c>
      <c r="D1294" s="17">
        <v>1259912</v>
      </c>
      <c r="E1294" s="17">
        <v>1259913</v>
      </c>
      <c r="F1294" s="17">
        <v>1</v>
      </c>
      <c r="G1294" s="18">
        <v>1.0000007937062272</v>
      </c>
      <c r="H1294" s="10">
        <v>2025</v>
      </c>
    </row>
    <row r="1295" spans="1:8" hidden="1" x14ac:dyDescent="0.3">
      <c r="A1295" s="4" t="s">
        <v>103</v>
      </c>
      <c r="B1295" s="4" t="s">
        <v>184</v>
      </c>
      <c r="C1295" s="15">
        <v>1</v>
      </c>
      <c r="D1295" s="17">
        <v>573375</v>
      </c>
      <c r="E1295" s="17">
        <v>573375</v>
      </c>
      <c r="F1295" s="17">
        <v>0</v>
      </c>
      <c r="G1295" s="18">
        <v>1</v>
      </c>
      <c r="H1295" s="10">
        <v>2025</v>
      </c>
    </row>
    <row r="1296" spans="1:8" hidden="1" x14ac:dyDescent="0.3">
      <c r="A1296" s="4" t="s">
        <v>103</v>
      </c>
      <c r="B1296" s="16" t="s">
        <v>184</v>
      </c>
      <c r="C1296" s="15">
        <v>2</v>
      </c>
      <c r="D1296" s="17">
        <v>630712</v>
      </c>
      <c r="E1296" s="17">
        <v>632589</v>
      </c>
      <c r="F1296" s="17">
        <v>1877</v>
      </c>
      <c r="G1296" s="18">
        <v>1.0029760017250346</v>
      </c>
      <c r="H1296" s="10">
        <v>2025</v>
      </c>
    </row>
    <row r="1297" spans="1:8" hidden="1" x14ac:dyDescent="0.3">
      <c r="A1297" s="4" t="s">
        <v>103</v>
      </c>
      <c r="B1297" s="16" t="s">
        <v>184</v>
      </c>
      <c r="C1297" s="15">
        <v>3</v>
      </c>
      <c r="D1297" s="17">
        <v>630712</v>
      </c>
      <c r="E1297" s="17">
        <v>630713</v>
      </c>
      <c r="F1297" s="17">
        <v>1</v>
      </c>
      <c r="G1297" s="18">
        <v>1.0000015855097097</v>
      </c>
      <c r="H1297" s="10">
        <v>2025</v>
      </c>
    </row>
    <row r="1298" spans="1:8" hidden="1" x14ac:dyDescent="0.3">
      <c r="A1298" s="4" t="s">
        <v>103</v>
      </c>
      <c r="B1298" s="16" t="s">
        <v>184</v>
      </c>
      <c r="C1298" s="15">
        <v>4</v>
      </c>
      <c r="D1298" s="17">
        <v>630712</v>
      </c>
      <c r="E1298" s="17">
        <v>630712</v>
      </c>
      <c r="F1298" s="17">
        <v>0</v>
      </c>
      <c r="G1298" s="18">
        <v>1</v>
      </c>
      <c r="H1298" s="10">
        <v>2025</v>
      </c>
    </row>
    <row r="1299" spans="1:8" hidden="1" x14ac:dyDescent="0.3">
      <c r="A1299" s="4" t="s">
        <v>103</v>
      </c>
      <c r="B1299" s="16" t="s">
        <v>184</v>
      </c>
      <c r="C1299" s="15">
        <v>5</v>
      </c>
      <c r="D1299" s="17">
        <v>630712</v>
      </c>
      <c r="E1299" s="17">
        <v>630713</v>
      </c>
      <c r="F1299" s="17">
        <v>1</v>
      </c>
      <c r="G1299" s="18">
        <v>1.0000015855097097</v>
      </c>
      <c r="H1299" s="10">
        <v>2025</v>
      </c>
    </row>
    <row r="1300" spans="1:8" hidden="1" x14ac:dyDescent="0.3">
      <c r="A1300" s="4" t="s">
        <v>103</v>
      </c>
      <c r="B1300" s="16" t="s">
        <v>184</v>
      </c>
      <c r="C1300" s="15">
        <v>6</v>
      </c>
      <c r="D1300" s="17">
        <v>630712</v>
      </c>
      <c r="E1300" s="17">
        <v>630712</v>
      </c>
      <c r="F1300" s="17">
        <v>0</v>
      </c>
      <c r="G1300" s="18">
        <v>1</v>
      </c>
      <c r="H1300" s="10">
        <v>2025</v>
      </c>
    </row>
    <row r="1301" spans="1:8" hidden="1" x14ac:dyDescent="0.3">
      <c r="A1301" s="4" t="s">
        <v>103</v>
      </c>
      <c r="B1301" s="16" t="s">
        <v>184</v>
      </c>
      <c r="C1301" s="15">
        <v>7</v>
      </c>
      <c r="D1301" s="17">
        <v>630712</v>
      </c>
      <c r="E1301" s="17">
        <v>630713</v>
      </c>
      <c r="F1301" s="17">
        <v>1</v>
      </c>
      <c r="G1301" s="18">
        <v>1.0000015855097097</v>
      </c>
      <c r="H1301" s="10">
        <v>2025</v>
      </c>
    </row>
    <row r="1302" spans="1:8" hidden="1" x14ac:dyDescent="0.3">
      <c r="A1302" s="4" t="s">
        <v>103</v>
      </c>
      <c r="B1302" s="16" t="s">
        <v>184</v>
      </c>
      <c r="C1302" s="15">
        <v>8</v>
      </c>
      <c r="D1302" s="17">
        <v>630712</v>
      </c>
      <c r="E1302" s="17">
        <v>630713</v>
      </c>
      <c r="F1302" s="17">
        <v>1</v>
      </c>
      <c r="G1302" s="18">
        <v>1.0000015855097097</v>
      </c>
      <c r="H1302" s="10">
        <v>2025</v>
      </c>
    </row>
    <row r="1303" spans="1:8" hidden="1" x14ac:dyDescent="0.3">
      <c r="A1303" s="4" t="s">
        <v>103</v>
      </c>
      <c r="B1303" s="16" t="s">
        <v>184</v>
      </c>
      <c r="C1303" s="15">
        <v>9</v>
      </c>
      <c r="D1303" s="17">
        <v>630712</v>
      </c>
      <c r="E1303" s="17">
        <v>630713</v>
      </c>
      <c r="F1303" s="17">
        <v>1</v>
      </c>
      <c r="G1303" s="18">
        <v>1.0000015855097097</v>
      </c>
      <c r="H1303" s="10">
        <v>2025</v>
      </c>
    </row>
    <row r="1304" spans="1:8" hidden="1" x14ac:dyDescent="0.3">
      <c r="A1304" s="4" t="s">
        <v>103</v>
      </c>
      <c r="B1304" s="16" t="s">
        <v>184</v>
      </c>
      <c r="C1304" s="15">
        <v>10</v>
      </c>
      <c r="D1304" s="17">
        <v>630712</v>
      </c>
      <c r="E1304" s="17">
        <v>630713</v>
      </c>
      <c r="F1304" s="17">
        <v>1</v>
      </c>
      <c r="G1304" s="18">
        <v>1.0000015855097097</v>
      </c>
      <c r="H1304" s="10">
        <v>2025</v>
      </c>
    </row>
    <row r="1305" spans="1:8" hidden="1" x14ac:dyDescent="0.3">
      <c r="A1305" s="4" t="s">
        <v>103</v>
      </c>
      <c r="B1305" s="16" t="s">
        <v>185</v>
      </c>
      <c r="C1305" s="15">
        <v>1</v>
      </c>
      <c r="D1305" s="17">
        <v>189750</v>
      </c>
      <c r="E1305" s="17">
        <v>189750</v>
      </c>
      <c r="F1305" s="17">
        <v>0</v>
      </c>
      <c r="G1305" s="18">
        <v>1</v>
      </c>
      <c r="H1305" s="10">
        <v>2025</v>
      </c>
    </row>
    <row r="1306" spans="1:8" hidden="1" x14ac:dyDescent="0.3">
      <c r="A1306" s="4" t="s">
        <v>103</v>
      </c>
      <c r="B1306" s="16" t="s">
        <v>185</v>
      </c>
      <c r="C1306" s="15">
        <v>2</v>
      </c>
      <c r="D1306" s="17">
        <v>208725</v>
      </c>
      <c r="E1306" s="17">
        <v>209346</v>
      </c>
      <c r="F1306" s="17">
        <v>621</v>
      </c>
      <c r="G1306" s="18">
        <v>1.0029752066115702</v>
      </c>
      <c r="H1306" s="10">
        <v>2025</v>
      </c>
    </row>
    <row r="1307" spans="1:8" hidden="1" x14ac:dyDescent="0.3">
      <c r="A1307" s="4" t="s">
        <v>103</v>
      </c>
      <c r="B1307" s="16" t="s">
        <v>185</v>
      </c>
      <c r="C1307" s="15">
        <v>3</v>
      </c>
      <c r="D1307" s="17">
        <v>208725</v>
      </c>
      <c r="E1307" s="17">
        <v>208725</v>
      </c>
      <c r="F1307" s="17">
        <v>0</v>
      </c>
      <c r="G1307" s="18">
        <v>1</v>
      </c>
      <c r="H1307" s="10">
        <v>2025</v>
      </c>
    </row>
    <row r="1308" spans="1:8" hidden="1" x14ac:dyDescent="0.3">
      <c r="A1308" s="4" t="s">
        <v>103</v>
      </c>
      <c r="B1308" s="16" t="s">
        <v>185</v>
      </c>
      <c r="C1308" s="15">
        <v>4</v>
      </c>
      <c r="D1308" s="17">
        <v>208725</v>
      </c>
      <c r="E1308" s="17">
        <v>208724</v>
      </c>
      <c r="F1308" s="17">
        <v>-1</v>
      </c>
      <c r="G1308" s="18">
        <v>0.99999520900706673</v>
      </c>
      <c r="H1308" s="10">
        <v>2025</v>
      </c>
    </row>
    <row r="1309" spans="1:8" hidden="1" x14ac:dyDescent="0.3">
      <c r="A1309" s="4" t="s">
        <v>103</v>
      </c>
      <c r="B1309" s="16" t="s">
        <v>185</v>
      </c>
      <c r="C1309" s="15">
        <v>5</v>
      </c>
      <c r="D1309" s="17">
        <v>208725</v>
      </c>
      <c r="E1309" s="17">
        <v>208725</v>
      </c>
      <c r="F1309" s="17">
        <v>0</v>
      </c>
      <c r="G1309" s="18">
        <v>1</v>
      </c>
      <c r="H1309" s="10">
        <v>2025</v>
      </c>
    </row>
    <row r="1310" spans="1:8" hidden="1" x14ac:dyDescent="0.3">
      <c r="A1310" s="4" t="s">
        <v>103</v>
      </c>
      <c r="B1310" s="16" t="s">
        <v>185</v>
      </c>
      <c r="C1310" s="15">
        <v>6</v>
      </c>
      <c r="D1310" s="17">
        <v>208725</v>
      </c>
      <c r="E1310" s="17">
        <v>208725</v>
      </c>
      <c r="F1310" s="17">
        <v>0</v>
      </c>
      <c r="G1310" s="18">
        <v>1</v>
      </c>
      <c r="H1310" s="10">
        <v>2025</v>
      </c>
    </row>
    <row r="1311" spans="1:8" hidden="1" x14ac:dyDescent="0.3">
      <c r="A1311" s="4" t="s">
        <v>103</v>
      </c>
      <c r="B1311" s="16" t="s">
        <v>185</v>
      </c>
      <c r="C1311" s="15">
        <v>7</v>
      </c>
      <c r="D1311" s="17">
        <v>208725</v>
      </c>
      <c r="E1311" s="17">
        <v>208725</v>
      </c>
      <c r="F1311" s="17">
        <v>0</v>
      </c>
      <c r="G1311" s="18">
        <v>1</v>
      </c>
      <c r="H1311" s="10">
        <v>2025</v>
      </c>
    </row>
    <row r="1312" spans="1:8" hidden="1" x14ac:dyDescent="0.3">
      <c r="A1312" s="4" t="s">
        <v>103</v>
      </c>
      <c r="B1312" s="16" t="s">
        <v>185</v>
      </c>
      <c r="C1312" s="15">
        <v>8</v>
      </c>
      <c r="D1312" s="17">
        <v>208725</v>
      </c>
      <c r="E1312" s="17">
        <v>208725</v>
      </c>
      <c r="F1312" s="17">
        <v>0</v>
      </c>
      <c r="G1312" s="18">
        <v>1</v>
      </c>
      <c r="H1312" s="10">
        <v>2025</v>
      </c>
    </row>
    <row r="1313" spans="1:8" hidden="1" x14ac:dyDescent="0.3">
      <c r="A1313" s="4" t="s">
        <v>103</v>
      </c>
      <c r="B1313" s="16" t="s">
        <v>185</v>
      </c>
      <c r="C1313" s="15">
        <v>9</v>
      </c>
      <c r="D1313" s="17">
        <v>208725</v>
      </c>
      <c r="E1313" s="17">
        <v>208725</v>
      </c>
      <c r="F1313" s="17">
        <v>0</v>
      </c>
      <c r="G1313" s="18">
        <v>1</v>
      </c>
      <c r="H1313" s="10">
        <v>2025</v>
      </c>
    </row>
    <row r="1314" spans="1:8" hidden="1" x14ac:dyDescent="0.3">
      <c r="A1314" s="4" t="s">
        <v>103</v>
      </c>
      <c r="B1314" s="16" t="s">
        <v>185</v>
      </c>
      <c r="C1314" s="15">
        <v>10</v>
      </c>
      <c r="D1314" s="17">
        <v>208725</v>
      </c>
      <c r="E1314" s="17">
        <v>208725</v>
      </c>
      <c r="F1314" s="17">
        <v>0</v>
      </c>
      <c r="G1314" s="18">
        <v>1</v>
      </c>
      <c r="H1314" s="10">
        <v>2025</v>
      </c>
    </row>
    <row r="1315" spans="1:8" hidden="1" x14ac:dyDescent="0.3">
      <c r="A1315" s="4" t="s">
        <v>103</v>
      </c>
      <c r="B1315" s="16" t="s">
        <v>186</v>
      </c>
      <c r="C1315" s="15">
        <v>1</v>
      </c>
      <c r="D1315" s="17">
        <v>8250000</v>
      </c>
      <c r="E1315" s="17">
        <v>8250000</v>
      </c>
      <c r="F1315" s="17">
        <v>0</v>
      </c>
      <c r="G1315" s="18">
        <v>1</v>
      </c>
      <c r="H1315" s="10">
        <v>2025</v>
      </c>
    </row>
    <row r="1316" spans="1:8" hidden="1" x14ac:dyDescent="0.3">
      <c r="A1316" s="4" t="s">
        <v>103</v>
      </c>
      <c r="B1316" s="16" t="s">
        <v>186</v>
      </c>
      <c r="C1316" s="15">
        <v>2</v>
      </c>
      <c r="D1316" s="17">
        <v>8938050</v>
      </c>
      <c r="E1316" s="17">
        <v>8944188</v>
      </c>
      <c r="F1316" s="17">
        <v>6138</v>
      </c>
      <c r="G1316" s="18">
        <v>1.0006867269706481</v>
      </c>
      <c r="H1316" s="10">
        <v>2025</v>
      </c>
    </row>
    <row r="1317" spans="1:8" hidden="1" x14ac:dyDescent="0.3">
      <c r="A1317" s="4" t="s">
        <v>103</v>
      </c>
      <c r="B1317" s="16" t="s">
        <v>186</v>
      </c>
      <c r="C1317" s="15">
        <v>3</v>
      </c>
      <c r="D1317" s="17">
        <v>2063050</v>
      </c>
      <c r="E1317" s="17">
        <v>2063050</v>
      </c>
      <c r="F1317" s="17">
        <v>0</v>
      </c>
      <c r="G1317" s="18">
        <v>1</v>
      </c>
      <c r="H1317" s="10">
        <v>2025</v>
      </c>
    </row>
    <row r="1318" spans="1:8" hidden="1" x14ac:dyDescent="0.3">
      <c r="A1318" s="4" t="s">
        <v>103</v>
      </c>
      <c r="B1318" s="16" t="s">
        <v>186</v>
      </c>
      <c r="C1318" s="15">
        <v>4</v>
      </c>
      <c r="D1318" s="17">
        <v>2063050</v>
      </c>
      <c r="E1318" s="17">
        <v>2063050</v>
      </c>
      <c r="F1318" s="17">
        <v>0</v>
      </c>
      <c r="G1318" s="18">
        <v>1</v>
      </c>
      <c r="H1318" s="10">
        <v>2025</v>
      </c>
    </row>
    <row r="1319" spans="1:8" hidden="1" x14ac:dyDescent="0.3">
      <c r="A1319" s="4" t="s">
        <v>103</v>
      </c>
      <c r="B1319" s="16" t="s">
        <v>186</v>
      </c>
      <c r="C1319" s="15">
        <v>5</v>
      </c>
      <c r="D1319" s="17">
        <v>2063050</v>
      </c>
      <c r="E1319" s="17">
        <v>2063050</v>
      </c>
      <c r="F1319" s="17">
        <v>0</v>
      </c>
      <c r="G1319" s="18">
        <v>1</v>
      </c>
      <c r="H1319" s="10">
        <v>2025</v>
      </c>
    </row>
    <row r="1320" spans="1:8" hidden="1" x14ac:dyDescent="0.3">
      <c r="A1320" s="4" t="s">
        <v>103</v>
      </c>
      <c r="B1320" s="16" t="s">
        <v>186</v>
      </c>
      <c r="C1320" s="15">
        <v>6</v>
      </c>
      <c r="D1320" s="17">
        <v>2063050</v>
      </c>
      <c r="E1320" s="17">
        <v>2063050</v>
      </c>
      <c r="F1320" s="17">
        <v>0</v>
      </c>
      <c r="G1320" s="18">
        <v>1</v>
      </c>
      <c r="H1320" s="10">
        <v>2025</v>
      </c>
    </row>
    <row r="1321" spans="1:8" hidden="1" x14ac:dyDescent="0.3">
      <c r="A1321" s="4" t="s">
        <v>103</v>
      </c>
      <c r="B1321" s="16" t="s">
        <v>186</v>
      </c>
      <c r="C1321" s="15">
        <v>7</v>
      </c>
      <c r="D1321" s="17">
        <v>2063050</v>
      </c>
      <c r="E1321" s="17">
        <v>2063050</v>
      </c>
      <c r="F1321" s="17">
        <v>0</v>
      </c>
      <c r="G1321" s="18">
        <v>1</v>
      </c>
      <c r="H1321" s="10">
        <v>2025</v>
      </c>
    </row>
    <row r="1322" spans="1:8" hidden="1" x14ac:dyDescent="0.3">
      <c r="A1322" s="4" t="s">
        <v>103</v>
      </c>
      <c r="B1322" s="16" t="s">
        <v>186</v>
      </c>
      <c r="C1322" s="15">
        <v>8</v>
      </c>
      <c r="D1322" s="17">
        <v>2063050</v>
      </c>
      <c r="E1322" s="17">
        <v>2063050</v>
      </c>
      <c r="F1322" s="17">
        <v>0</v>
      </c>
      <c r="G1322" s="18">
        <v>1</v>
      </c>
      <c r="H1322" s="10">
        <v>2025</v>
      </c>
    </row>
    <row r="1323" spans="1:8" hidden="1" x14ac:dyDescent="0.3">
      <c r="A1323" s="4" t="s">
        <v>103</v>
      </c>
      <c r="B1323" s="16" t="s">
        <v>186</v>
      </c>
      <c r="C1323" s="15">
        <v>9</v>
      </c>
      <c r="D1323" s="17">
        <v>2063050</v>
      </c>
      <c r="E1323" s="17">
        <v>2063050</v>
      </c>
      <c r="F1323" s="17">
        <v>0</v>
      </c>
      <c r="G1323" s="18">
        <v>1</v>
      </c>
      <c r="H1323" s="10">
        <v>2025</v>
      </c>
    </row>
    <row r="1324" spans="1:8" hidden="1" x14ac:dyDescent="0.3">
      <c r="A1324" s="4" t="s">
        <v>103</v>
      </c>
      <c r="B1324" s="16" t="s">
        <v>186</v>
      </c>
      <c r="C1324" s="15">
        <v>10</v>
      </c>
      <c r="D1324" s="17">
        <v>2063050</v>
      </c>
      <c r="E1324" s="17">
        <v>2063050</v>
      </c>
      <c r="F1324" s="17">
        <v>0</v>
      </c>
      <c r="G1324" s="18">
        <v>1</v>
      </c>
      <c r="H1324" s="10">
        <v>2025</v>
      </c>
    </row>
    <row r="1325" spans="1:8" hidden="1" x14ac:dyDescent="0.3">
      <c r="A1325" s="4" t="s">
        <v>103</v>
      </c>
      <c r="B1325" s="16" t="s">
        <v>187</v>
      </c>
      <c r="C1325" s="15">
        <v>1</v>
      </c>
      <c r="D1325" s="17">
        <v>573375</v>
      </c>
      <c r="E1325" s="17">
        <v>573375</v>
      </c>
      <c r="F1325" s="17">
        <v>0</v>
      </c>
      <c r="G1325" s="18">
        <v>1</v>
      </c>
      <c r="H1325" s="10">
        <v>2025</v>
      </c>
    </row>
    <row r="1326" spans="1:8" hidden="1" x14ac:dyDescent="0.3">
      <c r="A1326" s="4" t="s">
        <v>103</v>
      </c>
      <c r="B1326" s="16" t="s">
        <v>187</v>
      </c>
      <c r="C1326" s="15">
        <v>2</v>
      </c>
      <c r="D1326" s="17">
        <v>630712</v>
      </c>
      <c r="E1326" s="17">
        <v>632589</v>
      </c>
      <c r="F1326" s="17">
        <v>1877</v>
      </c>
      <c r="G1326" s="18">
        <v>1.0029760017250346</v>
      </c>
      <c r="H1326" s="10">
        <v>2025</v>
      </c>
    </row>
    <row r="1327" spans="1:8" hidden="1" x14ac:dyDescent="0.3">
      <c r="A1327" s="4" t="s">
        <v>103</v>
      </c>
      <c r="B1327" s="16" t="s">
        <v>187</v>
      </c>
      <c r="C1327" s="15">
        <v>3</v>
      </c>
      <c r="D1327" s="17">
        <v>630712</v>
      </c>
      <c r="E1327" s="17">
        <v>630713</v>
      </c>
      <c r="F1327" s="17">
        <v>1</v>
      </c>
      <c r="G1327" s="18">
        <v>1.0000015855097097</v>
      </c>
      <c r="H1327" s="10">
        <v>2025</v>
      </c>
    </row>
    <row r="1328" spans="1:8" hidden="1" x14ac:dyDescent="0.3">
      <c r="A1328" s="4" t="s">
        <v>103</v>
      </c>
      <c r="B1328" s="16" t="s">
        <v>187</v>
      </c>
      <c r="C1328" s="15">
        <v>4</v>
      </c>
      <c r="D1328" s="17">
        <v>630712</v>
      </c>
      <c r="E1328" s="17">
        <v>630712</v>
      </c>
      <c r="F1328" s="17">
        <v>0</v>
      </c>
      <c r="G1328" s="18">
        <v>1</v>
      </c>
      <c r="H1328" s="10">
        <v>2025</v>
      </c>
    </row>
    <row r="1329" spans="1:8" hidden="1" x14ac:dyDescent="0.3">
      <c r="A1329" s="4" t="s">
        <v>103</v>
      </c>
      <c r="B1329" s="16" t="s">
        <v>187</v>
      </c>
      <c r="C1329" s="15">
        <v>5</v>
      </c>
      <c r="D1329" s="17">
        <v>630712</v>
      </c>
      <c r="E1329" s="17">
        <v>630713</v>
      </c>
      <c r="F1329" s="17">
        <v>1</v>
      </c>
      <c r="G1329" s="18">
        <v>1.0000015855097097</v>
      </c>
      <c r="H1329" s="10">
        <v>2025</v>
      </c>
    </row>
    <row r="1330" spans="1:8" hidden="1" x14ac:dyDescent="0.3">
      <c r="A1330" s="4" t="s">
        <v>103</v>
      </c>
      <c r="B1330" s="16" t="s">
        <v>187</v>
      </c>
      <c r="C1330" s="15">
        <v>6</v>
      </c>
      <c r="D1330" s="17">
        <v>630712</v>
      </c>
      <c r="E1330" s="17">
        <v>630712</v>
      </c>
      <c r="F1330" s="17">
        <v>0</v>
      </c>
      <c r="G1330" s="18">
        <v>1</v>
      </c>
      <c r="H1330" s="10">
        <v>2025</v>
      </c>
    </row>
    <row r="1331" spans="1:8" hidden="1" x14ac:dyDescent="0.3">
      <c r="A1331" s="4" t="s">
        <v>103</v>
      </c>
      <c r="B1331" s="16" t="s">
        <v>187</v>
      </c>
      <c r="C1331" s="15">
        <v>7</v>
      </c>
      <c r="D1331" s="17">
        <v>630712</v>
      </c>
      <c r="E1331" s="17">
        <v>630713</v>
      </c>
      <c r="F1331" s="17">
        <v>1</v>
      </c>
      <c r="G1331" s="18">
        <v>1.0000015855097097</v>
      </c>
      <c r="H1331" s="10">
        <v>2025</v>
      </c>
    </row>
    <row r="1332" spans="1:8" hidden="1" x14ac:dyDescent="0.3">
      <c r="A1332" s="4" t="s">
        <v>103</v>
      </c>
      <c r="B1332" s="16" t="s">
        <v>187</v>
      </c>
      <c r="C1332" s="15">
        <v>8</v>
      </c>
      <c r="D1332" s="17">
        <v>630712</v>
      </c>
      <c r="E1332" s="17">
        <v>630713</v>
      </c>
      <c r="F1332" s="17">
        <v>1</v>
      </c>
      <c r="G1332" s="18">
        <v>1.0000015855097097</v>
      </c>
      <c r="H1332" s="10">
        <v>2025</v>
      </c>
    </row>
    <row r="1333" spans="1:8" hidden="1" x14ac:dyDescent="0.3">
      <c r="A1333" s="4" t="s">
        <v>103</v>
      </c>
      <c r="B1333" s="16" t="s">
        <v>187</v>
      </c>
      <c r="C1333" s="15">
        <v>9</v>
      </c>
      <c r="D1333" s="17">
        <v>630712</v>
      </c>
      <c r="E1333" s="17">
        <v>630713</v>
      </c>
      <c r="F1333" s="17">
        <v>1</v>
      </c>
      <c r="G1333" s="18">
        <v>1.0000015855097097</v>
      </c>
      <c r="H1333" s="10">
        <v>2025</v>
      </c>
    </row>
    <row r="1334" spans="1:8" hidden="1" x14ac:dyDescent="0.3">
      <c r="A1334" s="4" t="s">
        <v>103</v>
      </c>
      <c r="B1334" s="16" t="s">
        <v>187</v>
      </c>
      <c r="C1334" s="15">
        <v>10</v>
      </c>
      <c r="D1334" s="17">
        <v>630712</v>
      </c>
      <c r="E1334" s="17">
        <v>630713</v>
      </c>
      <c r="F1334" s="17">
        <v>1</v>
      </c>
      <c r="G1334" s="18">
        <v>1.0000015855097097</v>
      </c>
      <c r="H1334" s="10">
        <v>2025</v>
      </c>
    </row>
    <row r="1335" spans="1:8" hidden="1" x14ac:dyDescent="0.3">
      <c r="A1335" s="4" t="s">
        <v>103</v>
      </c>
      <c r="B1335" s="16" t="s">
        <v>192</v>
      </c>
      <c r="C1335" s="15">
        <v>1</v>
      </c>
      <c r="D1335" s="17">
        <v>335500</v>
      </c>
      <c r="E1335" s="17">
        <v>335000</v>
      </c>
      <c r="F1335" s="17">
        <v>-500</v>
      </c>
      <c r="G1335" s="18">
        <v>0.99850968703427723</v>
      </c>
      <c r="H1335" s="10">
        <v>2025</v>
      </c>
    </row>
    <row r="1336" spans="1:8" hidden="1" x14ac:dyDescent="0.3">
      <c r="A1336" s="4" t="s">
        <v>103</v>
      </c>
      <c r="B1336" s="16" t="s">
        <v>192</v>
      </c>
      <c r="C1336" s="15">
        <v>2</v>
      </c>
      <c r="D1336" s="17">
        <v>369050</v>
      </c>
      <c r="E1336" s="17">
        <v>369600</v>
      </c>
      <c r="F1336" s="17">
        <v>550</v>
      </c>
      <c r="G1336" s="18">
        <v>1.0014903129657229</v>
      </c>
      <c r="H1336" s="10">
        <v>2025</v>
      </c>
    </row>
    <row r="1337" spans="1:8" hidden="1" x14ac:dyDescent="0.3">
      <c r="A1337" s="4" t="s">
        <v>103</v>
      </c>
      <c r="B1337" s="16" t="s">
        <v>192</v>
      </c>
      <c r="C1337" s="15">
        <v>3</v>
      </c>
      <c r="D1337" s="17">
        <v>369050</v>
      </c>
      <c r="E1337" s="17">
        <v>368500</v>
      </c>
      <c r="F1337" s="17">
        <v>-550</v>
      </c>
      <c r="G1337" s="18">
        <v>0.99850968703427723</v>
      </c>
      <c r="H1337" s="10">
        <v>2025</v>
      </c>
    </row>
    <row r="1338" spans="1:8" hidden="1" x14ac:dyDescent="0.3">
      <c r="A1338" s="4" t="s">
        <v>103</v>
      </c>
      <c r="B1338" s="16" t="s">
        <v>192</v>
      </c>
      <c r="C1338" s="15">
        <v>4</v>
      </c>
      <c r="D1338" s="17">
        <v>369050</v>
      </c>
      <c r="E1338" s="17">
        <v>331700</v>
      </c>
      <c r="F1338" s="17">
        <v>-37350</v>
      </c>
      <c r="G1338" s="18">
        <v>0.89879420132773336</v>
      </c>
      <c r="H1338" s="10">
        <v>2025</v>
      </c>
    </row>
    <row r="1339" spans="1:8" hidden="1" x14ac:dyDescent="0.3">
      <c r="A1339" s="4" t="s">
        <v>103</v>
      </c>
      <c r="B1339" s="16" t="s">
        <v>192</v>
      </c>
      <c r="C1339" s="15">
        <v>5</v>
      </c>
      <c r="D1339" s="17">
        <v>369050</v>
      </c>
      <c r="E1339" s="17">
        <v>368500</v>
      </c>
      <c r="F1339" s="17">
        <v>-550</v>
      </c>
      <c r="G1339" s="18">
        <v>0.99850968703427723</v>
      </c>
      <c r="H1339" s="10">
        <v>2025</v>
      </c>
    </row>
    <row r="1340" spans="1:8" hidden="1" x14ac:dyDescent="0.3">
      <c r="A1340" s="4" t="s">
        <v>103</v>
      </c>
      <c r="B1340" s="16" t="s">
        <v>192</v>
      </c>
      <c r="C1340" s="15">
        <v>6</v>
      </c>
      <c r="D1340" s="17">
        <v>369050</v>
      </c>
      <c r="E1340" s="17">
        <v>343900</v>
      </c>
      <c r="F1340" s="17">
        <v>-25150</v>
      </c>
      <c r="G1340" s="18">
        <v>0.93185205256740278</v>
      </c>
      <c r="H1340" s="10">
        <v>2025</v>
      </c>
    </row>
    <row r="1341" spans="1:8" hidden="1" x14ac:dyDescent="0.3">
      <c r="A1341" s="4" t="s">
        <v>103</v>
      </c>
      <c r="B1341" s="16" t="s">
        <v>192</v>
      </c>
      <c r="C1341" s="15">
        <v>7</v>
      </c>
      <c r="D1341" s="17">
        <v>369050</v>
      </c>
      <c r="E1341" s="17">
        <v>368500</v>
      </c>
      <c r="F1341" s="17">
        <v>-550</v>
      </c>
      <c r="G1341" s="18">
        <v>0.99850968703427723</v>
      </c>
      <c r="H1341" s="10">
        <v>2025</v>
      </c>
    </row>
    <row r="1342" spans="1:8" hidden="1" x14ac:dyDescent="0.3">
      <c r="A1342" s="4" t="s">
        <v>103</v>
      </c>
      <c r="B1342" s="16" t="s">
        <v>192</v>
      </c>
      <c r="C1342" s="15">
        <v>8</v>
      </c>
      <c r="D1342" s="17">
        <v>369050</v>
      </c>
      <c r="E1342" s="17">
        <v>368500</v>
      </c>
      <c r="F1342" s="17">
        <v>-550</v>
      </c>
      <c r="G1342" s="18">
        <v>0.99850968703427723</v>
      </c>
      <c r="H1342" s="10">
        <v>2025</v>
      </c>
    </row>
    <row r="1343" spans="1:8" hidden="1" x14ac:dyDescent="0.3">
      <c r="A1343" s="4" t="s">
        <v>103</v>
      </c>
      <c r="B1343" s="16" t="s">
        <v>192</v>
      </c>
      <c r="C1343" s="15">
        <v>9</v>
      </c>
      <c r="D1343" s="17">
        <v>369050</v>
      </c>
      <c r="E1343" s="17">
        <v>368600</v>
      </c>
      <c r="F1343" s="17">
        <v>-450</v>
      </c>
      <c r="G1343" s="18">
        <v>0.99878065302804497</v>
      </c>
      <c r="H1343" s="10">
        <v>2025</v>
      </c>
    </row>
    <row r="1344" spans="1:8" hidden="1" x14ac:dyDescent="0.3">
      <c r="A1344" s="4" t="s">
        <v>103</v>
      </c>
      <c r="B1344" s="16" t="s">
        <v>192</v>
      </c>
      <c r="C1344" s="15">
        <v>10</v>
      </c>
      <c r="D1344" s="17">
        <v>369050</v>
      </c>
      <c r="E1344" s="17">
        <v>368600</v>
      </c>
      <c r="F1344" s="17">
        <v>-450</v>
      </c>
      <c r="G1344" s="18">
        <v>0.99878065302804497</v>
      </c>
      <c r="H1344" s="10">
        <v>2025</v>
      </c>
    </row>
    <row r="1345" spans="1:8" hidden="1" x14ac:dyDescent="0.3">
      <c r="A1345" s="4" t="s">
        <v>103</v>
      </c>
      <c r="B1345" s="16" t="s">
        <v>193</v>
      </c>
      <c r="C1345" s="15">
        <v>1</v>
      </c>
      <c r="D1345" s="17">
        <v>1168750</v>
      </c>
      <c r="E1345" s="17">
        <v>0</v>
      </c>
      <c r="F1345" s="17">
        <v>-1168750</v>
      </c>
      <c r="G1345" s="18">
        <v>0</v>
      </c>
      <c r="H1345" s="10">
        <v>2025</v>
      </c>
    </row>
    <row r="1346" spans="1:8" hidden="1" x14ac:dyDescent="0.3">
      <c r="A1346" s="4" t="s">
        <v>103</v>
      </c>
      <c r="B1346" s="16" t="s">
        <v>193</v>
      </c>
      <c r="C1346" s="15">
        <v>2</v>
      </c>
      <c r="D1346" s="17">
        <v>1285625</v>
      </c>
      <c r="E1346" s="17">
        <v>1289500</v>
      </c>
      <c r="F1346" s="17">
        <v>3875</v>
      </c>
      <c r="G1346" s="18">
        <v>1.0030140982012641</v>
      </c>
      <c r="H1346" s="10">
        <v>2025</v>
      </c>
    </row>
    <row r="1347" spans="1:8" hidden="1" x14ac:dyDescent="0.3">
      <c r="A1347" s="4" t="s">
        <v>103</v>
      </c>
      <c r="B1347" s="16" t="s">
        <v>193</v>
      </c>
      <c r="C1347" s="15">
        <v>3</v>
      </c>
      <c r="D1347" s="17">
        <v>1285625</v>
      </c>
      <c r="E1347" s="17">
        <v>1285700</v>
      </c>
      <c r="F1347" s="17">
        <v>75</v>
      </c>
      <c r="G1347" s="18">
        <v>1.0000583373845406</v>
      </c>
      <c r="H1347" s="10">
        <v>2025</v>
      </c>
    </row>
    <row r="1348" spans="1:8" hidden="1" x14ac:dyDescent="0.3">
      <c r="A1348" s="4" t="s">
        <v>103</v>
      </c>
      <c r="B1348" s="16" t="s">
        <v>193</v>
      </c>
      <c r="C1348" s="15">
        <v>4</v>
      </c>
      <c r="D1348" s="17">
        <v>1285625</v>
      </c>
      <c r="E1348" s="17">
        <v>1285800</v>
      </c>
      <c r="F1348" s="17">
        <v>175</v>
      </c>
      <c r="G1348" s="18">
        <v>1.0001361205639281</v>
      </c>
      <c r="H1348" s="10">
        <v>2025</v>
      </c>
    </row>
    <row r="1349" spans="1:8" hidden="1" x14ac:dyDescent="0.3">
      <c r="A1349" s="4" t="s">
        <v>103</v>
      </c>
      <c r="B1349" s="16" t="s">
        <v>193</v>
      </c>
      <c r="C1349" s="15">
        <v>5</v>
      </c>
      <c r="D1349" s="17">
        <v>1285625</v>
      </c>
      <c r="E1349" s="17">
        <v>1285700</v>
      </c>
      <c r="F1349" s="17">
        <v>75</v>
      </c>
      <c r="G1349" s="18">
        <v>1.0000583373845406</v>
      </c>
      <c r="H1349" s="10">
        <v>2025</v>
      </c>
    </row>
    <row r="1350" spans="1:8" hidden="1" x14ac:dyDescent="0.3">
      <c r="A1350" s="4" t="s">
        <v>103</v>
      </c>
      <c r="B1350" s="16" t="s">
        <v>193</v>
      </c>
      <c r="C1350" s="15">
        <v>6</v>
      </c>
      <c r="D1350" s="17">
        <v>1285625</v>
      </c>
      <c r="E1350" s="17">
        <v>1285700</v>
      </c>
      <c r="F1350" s="17">
        <v>75</v>
      </c>
      <c r="G1350" s="18">
        <v>1.0000583373845406</v>
      </c>
      <c r="H1350" s="10">
        <v>2025</v>
      </c>
    </row>
    <row r="1351" spans="1:8" hidden="1" x14ac:dyDescent="0.3">
      <c r="A1351" s="4" t="s">
        <v>103</v>
      </c>
      <c r="B1351" s="16" t="s">
        <v>193</v>
      </c>
      <c r="C1351" s="15">
        <v>7</v>
      </c>
      <c r="D1351" s="17">
        <v>1285625</v>
      </c>
      <c r="E1351" s="17">
        <v>1285700</v>
      </c>
      <c r="F1351" s="17">
        <v>75</v>
      </c>
      <c r="G1351" s="18">
        <v>1.0000583373845406</v>
      </c>
      <c r="H1351" s="10">
        <v>2025</v>
      </c>
    </row>
    <row r="1352" spans="1:8" hidden="1" x14ac:dyDescent="0.3">
      <c r="A1352" s="4" t="s">
        <v>103</v>
      </c>
      <c r="B1352" s="16" t="s">
        <v>193</v>
      </c>
      <c r="C1352" s="15">
        <v>8</v>
      </c>
      <c r="D1352" s="17">
        <v>1285625</v>
      </c>
      <c r="E1352" s="17">
        <v>1285700</v>
      </c>
      <c r="F1352" s="17">
        <v>75</v>
      </c>
      <c r="G1352" s="18">
        <v>1.0000583373845406</v>
      </c>
      <c r="H1352" s="10">
        <v>2025</v>
      </c>
    </row>
    <row r="1353" spans="1:8" hidden="1" x14ac:dyDescent="0.3">
      <c r="A1353" s="4" t="s">
        <v>103</v>
      </c>
      <c r="B1353" s="16" t="s">
        <v>193</v>
      </c>
      <c r="C1353" s="15">
        <v>9</v>
      </c>
      <c r="D1353" s="17">
        <v>1285625</v>
      </c>
      <c r="E1353" s="17">
        <v>1285700</v>
      </c>
      <c r="F1353" s="17">
        <v>75</v>
      </c>
      <c r="G1353" s="18">
        <v>1.0000583373845406</v>
      </c>
      <c r="H1353" s="10">
        <v>2025</v>
      </c>
    </row>
    <row r="1354" spans="1:8" hidden="1" x14ac:dyDescent="0.3">
      <c r="A1354" s="4" t="s">
        <v>103</v>
      </c>
      <c r="B1354" s="16" t="s">
        <v>193</v>
      </c>
      <c r="C1354" s="15">
        <v>10</v>
      </c>
      <c r="D1354" s="17">
        <v>1285625</v>
      </c>
      <c r="E1354" s="17">
        <v>1285700</v>
      </c>
      <c r="F1354" s="17">
        <v>75</v>
      </c>
      <c r="G1354" s="18">
        <v>1.0000583373845406</v>
      </c>
      <c r="H1354" s="10">
        <v>2025</v>
      </c>
    </row>
    <row r="1355" spans="1:8" hidden="1" x14ac:dyDescent="0.3">
      <c r="A1355" s="4" t="s">
        <v>103</v>
      </c>
      <c r="B1355" s="16" t="s">
        <v>194</v>
      </c>
      <c r="C1355" s="15">
        <v>1</v>
      </c>
      <c r="D1355" s="17">
        <v>1650000</v>
      </c>
      <c r="E1355" s="17">
        <v>1650100</v>
      </c>
      <c r="F1355" s="17">
        <v>100</v>
      </c>
      <c r="G1355" s="18">
        <v>1.0000606060606061</v>
      </c>
      <c r="H1355" s="10">
        <v>2025</v>
      </c>
    </row>
    <row r="1356" spans="1:8" hidden="1" x14ac:dyDescent="0.3">
      <c r="A1356" s="4" t="s">
        <v>103</v>
      </c>
      <c r="B1356" s="16" t="s">
        <v>194</v>
      </c>
      <c r="C1356" s="15">
        <v>2</v>
      </c>
      <c r="D1356" s="17">
        <v>1815000</v>
      </c>
      <c r="E1356" s="17">
        <v>1820500</v>
      </c>
      <c r="F1356" s="17">
        <v>5500</v>
      </c>
      <c r="G1356" s="18">
        <v>1.0030303030303029</v>
      </c>
      <c r="H1356" s="10">
        <v>2025</v>
      </c>
    </row>
    <row r="1357" spans="1:8" hidden="1" x14ac:dyDescent="0.3">
      <c r="A1357" s="4" t="s">
        <v>103</v>
      </c>
      <c r="B1357" s="16" t="s">
        <v>194</v>
      </c>
      <c r="C1357" s="15">
        <v>3</v>
      </c>
      <c r="D1357" s="17">
        <v>1815000</v>
      </c>
      <c r="E1357" s="17">
        <v>1815150</v>
      </c>
      <c r="F1357" s="17">
        <v>150</v>
      </c>
      <c r="G1357" s="18">
        <v>1.0000826446280993</v>
      </c>
      <c r="H1357" s="10">
        <v>2025</v>
      </c>
    </row>
    <row r="1358" spans="1:8" hidden="1" x14ac:dyDescent="0.3">
      <c r="A1358" s="4" t="s">
        <v>103</v>
      </c>
      <c r="B1358" s="16" t="s">
        <v>194</v>
      </c>
      <c r="C1358" s="15">
        <v>4</v>
      </c>
      <c r="D1358" s="17">
        <v>1815000</v>
      </c>
      <c r="E1358" s="17">
        <v>1815450</v>
      </c>
      <c r="F1358" s="17">
        <v>450</v>
      </c>
      <c r="G1358" s="18">
        <v>1.0002479338842976</v>
      </c>
      <c r="H1358" s="10">
        <v>2025</v>
      </c>
    </row>
    <row r="1359" spans="1:8" hidden="1" x14ac:dyDescent="0.3">
      <c r="A1359" s="4" t="s">
        <v>103</v>
      </c>
      <c r="B1359" s="16" t="s">
        <v>194</v>
      </c>
      <c r="C1359" s="15">
        <v>5</v>
      </c>
      <c r="D1359" s="17">
        <v>1815000</v>
      </c>
      <c r="E1359" s="17">
        <v>1815150</v>
      </c>
      <c r="F1359" s="17">
        <v>150</v>
      </c>
      <c r="G1359" s="18">
        <v>1.0000826446280993</v>
      </c>
      <c r="H1359" s="10">
        <v>2025</v>
      </c>
    </row>
    <row r="1360" spans="1:8" hidden="1" x14ac:dyDescent="0.3">
      <c r="A1360" s="4" t="s">
        <v>103</v>
      </c>
      <c r="B1360" s="16" t="s">
        <v>194</v>
      </c>
      <c r="C1360" s="15">
        <v>6</v>
      </c>
      <c r="D1360" s="17">
        <v>1815000</v>
      </c>
      <c r="E1360" s="17">
        <v>1815250</v>
      </c>
      <c r="F1360" s="17">
        <v>250</v>
      </c>
      <c r="G1360" s="18">
        <v>1.000137741046832</v>
      </c>
      <c r="H1360" s="10">
        <v>2025</v>
      </c>
    </row>
    <row r="1361" spans="1:8" hidden="1" x14ac:dyDescent="0.3">
      <c r="A1361" s="4" t="s">
        <v>103</v>
      </c>
      <c r="B1361" s="16" t="s">
        <v>194</v>
      </c>
      <c r="C1361" s="15">
        <v>7</v>
      </c>
      <c r="D1361" s="17">
        <v>1815000</v>
      </c>
      <c r="E1361" s="17">
        <v>1815150</v>
      </c>
      <c r="F1361" s="17">
        <v>150</v>
      </c>
      <c r="G1361" s="18">
        <v>1.0000826446280993</v>
      </c>
      <c r="H1361" s="10">
        <v>2025</v>
      </c>
    </row>
    <row r="1362" spans="1:8" hidden="1" x14ac:dyDescent="0.3">
      <c r="A1362" s="4" t="s">
        <v>103</v>
      </c>
      <c r="B1362" s="16" t="s">
        <v>194</v>
      </c>
      <c r="C1362" s="15">
        <v>8</v>
      </c>
      <c r="D1362" s="17">
        <v>1815000</v>
      </c>
      <c r="E1362" s="17">
        <v>1815150</v>
      </c>
      <c r="F1362" s="17">
        <v>150</v>
      </c>
      <c r="G1362" s="18">
        <v>1.0000826446280993</v>
      </c>
      <c r="H1362" s="10">
        <v>2025</v>
      </c>
    </row>
    <row r="1363" spans="1:8" hidden="1" x14ac:dyDescent="0.3">
      <c r="A1363" s="4" t="s">
        <v>103</v>
      </c>
      <c r="B1363" s="16" t="s">
        <v>194</v>
      </c>
      <c r="C1363" s="15">
        <v>9</v>
      </c>
      <c r="D1363" s="17">
        <v>1815000</v>
      </c>
      <c r="E1363" s="17">
        <v>1815000</v>
      </c>
      <c r="F1363" s="17">
        <v>0</v>
      </c>
      <c r="G1363" s="18">
        <v>1</v>
      </c>
      <c r="H1363" s="10">
        <v>2025</v>
      </c>
    </row>
    <row r="1364" spans="1:8" hidden="1" x14ac:dyDescent="0.3">
      <c r="A1364" s="4" t="s">
        <v>103</v>
      </c>
      <c r="B1364" s="16" t="s">
        <v>194</v>
      </c>
      <c r="C1364" s="15">
        <v>10</v>
      </c>
      <c r="D1364" s="17">
        <v>1815000</v>
      </c>
      <c r="E1364" s="17">
        <v>1813700</v>
      </c>
      <c r="F1364" s="17">
        <v>-1300</v>
      </c>
      <c r="G1364" s="18">
        <v>0.9992837465564739</v>
      </c>
      <c r="H1364" s="10">
        <v>2025</v>
      </c>
    </row>
    <row r="1365" spans="1:8" hidden="1" x14ac:dyDescent="0.3">
      <c r="A1365" s="4" t="s">
        <v>103</v>
      </c>
      <c r="B1365" s="16" t="s">
        <v>195</v>
      </c>
      <c r="C1365" s="15">
        <v>1</v>
      </c>
      <c r="D1365" s="17">
        <v>550000</v>
      </c>
      <c r="E1365" s="17">
        <v>550000</v>
      </c>
      <c r="F1365" s="17">
        <v>0</v>
      </c>
      <c r="G1365" s="18">
        <v>1</v>
      </c>
      <c r="H1365" s="10">
        <v>2025</v>
      </c>
    </row>
    <row r="1366" spans="1:8" hidden="1" x14ac:dyDescent="0.3">
      <c r="A1366" s="4" t="s">
        <v>103</v>
      </c>
      <c r="B1366" s="16" t="s">
        <v>195</v>
      </c>
      <c r="C1366" s="15">
        <v>2</v>
      </c>
      <c r="D1366" s="17">
        <v>605000</v>
      </c>
      <c r="E1366" s="17">
        <v>606800</v>
      </c>
      <c r="F1366" s="17">
        <v>1800</v>
      </c>
      <c r="G1366" s="18">
        <v>1.0029752066115702</v>
      </c>
      <c r="H1366" s="10">
        <v>2025</v>
      </c>
    </row>
    <row r="1367" spans="1:8" hidden="1" x14ac:dyDescent="0.3">
      <c r="A1367" s="4" t="s">
        <v>103</v>
      </c>
      <c r="B1367" s="16" t="s">
        <v>195</v>
      </c>
      <c r="C1367" s="15">
        <v>3</v>
      </c>
      <c r="D1367" s="17">
        <v>605000</v>
      </c>
      <c r="E1367" s="17">
        <v>605000</v>
      </c>
      <c r="F1367" s="17">
        <v>0</v>
      </c>
      <c r="G1367" s="18">
        <v>1</v>
      </c>
      <c r="H1367" s="10">
        <v>2025</v>
      </c>
    </row>
    <row r="1368" spans="1:8" hidden="1" x14ac:dyDescent="0.3">
      <c r="A1368" s="4" t="s">
        <v>103</v>
      </c>
      <c r="B1368" s="16" t="s">
        <v>195</v>
      </c>
      <c r="C1368" s="15">
        <v>4</v>
      </c>
      <c r="D1368" s="17">
        <v>605000</v>
      </c>
      <c r="E1368" s="17">
        <v>605100</v>
      </c>
      <c r="F1368" s="17">
        <v>100</v>
      </c>
      <c r="G1368" s="18">
        <v>1.0001652892561983</v>
      </c>
      <c r="H1368" s="10">
        <v>2025</v>
      </c>
    </row>
    <row r="1369" spans="1:8" hidden="1" x14ac:dyDescent="0.3">
      <c r="A1369" s="4" t="s">
        <v>103</v>
      </c>
      <c r="B1369" s="16" t="s">
        <v>195</v>
      </c>
      <c r="C1369" s="15">
        <v>5</v>
      </c>
      <c r="D1369" s="17">
        <v>605000</v>
      </c>
      <c r="E1369" s="17">
        <v>605000</v>
      </c>
      <c r="F1369" s="17">
        <v>0</v>
      </c>
      <c r="G1369" s="18">
        <v>1</v>
      </c>
      <c r="H1369" s="10">
        <v>2025</v>
      </c>
    </row>
    <row r="1370" spans="1:8" hidden="1" x14ac:dyDescent="0.3">
      <c r="A1370" s="4" t="s">
        <v>103</v>
      </c>
      <c r="B1370" s="16" t="s">
        <v>195</v>
      </c>
      <c r="C1370" s="15">
        <v>6</v>
      </c>
      <c r="D1370" s="17">
        <v>605000</v>
      </c>
      <c r="E1370" s="17">
        <v>564700</v>
      </c>
      <c r="F1370" s="17">
        <v>-40300</v>
      </c>
      <c r="G1370" s="18">
        <v>0.93338842975206615</v>
      </c>
      <c r="H1370" s="10">
        <v>2025</v>
      </c>
    </row>
    <row r="1371" spans="1:8" hidden="1" x14ac:dyDescent="0.3">
      <c r="A1371" s="4" t="s">
        <v>103</v>
      </c>
      <c r="B1371" s="16" t="s">
        <v>195</v>
      </c>
      <c r="C1371" s="15">
        <v>7</v>
      </c>
      <c r="D1371" s="17">
        <v>605000</v>
      </c>
      <c r="E1371" s="17">
        <v>605000</v>
      </c>
      <c r="F1371" s="17">
        <v>0</v>
      </c>
      <c r="G1371" s="18">
        <v>1</v>
      </c>
      <c r="H1371" s="10">
        <v>2025</v>
      </c>
    </row>
    <row r="1372" spans="1:8" hidden="1" x14ac:dyDescent="0.3">
      <c r="A1372" s="4" t="s">
        <v>103</v>
      </c>
      <c r="B1372" s="16" t="s">
        <v>195</v>
      </c>
      <c r="C1372" s="15">
        <v>8</v>
      </c>
      <c r="D1372" s="17">
        <v>605000</v>
      </c>
      <c r="E1372" s="17">
        <v>605000</v>
      </c>
      <c r="F1372" s="17">
        <v>0</v>
      </c>
      <c r="G1372" s="18">
        <v>1</v>
      </c>
      <c r="H1372" s="10">
        <v>2025</v>
      </c>
    </row>
    <row r="1373" spans="1:8" hidden="1" x14ac:dyDescent="0.3">
      <c r="A1373" s="4" t="s">
        <v>103</v>
      </c>
      <c r="B1373" s="16" t="s">
        <v>195</v>
      </c>
      <c r="C1373" s="15">
        <v>9</v>
      </c>
      <c r="D1373" s="17">
        <v>605000</v>
      </c>
      <c r="E1373" s="17">
        <v>605000</v>
      </c>
      <c r="F1373" s="17">
        <v>0</v>
      </c>
      <c r="G1373" s="18">
        <v>1</v>
      </c>
      <c r="H1373" s="10">
        <v>2025</v>
      </c>
    </row>
    <row r="1374" spans="1:8" hidden="1" x14ac:dyDescent="0.3">
      <c r="A1374" s="4" t="s">
        <v>103</v>
      </c>
      <c r="B1374" s="16" t="s">
        <v>195</v>
      </c>
      <c r="C1374" s="15">
        <v>10</v>
      </c>
      <c r="D1374" s="17">
        <v>605000</v>
      </c>
      <c r="E1374" s="17">
        <v>605000</v>
      </c>
      <c r="F1374" s="17">
        <v>0</v>
      </c>
      <c r="G1374" s="18">
        <v>1</v>
      </c>
      <c r="H1374" s="10">
        <v>2025</v>
      </c>
    </row>
    <row r="1375" spans="1:8" hidden="1" x14ac:dyDescent="0.3">
      <c r="A1375" s="4" t="s">
        <v>103</v>
      </c>
      <c r="B1375" s="16" t="s">
        <v>196</v>
      </c>
      <c r="C1375" s="15">
        <v>1</v>
      </c>
      <c r="D1375" s="17">
        <v>412500</v>
      </c>
      <c r="E1375" s="17">
        <v>0</v>
      </c>
      <c r="F1375" s="17">
        <v>-412500</v>
      </c>
      <c r="G1375" s="18">
        <v>0</v>
      </c>
      <c r="H1375" s="10">
        <v>2025</v>
      </c>
    </row>
    <row r="1376" spans="1:8" hidden="1" x14ac:dyDescent="0.3">
      <c r="A1376" s="4" t="s">
        <v>103</v>
      </c>
      <c r="B1376" s="16" t="s">
        <v>196</v>
      </c>
      <c r="C1376" s="15">
        <v>2</v>
      </c>
      <c r="D1376" s="17">
        <v>453750</v>
      </c>
      <c r="E1376" s="17">
        <v>455100</v>
      </c>
      <c r="F1376" s="17">
        <v>1350</v>
      </c>
      <c r="G1376" s="18">
        <v>1.0029752066115702</v>
      </c>
      <c r="H1376" s="10">
        <v>2025</v>
      </c>
    </row>
    <row r="1377" spans="1:8" hidden="1" x14ac:dyDescent="0.3">
      <c r="A1377" s="4" t="s">
        <v>103</v>
      </c>
      <c r="B1377" s="16" t="s">
        <v>196</v>
      </c>
      <c r="C1377" s="15">
        <v>3</v>
      </c>
      <c r="D1377" s="17">
        <v>453750</v>
      </c>
      <c r="E1377" s="17">
        <v>453800</v>
      </c>
      <c r="F1377" s="17">
        <v>50</v>
      </c>
      <c r="G1377" s="18">
        <v>1.0001101928374656</v>
      </c>
      <c r="H1377" s="10">
        <v>2025</v>
      </c>
    </row>
    <row r="1378" spans="1:8" hidden="1" x14ac:dyDescent="0.3">
      <c r="A1378" s="4" t="s">
        <v>103</v>
      </c>
      <c r="B1378" s="16" t="s">
        <v>196</v>
      </c>
      <c r="C1378" s="15">
        <v>4</v>
      </c>
      <c r="D1378" s="17">
        <v>453750</v>
      </c>
      <c r="E1378" s="17">
        <v>453900</v>
      </c>
      <c r="F1378" s="17">
        <v>150</v>
      </c>
      <c r="G1378" s="18">
        <v>1.0003305785123968</v>
      </c>
      <c r="H1378" s="10">
        <v>2025</v>
      </c>
    </row>
    <row r="1379" spans="1:8" hidden="1" x14ac:dyDescent="0.3">
      <c r="A1379" s="4" t="s">
        <v>103</v>
      </c>
      <c r="B1379" s="16" t="s">
        <v>196</v>
      </c>
      <c r="C1379" s="15">
        <v>5</v>
      </c>
      <c r="D1379" s="17">
        <v>453750</v>
      </c>
      <c r="E1379" s="17">
        <v>453800</v>
      </c>
      <c r="F1379" s="17">
        <v>50</v>
      </c>
      <c r="G1379" s="18">
        <v>1.0001101928374656</v>
      </c>
      <c r="H1379" s="10">
        <v>2025</v>
      </c>
    </row>
    <row r="1380" spans="1:8" hidden="1" x14ac:dyDescent="0.3">
      <c r="A1380" s="4" t="s">
        <v>103</v>
      </c>
      <c r="B1380" s="16" t="s">
        <v>196</v>
      </c>
      <c r="C1380" s="15">
        <v>6</v>
      </c>
      <c r="D1380" s="17">
        <v>453750</v>
      </c>
      <c r="E1380" s="17">
        <v>423600</v>
      </c>
      <c r="F1380" s="17">
        <v>-30150</v>
      </c>
      <c r="G1380" s="18">
        <v>0.93355371900826445</v>
      </c>
      <c r="H1380" s="10">
        <v>2025</v>
      </c>
    </row>
    <row r="1381" spans="1:8" hidden="1" x14ac:dyDescent="0.3">
      <c r="A1381" s="4" t="s">
        <v>103</v>
      </c>
      <c r="B1381" s="16" t="s">
        <v>196</v>
      </c>
      <c r="C1381" s="15">
        <v>7</v>
      </c>
      <c r="D1381" s="17">
        <v>453750</v>
      </c>
      <c r="E1381" s="17">
        <v>453800</v>
      </c>
      <c r="F1381" s="17">
        <v>50</v>
      </c>
      <c r="G1381" s="18">
        <v>1.0001101928374656</v>
      </c>
      <c r="H1381" s="10">
        <v>2025</v>
      </c>
    </row>
    <row r="1382" spans="1:8" hidden="1" x14ac:dyDescent="0.3">
      <c r="A1382" s="4" t="s">
        <v>103</v>
      </c>
      <c r="B1382" s="16" t="s">
        <v>196</v>
      </c>
      <c r="C1382" s="15">
        <v>8</v>
      </c>
      <c r="D1382" s="17">
        <v>453750</v>
      </c>
      <c r="E1382" s="17">
        <v>453800</v>
      </c>
      <c r="F1382" s="17">
        <v>50</v>
      </c>
      <c r="G1382" s="18">
        <v>1.0001101928374656</v>
      </c>
      <c r="H1382" s="10">
        <v>2025</v>
      </c>
    </row>
    <row r="1383" spans="1:8" hidden="1" x14ac:dyDescent="0.3">
      <c r="A1383" s="4" t="s">
        <v>103</v>
      </c>
      <c r="B1383" s="16" t="s">
        <v>196</v>
      </c>
      <c r="C1383" s="15">
        <v>9</v>
      </c>
      <c r="D1383" s="17">
        <v>453750</v>
      </c>
      <c r="E1383" s="17">
        <v>453800</v>
      </c>
      <c r="F1383" s="17">
        <v>50</v>
      </c>
      <c r="G1383" s="18">
        <v>1.0001101928374656</v>
      </c>
      <c r="H1383" s="10">
        <v>2025</v>
      </c>
    </row>
    <row r="1384" spans="1:8" hidden="1" x14ac:dyDescent="0.3">
      <c r="A1384" s="4" t="s">
        <v>103</v>
      </c>
      <c r="B1384" s="16" t="s">
        <v>196</v>
      </c>
      <c r="C1384" s="15">
        <v>10</v>
      </c>
      <c r="D1384" s="17">
        <v>453750</v>
      </c>
      <c r="E1384" s="17">
        <v>453800</v>
      </c>
      <c r="F1384" s="17">
        <v>50</v>
      </c>
      <c r="G1384" s="18">
        <v>1.0001101928374656</v>
      </c>
      <c r="H1384" s="10">
        <v>2025</v>
      </c>
    </row>
    <row r="1385" spans="1:8" hidden="1" x14ac:dyDescent="0.3">
      <c r="A1385" s="4" t="s">
        <v>103</v>
      </c>
      <c r="B1385" s="16" t="s">
        <v>197</v>
      </c>
      <c r="C1385" s="15">
        <v>1</v>
      </c>
      <c r="D1385" s="17">
        <v>275000</v>
      </c>
      <c r="E1385" s="17">
        <v>0</v>
      </c>
      <c r="F1385" s="17">
        <v>-275000</v>
      </c>
      <c r="G1385" s="18">
        <v>0</v>
      </c>
      <c r="H1385" s="10">
        <v>2025</v>
      </c>
    </row>
    <row r="1386" spans="1:8" hidden="1" x14ac:dyDescent="0.3">
      <c r="A1386" s="4" t="s">
        <v>103</v>
      </c>
      <c r="B1386" s="16" t="s">
        <v>197</v>
      </c>
      <c r="C1386" s="15">
        <v>2</v>
      </c>
      <c r="D1386" s="17">
        <v>302500</v>
      </c>
      <c r="E1386" s="17">
        <v>303400</v>
      </c>
      <c r="F1386" s="17">
        <v>900</v>
      </c>
      <c r="G1386" s="18">
        <v>1.0029752066115702</v>
      </c>
      <c r="H1386" s="10">
        <v>2025</v>
      </c>
    </row>
    <row r="1387" spans="1:8" hidden="1" x14ac:dyDescent="0.3">
      <c r="A1387" s="4" t="s">
        <v>103</v>
      </c>
      <c r="B1387" s="16" t="s">
        <v>197</v>
      </c>
      <c r="C1387" s="15">
        <v>3</v>
      </c>
      <c r="D1387" s="17">
        <v>302500</v>
      </c>
      <c r="E1387" s="17">
        <v>302500</v>
      </c>
      <c r="F1387" s="17">
        <v>0</v>
      </c>
      <c r="G1387" s="18">
        <v>1</v>
      </c>
      <c r="H1387" s="10">
        <v>2025</v>
      </c>
    </row>
    <row r="1388" spans="1:8" hidden="1" x14ac:dyDescent="0.3">
      <c r="A1388" s="4" t="s">
        <v>103</v>
      </c>
      <c r="B1388" s="16" t="s">
        <v>197</v>
      </c>
      <c r="C1388" s="15">
        <v>4</v>
      </c>
      <c r="D1388" s="17">
        <v>302500</v>
      </c>
      <c r="E1388" s="17">
        <v>302600</v>
      </c>
      <c r="F1388" s="17">
        <v>100</v>
      </c>
      <c r="G1388" s="18">
        <v>1.0003305785123968</v>
      </c>
      <c r="H1388" s="10">
        <v>2025</v>
      </c>
    </row>
    <row r="1389" spans="1:8" hidden="1" x14ac:dyDescent="0.3">
      <c r="A1389" s="4" t="s">
        <v>103</v>
      </c>
      <c r="B1389" s="16" t="s">
        <v>197</v>
      </c>
      <c r="C1389" s="15">
        <v>5</v>
      </c>
      <c r="D1389" s="17">
        <v>302500</v>
      </c>
      <c r="E1389" s="17">
        <v>302500</v>
      </c>
      <c r="F1389" s="17">
        <v>0</v>
      </c>
      <c r="G1389" s="18">
        <v>1</v>
      </c>
      <c r="H1389" s="10">
        <v>2025</v>
      </c>
    </row>
    <row r="1390" spans="1:8" hidden="1" x14ac:dyDescent="0.3">
      <c r="A1390" s="4" t="s">
        <v>103</v>
      </c>
      <c r="B1390" s="16" t="s">
        <v>197</v>
      </c>
      <c r="C1390" s="15">
        <v>6</v>
      </c>
      <c r="D1390" s="17">
        <v>302500</v>
      </c>
      <c r="E1390" s="17">
        <v>282400</v>
      </c>
      <c r="F1390" s="17">
        <v>-20100</v>
      </c>
      <c r="G1390" s="18">
        <v>0.93355371900826445</v>
      </c>
      <c r="H1390" s="10">
        <v>2025</v>
      </c>
    </row>
    <row r="1391" spans="1:8" hidden="1" x14ac:dyDescent="0.3">
      <c r="A1391" s="4" t="s">
        <v>103</v>
      </c>
      <c r="B1391" s="16" t="s">
        <v>197</v>
      </c>
      <c r="C1391" s="15">
        <v>7</v>
      </c>
      <c r="D1391" s="17">
        <v>302500</v>
      </c>
      <c r="E1391" s="17">
        <v>302500</v>
      </c>
      <c r="F1391" s="17">
        <v>0</v>
      </c>
      <c r="G1391" s="18">
        <v>1</v>
      </c>
      <c r="H1391" s="10">
        <v>2025</v>
      </c>
    </row>
    <row r="1392" spans="1:8" hidden="1" x14ac:dyDescent="0.3">
      <c r="A1392" s="4" t="s">
        <v>103</v>
      </c>
      <c r="B1392" s="16" t="s">
        <v>197</v>
      </c>
      <c r="C1392" s="15">
        <v>8</v>
      </c>
      <c r="D1392" s="17">
        <v>302500</v>
      </c>
      <c r="E1392" s="17">
        <v>302500</v>
      </c>
      <c r="F1392" s="17">
        <v>0</v>
      </c>
      <c r="G1392" s="18">
        <v>1</v>
      </c>
      <c r="H1392" s="10">
        <v>2025</v>
      </c>
    </row>
    <row r="1393" spans="1:8" hidden="1" x14ac:dyDescent="0.3">
      <c r="A1393" s="4" t="s">
        <v>103</v>
      </c>
      <c r="B1393" s="16" t="s">
        <v>197</v>
      </c>
      <c r="C1393" s="15">
        <v>9</v>
      </c>
      <c r="D1393" s="17">
        <v>302500</v>
      </c>
      <c r="E1393" s="17">
        <v>302500</v>
      </c>
      <c r="F1393" s="17">
        <v>0</v>
      </c>
      <c r="G1393" s="18">
        <v>1</v>
      </c>
      <c r="H1393" s="10">
        <v>2025</v>
      </c>
    </row>
    <row r="1394" spans="1:8" hidden="1" x14ac:dyDescent="0.3">
      <c r="A1394" s="4" t="s">
        <v>103</v>
      </c>
      <c r="B1394" s="16" t="s">
        <v>197</v>
      </c>
      <c r="C1394" s="15">
        <v>10</v>
      </c>
      <c r="D1394" s="17">
        <v>302500</v>
      </c>
      <c r="E1394" s="17">
        <v>302500</v>
      </c>
      <c r="F1394" s="17">
        <v>0</v>
      </c>
      <c r="G1394" s="18">
        <v>1</v>
      </c>
      <c r="H1394" s="10">
        <v>2025</v>
      </c>
    </row>
    <row r="1395" spans="1:8" hidden="1" x14ac:dyDescent="0.3">
      <c r="A1395" s="4" t="s">
        <v>103</v>
      </c>
      <c r="B1395" s="16" t="s">
        <v>186</v>
      </c>
      <c r="C1395" s="15">
        <v>11</v>
      </c>
      <c r="D1395" s="17">
        <v>2063050</v>
      </c>
      <c r="E1395" s="17">
        <v>2063050</v>
      </c>
      <c r="F1395" s="17">
        <v>0</v>
      </c>
      <c r="G1395" s="18">
        <v>1</v>
      </c>
      <c r="H1395" s="10">
        <v>2025</v>
      </c>
    </row>
    <row r="1396" spans="1:8" hidden="1" x14ac:dyDescent="0.3">
      <c r="A1396" s="4" t="s">
        <v>103</v>
      </c>
      <c r="B1396" s="16" t="s">
        <v>182</v>
      </c>
      <c r="C1396" s="15">
        <v>11</v>
      </c>
      <c r="D1396" s="17">
        <v>151189</v>
      </c>
      <c r="E1396" s="17">
        <v>151250</v>
      </c>
      <c r="F1396" s="17">
        <v>61</v>
      </c>
      <c r="G1396" s="18">
        <v>1.0004034685063068</v>
      </c>
      <c r="H1396" s="10">
        <v>2025</v>
      </c>
    </row>
    <row r="1397" spans="1:8" hidden="1" x14ac:dyDescent="0.3">
      <c r="A1397" s="4" t="s">
        <v>103</v>
      </c>
      <c r="B1397" s="16" t="s">
        <v>183</v>
      </c>
      <c r="C1397" s="15">
        <v>11</v>
      </c>
      <c r="D1397" s="17">
        <v>1259912</v>
      </c>
      <c r="E1397" s="17">
        <v>1259913</v>
      </c>
      <c r="F1397" s="17">
        <v>1</v>
      </c>
      <c r="G1397" s="18">
        <v>1.0000007937062272</v>
      </c>
      <c r="H1397" s="10">
        <v>2025</v>
      </c>
    </row>
    <row r="1398" spans="1:8" hidden="1" x14ac:dyDescent="0.3">
      <c r="A1398" s="4" t="s">
        <v>103</v>
      </c>
      <c r="B1398" s="16" t="s">
        <v>177</v>
      </c>
      <c r="C1398" s="15">
        <v>11</v>
      </c>
      <c r="D1398" s="17">
        <v>15125000</v>
      </c>
      <c r="E1398" s="17">
        <v>15125000</v>
      </c>
      <c r="F1398" s="17">
        <v>0</v>
      </c>
      <c r="G1398" s="18">
        <v>1</v>
      </c>
      <c r="H1398" s="10">
        <v>2025</v>
      </c>
    </row>
    <row r="1399" spans="1:8" hidden="1" x14ac:dyDescent="0.3">
      <c r="A1399" s="4" t="s">
        <v>103</v>
      </c>
      <c r="B1399" s="16" t="s">
        <v>184</v>
      </c>
      <c r="C1399" s="15">
        <v>11</v>
      </c>
      <c r="D1399" s="17">
        <v>630712</v>
      </c>
      <c r="E1399" s="17">
        <v>630713</v>
      </c>
      <c r="F1399" s="17">
        <v>1</v>
      </c>
      <c r="G1399" s="18">
        <v>1.0000015855097097</v>
      </c>
      <c r="H1399" s="10">
        <v>2025</v>
      </c>
    </row>
    <row r="1400" spans="1:8" hidden="1" x14ac:dyDescent="0.3">
      <c r="A1400" s="4" t="s">
        <v>103</v>
      </c>
      <c r="B1400" s="16" t="s">
        <v>177</v>
      </c>
      <c r="C1400" s="15">
        <v>12</v>
      </c>
      <c r="D1400" s="17">
        <v>15125000</v>
      </c>
      <c r="E1400" s="17">
        <v>15125000</v>
      </c>
      <c r="F1400" s="17">
        <v>0</v>
      </c>
      <c r="G1400" s="18">
        <v>1</v>
      </c>
      <c r="H1400" s="10">
        <v>2025</v>
      </c>
    </row>
    <row r="1401" spans="1:8" hidden="1" x14ac:dyDescent="0.3">
      <c r="A1401" s="4" t="s">
        <v>103</v>
      </c>
      <c r="B1401" s="16" t="s">
        <v>181</v>
      </c>
      <c r="C1401" s="15">
        <v>12</v>
      </c>
      <c r="D1401" s="17">
        <v>1259912</v>
      </c>
      <c r="E1401" s="17">
        <v>1376749</v>
      </c>
      <c r="F1401" s="17">
        <v>116837</v>
      </c>
      <c r="G1401" s="18">
        <v>1.0927342544558667</v>
      </c>
      <c r="H1401" s="10">
        <v>2025</v>
      </c>
    </row>
    <row r="1402" spans="1:8" hidden="1" x14ac:dyDescent="0.3">
      <c r="A1402" s="4" t="s">
        <v>103</v>
      </c>
      <c r="B1402" s="16" t="s">
        <v>182</v>
      </c>
      <c r="C1402" s="15">
        <v>12</v>
      </c>
      <c r="D1402" s="17">
        <v>151189</v>
      </c>
      <c r="E1402" s="17">
        <v>164550</v>
      </c>
      <c r="F1402" s="17">
        <v>13361</v>
      </c>
      <c r="G1402" s="18">
        <v>1.0883728313567786</v>
      </c>
      <c r="H1402" s="10">
        <v>2025</v>
      </c>
    </row>
    <row r="1403" spans="1:8" hidden="1" x14ac:dyDescent="0.3">
      <c r="A1403" s="4" t="s">
        <v>103</v>
      </c>
      <c r="B1403" s="16" t="s">
        <v>183</v>
      </c>
      <c r="C1403" s="15">
        <v>12</v>
      </c>
      <c r="D1403" s="17">
        <v>1259912</v>
      </c>
      <c r="E1403" s="17">
        <v>1376749</v>
      </c>
      <c r="F1403" s="17">
        <v>116837</v>
      </c>
      <c r="G1403" s="18">
        <v>1.0927342544558667</v>
      </c>
      <c r="H1403" s="10">
        <v>2025</v>
      </c>
    </row>
    <row r="1404" spans="1:8" hidden="1" x14ac:dyDescent="0.3">
      <c r="A1404" s="4" t="s">
        <v>103</v>
      </c>
      <c r="B1404" s="16" t="s">
        <v>184</v>
      </c>
      <c r="C1404" s="15">
        <v>12</v>
      </c>
      <c r="D1404" s="17">
        <v>630712</v>
      </c>
      <c r="E1404" s="17">
        <v>-4987821</v>
      </c>
      <c r="F1404" s="17">
        <v>-5618533</v>
      </c>
      <c r="G1404" s="18">
        <v>-7.9082386255533432</v>
      </c>
      <c r="H1404" s="10">
        <v>2025</v>
      </c>
    </row>
    <row r="1405" spans="1:8" hidden="1" x14ac:dyDescent="0.3">
      <c r="A1405" s="4" t="s">
        <v>103</v>
      </c>
      <c r="B1405" s="16" t="s">
        <v>185</v>
      </c>
      <c r="C1405" s="15">
        <v>12</v>
      </c>
      <c r="D1405" s="17">
        <v>208725</v>
      </c>
      <c r="E1405" s="17">
        <v>208725</v>
      </c>
      <c r="F1405" s="17">
        <v>0</v>
      </c>
      <c r="G1405" s="18">
        <v>1</v>
      </c>
      <c r="H1405" s="10">
        <v>2025</v>
      </c>
    </row>
    <row r="1406" spans="1:8" hidden="1" x14ac:dyDescent="0.3">
      <c r="A1406" s="4" t="s">
        <v>103</v>
      </c>
      <c r="B1406" s="16" t="s">
        <v>186</v>
      </c>
      <c r="C1406" s="15">
        <v>12</v>
      </c>
      <c r="D1406" s="17">
        <v>2063050</v>
      </c>
      <c r="E1406" s="17">
        <v>-5511638</v>
      </c>
      <c r="F1406" s="17">
        <v>-7574688</v>
      </c>
      <c r="G1406" s="18">
        <v>-2.6715969074913355</v>
      </c>
      <c r="H1406" s="10">
        <v>2025</v>
      </c>
    </row>
    <row r="1407" spans="1:8" hidden="1" x14ac:dyDescent="0.3">
      <c r="A1407" s="4" t="s">
        <v>103</v>
      </c>
      <c r="B1407" s="16" t="s">
        <v>187</v>
      </c>
      <c r="C1407" s="15">
        <v>12</v>
      </c>
      <c r="D1407" s="17">
        <v>630712</v>
      </c>
      <c r="E1407" s="17">
        <v>680121</v>
      </c>
      <c r="F1407" s="17">
        <v>49409</v>
      </c>
      <c r="G1407" s="18">
        <v>1.0783384492446633</v>
      </c>
      <c r="H1407" s="10">
        <v>2025</v>
      </c>
    </row>
    <row r="1408" spans="1:8" hidden="1" x14ac:dyDescent="0.3">
      <c r="A1408" s="4" t="s">
        <v>103</v>
      </c>
      <c r="B1408" s="16" t="s">
        <v>192</v>
      </c>
      <c r="C1408" s="15">
        <v>12</v>
      </c>
      <c r="D1408" s="17">
        <v>369050</v>
      </c>
      <c r="E1408" s="17">
        <v>339800</v>
      </c>
      <c r="F1408" s="17">
        <v>-29250</v>
      </c>
      <c r="G1408" s="18">
        <v>0.92074244682292372</v>
      </c>
      <c r="H1408" s="10">
        <v>2025</v>
      </c>
    </row>
    <row r="1409" spans="1:8" hidden="1" x14ac:dyDescent="0.3">
      <c r="A1409" s="4" t="s">
        <v>103</v>
      </c>
      <c r="B1409" s="16" t="s">
        <v>193</v>
      </c>
      <c r="C1409" s="15">
        <v>12</v>
      </c>
      <c r="D1409" s="17">
        <v>1285625</v>
      </c>
      <c r="E1409" s="17">
        <v>1291300</v>
      </c>
      <c r="F1409" s="17">
        <v>5675</v>
      </c>
      <c r="G1409" s="18">
        <v>1.0044141954302384</v>
      </c>
      <c r="H1409" s="10">
        <v>2025</v>
      </c>
    </row>
    <row r="1410" spans="1:8" hidden="1" x14ac:dyDescent="0.3">
      <c r="A1410" s="4" t="s">
        <v>103</v>
      </c>
      <c r="B1410" s="16" t="s">
        <v>194</v>
      </c>
      <c r="C1410" s="15">
        <v>12</v>
      </c>
      <c r="D1410" s="17">
        <v>1815000</v>
      </c>
      <c r="E1410" s="17">
        <v>1819200</v>
      </c>
      <c r="F1410" s="17">
        <v>4200</v>
      </c>
      <c r="G1410" s="18">
        <v>1.0023140495867768</v>
      </c>
      <c r="H1410" s="10">
        <v>2025</v>
      </c>
    </row>
    <row r="1411" spans="1:8" hidden="1" x14ac:dyDescent="0.3">
      <c r="A1411" s="4" t="s">
        <v>103</v>
      </c>
      <c r="B1411" s="16" t="s">
        <v>195</v>
      </c>
      <c r="C1411" s="15">
        <v>12</v>
      </c>
      <c r="D1411" s="17">
        <v>605000</v>
      </c>
      <c r="E1411" s="17">
        <v>610300</v>
      </c>
      <c r="F1411" s="17">
        <v>5300</v>
      </c>
      <c r="G1411" s="18">
        <v>1.0087603305785124</v>
      </c>
      <c r="H1411" s="10">
        <v>2025</v>
      </c>
    </row>
    <row r="1412" spans="1:8" hidden="1" x14ac:dyDescent="0.3">
      <c r="A1412" s="4" t="s">
        <v>103</v>
      </c>
      <c r="B1412" s="16" t="s">
        <v>196</v>
      </c>
      <c r="C1412" s="15">
        <v>12</v>
      </c>
      <c r="D1412" s="17">
        <v>453750</v>
      </c>
      <c r="E1412" s="17">
        <v>453800</v>
      </c>
      <c r="F1412" s="17">
        <v>50</v>
      </c>
      <c r="G1412" s="18">
        <v>1.0001101928374656</v>
      </c>
      <c r="H1412" s="10">
        <v>2025</v>
      </c>
    </row>
    <row r="1413" spans="1:8" hidden="1" x14ac:dyDescent="0.3">
      <c r="A1413" s="4" t="s">
        <v>103</v>
      </c>
      <c r="B1413" s="16" t="s">
        <v>197</v>
      </c>
      <c r="C1413" s="15">
        <v>12</v>
      </c>
      <c r="D1413" s="17">
        <v>302500</v>
      </c>
      <c r="E1413" s="17">
        <v>302500</v>
      </c>
      <c r="F1413" s="17">
        <v>0</v>
      </c>
      <c r="G1413" s="18">
        <v>1</v>
      </c>
      <c r="H1413" s="10">
        <v>2025</v>
      </c>
    </row>
    <row r="1414" spans="1:8" hidden="1" x14ac:dyDescent="0.3">
      <c r="A1414" s="4" t="s">
        <v>79</v>
      </c>
      <c r="B1414" s="16" t="s">
        <v>191</v>
      </c>
      <c r="C1414" s="15">
        <v>11</v>
      </c>
      <c r="D1414" s="17">
        <v>2000000</v>
      </c>
      <c r="E1414" s="17">
        <v>0</v>
      </c>
      <c r="F1414" s="17">
        <v>-2000000</v>
      </c>
      <c r="G1414" s="18">
        <v>0</v>
      </c>
      <c r="H1414" s="10">
        <v>2025</v>
      </c>
    </row>
    <row r="1415" spans="1:8" hidden="1" x14ac:dyDescent="0.3">
      <c r="A1415" s="4" t="s">
        <v>79</v>
      </c>
      <c r="B1415" s="16" t="s">
        <v>181</v>
      </c>
      <c r="C1415" s="15">
        <v>11</v>
      </c>
      <c r="D1415" s="17">
        <v>1115303</v>
      </c>
      <c r="E1415" s="17">
        <v>1098645</v>
      </c>
      <c r="F1415" s="17">
        <v>-16658</v>
      </c>
      <c r="G1415" s="18">
        <v>0.98506414848700308</v>
      </c>
      <c r="H1415" s="10">
        <v>2025</v>
      </c>
    </row>
    <row r="1416" spans="1:8" hidden="1" x14ac:dyDescent="0.3">
      <c r="A1416" s="4" t="s">
        <v>79</v>
      </c>
      <c r="B1416" s="16" t="s">
        <v>189</v>
      </c>
      <c r="C1416" s="15">
        <v>11</v>
      </c>
      <c r="D1416" s="17">
        <v>96291</v>
      </c>
      <c r="E1416" s="17">
        <v>0</v>
      </c>
      <c r="F1416" s="17">
        <v>-96291</v>
      </c>
      <c r="G1416" s="18">
        <v>0</v>
      </c>
      <c r="H1416" s="10">
        <v>2025</v>
      </c>
    </row>
    <row r="1417" spans="1:8" hidden="1" x14ac:dyDescent="0.3">
      <c r="A1417" s="4" t="s">
        <v>79</v>
      </c>
      <c r="B1417" s="16" t="s">
        <v>199</v>
      </c>
      <c r="C1417" s="15">
        <v>11</v>
      </c>
      <c r="D1417" s="17">
        <v>56225</v>
      </c>
      <c r="E1417" s="17">
        <v>0</v>
      </c>
      <c r="F1417" s="17">
        <v>-56225</v>
      </c>
      <c r="G1417" s="18">
        <v>0</v>
      </c>
      <c r="H1417" s="10">
        <v>2025</v>
      </c>
    </row>
    <row r="1418" spans="1:8" hidden="1" x14ac:dyDescent="0.3">
      <c r="A1418" s="4" t="s">
        <v>79</v>
      </c>
      <c r="B1418" s="16" t="s">
        <v>187</v>
      </c>
      <c r="C1418" s="15">
        <v>11</v>
      </c>
      <c r="D1418" s="17">
        <v>533301</v>
      </c>
      <c r="E1418" s="17">
        <v>533302</v>
      </c>
      <c r="F1418" s="17">
        <v>1</v>
      </c>
      <c r="G1418" s="18">
        <v>1.0000018751136788</v>
      </c>
      <c r="H1418" s="10">
        <v>2025</v>
      </c>
    </row>
    <row r="1419" spans="1:8" hidden="1" x14ac:dyDescent="0.3">
      <c r="A1419" s="4" t="s">
        <v>79</v>
      </c>
      <c r="B1419" s="16" t="s">
        <v>202</v>
      </c>
      <c r="C1419" s="15">
        <v>11</v>
      </c>
      <c r="D1419" s="17">
        <v>246864</v>
      </c>
      <c r="E1419" s="17">
        <v>246864</v>
      </c>
      <c r="F1419" s="17">
        <v>0</v>
      </c>
      <c r="G1419" s="18">
        <v>1</v>
      </c>
      <c r="H1419" s="10">
        <v>2025</v>
      </c>
    </row>
    <row r="1420" spans="1:8" hidden="1" x14ac:dyDescent="0.3">
      <c r="A1420" s="4" t="s">
        <v>79</v>
      </c>
      <c r="B1420" s="16" t="s">
        <v>177</v>
      </c>
      <c r="C1420" s="15">
        <v>1</v>
      </c>
      <c r="D1420" s="17">
        <v>11540000</v>
      </c>
      <c r="E1420" s="17">
        <v>11540000</v>
      </c>
      <c r="F1420" s="17">
        <v>0</v>
      </c>
      <c r="G1420" s="18">
        <v>1</v>
      </c>
      <c r="H1420" s="10">
        <v>2025</v>
      </c>
    </row>
    <row r="1421" spans="1:8" hidden="1" x14ac:dyDescent="0.3">
      <c r="A1421" s="4" t="s">
        <v>79</v>
      </c>
      <c r="B1421" s="16" t="s">
        <v>177</v>
      </c>
      <c r="C1421" s="15">
        <v>2</v>
      </c>
      <c r="D1421" s="17">
        <v>12789000</v>
      </c>
      <c r="E1421" s="17">
        <v>12574500</v>
      </c>
      <c r="F1421" s="17">
        <v>-214500</v>
      </c>
      <c r="G1421" s="18">
        <v>0.98322777386816795</v>
      </c>
      <c r="H1421" s="10">
        <v>2025</v>
      </c>
    </row>
    <row r="1422" spans="1:8" hidden="1" x14ac:dyDescent="0.3">
      <c r="A1422" s="4" t="s">
        <v>79</v>
      </c>
      <c r="B1422" s="16" t="s">
        <v>177</v>
      </c>
      <c r="C1422" s="15">
        <v>3</v>
      </c>
      <c r="D1422" s="17">
        <v>12789000</v>
      </c>
      <c r="E1422" s="17">
        <v>12789000</v>
      </c>
      <c r="F1422" s="17">
        <v>0</v>
      </c>
      <c r="G1422" s="18">
        <v>1</v>
      </c>
      <c r="H1422" s="10">
        <v>2025</v>
      </c>
    </row>
    <row r="1423" spans="1:8" hidden="1" x14ac:dyDescent="0.3">
      <c r="A1423" s="4" t="s">
        <v>79</v>
      </c>
      <c r="B1423" s="16" t="s">
        <v>177</v>
      </c>
      <c r="C1423" s="15">
        <v>4</v>
      </c>
      <c r="D1423" s="17">
        <v>12789000</v>
      </c>
      <c r="E1423" s="17">
        <v>10079333</v>
      </c>
      <c r="F1423" s="17">
        <v>-2709667</v>
      </c>
      <c r="G1423" s="18">
        <v>0.7881251857064665</v>
      </c>
      <c r="H1423" s="10">
        <v>2025</v>
      </c>
    </row>
    <row r="1424" spans="1:8" hidden="1" x14ac:dyDescent="0.3">
      <c r="A1424" s="4" t="s">
        <v>79</v>
      </c>
      <c r="B1424" s="16" t="s">
        <v>177</v>
      </c>
      <c r="C1424" s="15">
        <v>5</v>
      </c>
      <c r="D1424" s="17">
        <v>12789000</v>
      </c>
      <c r="E1424" s="17">
        <v>12431500</v>
      </c>
      <c r="F1424" s="17">
        <v>-357500</v>
      </c>
      <c r="G1424" s="18">
        <v>0.97204628978027996</v>
      </c>
      <c r="H1424" s="10">
        <v>2025</v>
      </c>
    </row>
    <row r="1425" spans="1:8" hidden="1" x14ac:dyDescent="0.3">
      <c r="A1425" s="4" t="s">
        <v>79</v>
      </c>
      <c r="B1425" s="16" t="s">
        <v>177</v>
      </c>
      <c r="C1425" s="15">
        <v>6</v>
      </c>
      <c r="D1425" s="17">
        <v>12789000</v>
      </c>
      <c r="E1425" s="17">
        <v>10933667</v>
      </c>
      <c r="F1425" s="17">
        <v>-1855333</v>
      </c>
      <c r="G1425" s="18">
        <v>0.85492743764172341</v>
      </c>
      <c r="H1425" s="10">
        <v>2025</v>
      </c>
    </row>
    <row r="1426" spans="1:8" hidden="1" x14ac:dyDescent="0.3">
      <c r="A1426" s="4" t="s">
        <v>79</v>
      </c>
      <c r="B1426" s="16" t="s">
        <v>177</v>
      </c>
      <c r="C1426" s="15">
        <v>7</v>
      </c>
      <c r="D1426" s="17">
        <v>12789000</v>
      </c>
      <c r="E1426" s="17">
        <v>12239000</v>
      </c>
      <c r="F1426" s="17">
        <v>-550000</v>
      </c>
      <c r="G1426" s="18">
        <v>0.95699429196966146</v>
      </c>
      <c r="H1426" s="10">
        <v>2025</v>
      </c>
    </row>
    <row r="1427" spans="1:8" hidden="1" x14ac:dyDescent="0.3">
      <c r="A1427" s="4" t="s">
        <v>79</v>
      </c>
      <c r="B1427" s="16" t="s">
        <v>177</v>
      </c>
      <c r="C1427" s="15">
        <v>8</v>
      </c>
      <c r="D1427" s="17">
        <v>12789000</v>
      </c>
      <c r="E1427" s="17">
        <v>12789000</v>
      </c>
      <c r="F1427" s="17">
        <v>0</v>
      </c>
      <c r="G1427" s="18">
        <v>1</v>
      </c>
      <c r="H1427" s="10">
        <v>2025</v>
      </c>
    </row>
    <row r="1428" spans="1:8" hidden="1" x14ac:dyDescent="0.3">
      <c r="A142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  </c>
      <c r="F1428" s="17">
        <v>0</v>
      </c>
      <c r="G1428" s="18">
        <v>1</v>
      </c>
      <c r="H1428" s="10">
        <v>2025</v>
      </c>
    </row>
    <row r="1429" spans="1:8" hidden="1" x14ac:dyDescent="0.3">
      <c r="A1429" s="4" t="s">
        <v>79</v>
      </c>
      <c r="B1429" s="16" t="s">
        <v>177</v>
      </c>
      <c r="C1429" s="15">
        <v>10</v>
      </c>
      <c r="D1429" s="17">
        <v>12789000</v>
      </c>
      <c r="E1429" s="17">
        <v>12789000</v>
      </c>
      <c r="F1429" s="17">
        <v>0</v>
      </c>
      <c r="G1429" s="18">
        <v>1</v>
      </c>
      <c r="H1429" s="10">
        <v>2025</v>
      </c>
    </row>
    <row r="1430" spans="1:8" hidden="1" x14ac:dyDescent="0.3">
      <c r="A1430" s="4" t="s">
        <v>79</v>
      </c>
      <c r="B1430" s="16" t="s">
        <v>205</v>
      </c>
      <c r="C1430" s="15">
        <v>1</v>
      </c>
      <c r="D1430" s="17">
        <v>0</v>
      </c>
      <c r="E1430" s="17">
        <v>11870</v>
      </c>
      <c r="F1430" s="17">
        <v>11870</v>
      </c>
      <c r="G1430" s="18">
        <v>0</v>
      </c>
      <c r="H1430" s="10">
        <v>2025</v>
      </c>
    </row>
    <row r="1431" spans="1:8" hidden="1" x14ac:dyDescent="0.3">
      <c r="A1431" s="4" t="s">
        <v>79</v>
      </c>
      <c r="B1431" s="16" t="s">
        <v>179</v>
      </c>
      <c r="C1431" s="15">
        <v>4</v>
      </c>
      <c r="D1431" s="17">
        <v>0</v>
      </c>
      <c r="E1431" s="17">
        <v>95338</v>
      </c>
      <c r="F1431" s="17">
        <v>95338</v>
      </c>
      <c r="G1431" s="18">
        <v>0</v>
      </c>
      <c r="H1431" s="10">
        <v>2025</v>
      </c>
    </row>
    <row r="1432" spans="1:8" hidden="1" x14ac:dyDescent="0.3">
      <c r="A1432" s="4" t="s">
        <v>79</v>
      </c>
      <c r="B1432" s="16" t="s">
        <v>179</v>
      </c>
      <c r="C1432" s="15">
        <v>6</v>
      </c>
      <c r="D1432" s="17">
        <v>0</v>
      </c>
      <c r="E1432" s="17">
        <v>1283333</v>
      </c>
      <c r="F1432" s="17">
        <v>1283333</v>
      </c>
      <c r="G1432" s="18">
        <v>0</v>
      </c>
      <c r="H1432" s="10">
        <v>2025</v>
      </c>
    </row>
    <row r="1433" spans="1:8" hidden="1" x14ac:dyDescent="0.3">
      <c r="A1433" s="4" t="s">
        <v>79</v>
      </c>
      <c r="B1433" s="16" t="s">
        <v>206</v>
      </c>
      <c r="C1433" s="15">
        <v>1</v>
      </c>
      <c r="D1433" s="17">
        <v>600000</v>
      </c>
      <c r="E1433" s="17">
        <v>600000</v>
      </c>
      <c r="F1433" s="17">
        <v>0</v>
      </c>
      <c r="G1433" s="18">
        <v>1</v>
      </c>
      <c r="H1433" s="10">
        <v>2025</v>
      </c>
    </row>
    <row r="1434" spans="1:8" hidden="1" x14ac:dyDescent="0.3">
      <c r="A1434" s="4" t="s">
        <v>79</v>
      </c>
      <c r="B1434" s="16" t="s">
        <v>206</v>
      </c>
      <c r="C1434" s="15">
        <v>2</v>
      </c>
      <c r="D1434" s="17">
        <v>600000</v>
      </c>
      <c r="E1434" s="17">
        <v>480000</v>
      </c>
      <c r="F1434" s="17">
        <v>-120000</v>
      </c>
      <c r="G1434" s="18">
        <v>0.8</v>
      </c>
      <c r="H1434" s="10">
        <v>2025</v>
      </c>
    </row>
    <row r="1435" spans="1:8" hidden="1" x14ac:dyDescent="0.3">
      <c r="A1435" s="4" t="s">
        <v>79</v>
      </c>
      <c r="B1435" s="16" t="s">
        <v>206</v>
      </c>
      <c r="C1435" s="15">
        <v>3</v>
      </c>
      <c r="D1435" s="17">
        <v>600000</v>
      </c>
      <c r="E1435" s="17">
        <v>400000</v>
      </c>
      <c r="F1435" s="17">
        <v>-200000</v>
      </c>
      <c r="G1435" s="18">
        <v>0.66666666666666674</v>
      </c>
      <c r="H1435" s="10">
        <v>2025</v>
      </c>
    </row>
    <row r="1436" spans="1:8" hidden="1" x14ac:dyDescent="0.3">
      <c r="A1436" s="4" t="s">
        <v>79</v>
      </c>
      <c r="B1436" s="16" t="s">
        <v>206</v>
      </c>
      <c r="C1436" s="15">
        <v>4</v>
      </c>
      <c r="D1436" s="17">
        <v>600000</v>
      </c>
      <c r="E1436" s="17">
        <v>386667</v>
      </c>
      <c r="F1436" s="17">
        <v>-213333</v>
      </c>
      <c r="G1436" s="18">
        <v>0.64444500000000005</v>
      </c>
      <c r="H1436" s="10">
        <v>2025</v>
      </c>
    </row>
    <row r="1437" spans="1:8" hidden="1" x14ac:dyDescent="0.3">
      <c r="A1437" s="4" t="s">
        <v>79</v>
      </c>
      <c r="B1437" s="16" t="s">
        <v>206</v>
      </c>
      <c r="C1437" s="15">
        <v>5</v>
      </c>
      <c r="D1437" s="17">
        <v>600000</v>
      </c>
      <c r="E1437" s="17">
        <v>366667</v>
      </c>
      <c r="F1437" s="17">
        <v>-233333</v>
      </c>
      <c r="G1437" s="18">
        <v>0.61111166666666672</v>
      </c>
      <c r="H1437" s="10">
        <v>2025</v>
      </c>
    </row>
    <row r="1438" spans="1:8" hidden="1" x14ac:dyDescent="0.3">
      <c r="A1438" s="4" t="s">
        <v>79</v>
      </c>
      <c r="B1438" s="16" t="s">
        <v>206</v>
      </c>
      <c r="C1438" s="15">
        <v>6</v>
      </c>
      <c r="D1438" s="17">
        <v>600000</v>
      </c>
      <c r="E1438" s="17">
        <v>346667</v>
      </c>
      <c r="F1438" s="17">
        <v>-253333</v>
      </c>
      <c r="G1438" s="18">
        <v>0.57777833333333339</v>
      </c>
      <c r="H1438" s="10">
        <v>2025</v>
      </c>
    </row>
    <row r="1439" spans="1:8" hidden="1" x14ac:dyDescent="0.3">
      <c r="A1439" s="4" t="s">
        <v>79</v>
      </c>
      <c r="B1439" s="16" t="s">
        <v>206</v>
      </c>
      <c r="C1439" s="15">
        <v>7</v>
      </c>
      <c r="D1439" s="17">
        <v>600000</v>
      </c>
      <c r="E1439" s="17">
        <v>400000</v>
      </c>
      <c r="F1439" s="17">
        <v>-200000</v>
      </c>
      <c r="G1439" s="18">
        <v>0.66666666666666674</v>
      </c>
      <c r="H1439" s="10">
        <v>2025</v>
      </c>
    </row>
    <row r="1440" spans="1:8" hidden="1" x14ac:dyDescent="0.3">
      <c r="A1440" s="4" t="s">
        <v>79</v>
      </c>
      <c r="B1440" s="16" t="s">
        <v>206</v>
      </c>
      <c r="C1440" s="15">
        <v>8</v>
      </c>
      <c r="D1440" s="17">
        <v>600000</v>
      </c>
      <c r="E1440" s="17">
        <v>400000</v>
      </c>
      <c r="F1440" s="17">
        <v>-200000</v>
      </c>
      <c r="G1440" s="18">
        <v>0.66666666666666674</v>
      </c>
      <c r="H1440" s="10">
        <v>2025</v>
      </c>
    </row>
    <row r="1441" spans="1:8" hidden="1" x14ac:dyDescent="0.3">
      <c r="A1441" s="4" t="s">
        <v>79</v>
      </c>
      <c r="B1441" s="16" t="s">
        <v>206</v>
      </c>
      <c r="C1441" s="15">
        <v>9</v>
      </c>
      <c r="D1441" s="17">
        <v>600000</v>
      </c>
      <c r="E1441" s="17">
        <v>400000</v>
      </c>
      <c r="F1441" s="17">
        <v>-200000</v>
      </c>
      <c r="G1441" s="18">
        <v>0.66666666666666674</v>
      </c>
      <c r="H1441" s="10">
        <v>2025</v>
      </c>
    </row>
    <row r="1442" spans="1:8" hidden="1" x14ac:dyDescent="0.3">
      <c r="A1442" s="4" t="s">
        <v>79</v>
      </c>
      <c r="B1442" s="16" t="s">
        <v>206</v>
      </c>
      <c r="C1442" s="15">
        <v>10</v>
      </c>
      <c r="D1442" s="17">
        <v>600000</v>
      </c>
      <c r="E1442" s="17">
        <v>400000</v>
      </c>
      <c r="F1442" s="17">
        <v>-200000</v>
      </c>
      <c r="G1442" s="18">
        <v>0.66666666666666674</v>
      </c>
      <c r="H1442" s="10">
        <v>2025</v>
      </c>
    </row>
    <row r="1443" spans="1:8" hidden="1" x14ac:dyDescent="0.3">
      <c r="A1443" s="4" t="s">
        <v>79</v>
      </c>
      <c r="B1443" s="16" t="s">
        <v>181</v>
      </c>
      <c r="C1443" s="15">
        <v>1</v>
      </c>
      <c r="D1443" s="17">
        <v>1011262</v>
      </c>
      <c r="E1443" s="17">
        <v>1012251</v>
      </c>
      <c r="F1443" s="17">
        <v>989</v>
      </c>
      <c r="G1443" s="18">
        <v>1.0009779859225405</v>
      </c>
      <c r="H1443" s="10">
        <v>2025</v>
      </c>
    </row>
    <row r="1444" spans="1:8" hidden="1" x14ac:dyDescent="0.3">
      <c r="A1444" s="4" t="s">
        <v>79</v>
      </c>
      <c r="B1444" s="16" t="s">
        <v>181</v>
      </c>
      <c r="C1444" s="15">
        <v>2</v>
      </c>
      <c r="D1444" s="17">
        <v>1115303</v>
      </c>
      <c r="E1444" s="17">
        <v>1105309</v>
      </c>
      <c r="F1444" s="17">
        <v>-9994</v>
      </c>
      <c r="G1444" s="18">
        <v>0.99103920638606735</v>
      </c>
      <c r="H1444" s="10">
        <v>2025</v>
      </c>
    </row>
    <row r="1445" spans="1:8" hidden="1" x14ac:dyDescent="0.3">
      <c r="A1445" s="4" t="s">
        <v>79</v>
      </c>
      <c r="B1445" s="16" t="s">
        <v>181</v>
      </c>
      <c r="C1445" s="15">
        <v>3</v>
      </c>
      <c r="D1445" s="17">
        <v>1115303</v>
      </c>
      <c r="E1445" s="17">
        <v>1098645</v>
      </c>
      <c r="F1445" s="17">
        <v>-16658</v>
      </c>
      <c r="G1445" s="18">
        <v>0.98506414848700308</v>
      </c>
      <c r="H1445" s="10">
        <v>2025</v>
      </c>
    </row>
    <row r="1446" spans="1:8" hidden="1" x14ac:dyDescent="0.3">
      <c r="A1446" s="4" t="s">
        <v>79</v>
      </c>
      <c r="B1446" s="16" t="s">
        <v>181</v>
      </c>
      <c r="C1446" s="15">
        <v>4</v>
      </c>
      <c r="D1446" s="17">
        <v>1115303</v>
      </c>
      <c r="E1446" s="17">
        <v>1093564</v>
      </c>
      <c r="F1446" s="17">
        <v>-21739</v>
      </c>
      <c r="G1446" s="18">
        <v>0.98050843582416625</v>
      </c>
      <c r="H1446" s="10">
        <v>2025</v>
      </c>
    </row>
    <row r="1447" spans="1:8" hidden="1" x14ac:dyDescent="0.3">
      <c r="A1447" s="4" t="s">
        <v>79</v>
      </c>
      <c r="B1447" s="16" t="s">
        <v>181</v>
      </c>
      <c r="C1447" s="15">
        <v>5</v>
      </c>
      <c r="D1447" s="17">
        <v>1115303</v>
      </c>
      <c r="E1447" s="17">
        <v>1143515</v>
      </c>
      <c r="F1447" s="17">
        <v>28212</v>
      </c>
      <c r="G1447" s="18">
        <v>1.0252953681645258</v>
      </c>
      <c r="H1447" s="10">
        <v>2025</v>
      </c>
    </row>
    <row r="1448" spans="1:8" hidden="1" x14ac:dyDescent="0.3">
      <c r="A1448" s="4" t="s">
        <v>79</v>
      </c>
      <c r="B1448" s="16" t="s">
        <v>181</v>
      </c>
      <c r="C1448" s="15">
        <v>6</v>
      </c>
      <c r="D1448" s="17">
        <v>1115303</v>
      </c>
      <c r="E1448" s="17">
        <v>1046554</v>
      </c>
      <c r="F1448" s="17">
        <v>-68749</v>
      </c>
      <c r="G1448" s="18">
        <v>0.93835845505660798</v>
      </c>
      <c r="H1448" s="10">
        <v>2025</v>
      </c>
    </row>
    <row r="1449" spans="1:8" hidden="1" x14ac:dyDescent="0.3">
      <c r="A1449" s="4" t="s">
        <v>79</v>
      </c>
      <c r="B1449" s="16" t="s">
        <v>181</v>
      </c>
      <c r="C1449" s="15">
        <v>7</v>
      </c>
      <c r="D1449" s="17">
        <v>1115303</v>
      </c>
      <c r="E1449" s="17">
        <v>1098645</v>
      </c>
      <c r="F1449" s="17">
        <v>-16658</v>
      </c>
      <c r="G1449" s="18">
        <v>0.98506414848700308</v>
      </c>
      <c r="H1449" s="10">
        <v>2025</v>
      </c>
    </row>
    <row r="1450" spans="1:8" hidden="1" x14ac:dyDescent="0.3">
      <c r="A1450" s="4" t="s">
        <v>79</v>
      </c>
      <c r="B1450" s="16" t="s">
        <v>181</v>
      </c>
      <c r="C1450" s="15">
        <v>8</v>
      </c>
      <c r="D1450" s="17">
        <v>1115303</v>
      </c>
      <c r="E1450" s="17">
        <v>1098645</v>
      </c>
      <c r="F1450" s="17">
        <v>-16658</v>
      </c>
      <c r="G1450" s="18">
        <v>0.98506414848700308</v>
      </c>
      <c r="H1450" s="10">
        <v>2025</v>
      </c>
    </row>
    <row r="1451" spans="1:8" hidden="1" x14ac:dyDescent="0.3">
      <c r="A1451" s="4" t="s">
        <v>79</v>
      </c>
      <c r="B1451" s="16" t="s">
        <v>181</v>
      </c>
      <c r="C1451" s="15">
        <v>9</v>
      </c>
      <c r="D1451" s="17">
        <v>1115303</v>
      </c>
      <c r="E1451" s="17">
        <v>1098645</v>
      </c>
      <c r="F1451" s="17">
        <v>-16658</v>
      </c>
      <c r="G1451" s="18">
        <v>0.98506414848700308</v>
      </c>
      <c r="H1451" s="10">
        <v>2025</v>
      </c>
    </row>
    <row r="1452" spans="1:8" hidden="1" x14ac:dyDescent="0.3">
      <c r="A1452" s="4" t="s">
        <v>79</v>
      </c>
      <c r="B1452" s="16" t="s">
        <v>181</v>
      </c>
      <c r="C1452" s="15">
        <v>10</v>
      </c>
      <c r="D1452" s="17">
        <v>1115303</v>
      </c>
      <c r="E1452" s="17">
        <v>1098645</v>
      </c>
      <c r="F1452" s="17">
        <v>-16658</v>
      </c>
      <c r="G1452" s="18">
        <v>0.98506414848700308</v>
      </c>
      <c r="H1452" s="10">
        <v>2025</v>
      </c>
    </row>
    <row r="1453" spans="1:8" hidden="1" x14ac:dyDescent="0.3">
      <c r="A1453" s="4" t="s">
        <v>79</v>
      </c>
      <c r="B1453" s="16" t="s">
        <v>182</v>
      </c>
      <c r="C1453" s="15">
        <v>1</v>
      </c>
      <c r="D1453" s="17">
        <v>121351</v>
      </c>
      <c r="E1453" s="17">
        <v>121519</v>
      </c>
      <c r="F1453" s="17">
        <v>168</v>
      </c>
      <c r="G1453" s="18">
        <v>1.0013844138078796</v>
      </c>
      <c r="H1453" s="10">
        <v>2025</v>
      </c>
    </row>
    <row r="1454" spans="1:8" hidden="1" x14ac:dyDescent="0.3">
      <c r="A1454" s="4" t="s">
        <v>79</v>
      </c>
      <c r="B1454" s="16" t="s">
        <v>182</v>
      </c>
      <c r="C1454" s="15">
        <v>2</v>
      </c>
      <c r="D1454" s="17">
        <v>133836</v>
      </c>
      <c r="E1454" s="17">
        <v>132690</v>
      </c>
      <c r="F1454" s="17">
        <v>-1146</v>
      </c>
      <c r="G1454" s="18">
        <v>0.9914372814489375</v>
      </c>
      <c r="H1454" s="10">
        <v>2025</v>
      </c>
    </row>
    <row r="1455" spans="1:8" hidden="1" x14ac:dyDescent="0.3">
      <c r="A1455" s="4" t="s">
        <v>79</v>
      </c>
      <c r="B1455" s="16" t="s">
        <v>182</v>
      </c>
      <c r="C1455" s="15">
        <v>3</v>
      </c>
      <c r="D1455" s="17">
        <v>133836</v>
      </c>
      <c r="E1455" s="17">
        <v>131890</v>
      </c>
      <c r="F1455" s="17">
        <v>-1946</v>
      </c>
      <c r="G1455" s="18">
        <v>0.9854598164918259</v>
      </c>
      <c r="H1455" s="10">
        <v>2025</v>
      </c>
    </row>
    <row r="1456" spans="1:8" hidden="1" x14ac:dyDescent="0.3">
      <c r="A1456" s="4" t="s">
        <v>79</v>
      </c>
      <c r="B1456" s="16" t="s">
        <v>182</v>
      </c>
      <c r="C1456" s="15">
        <v>4</v>
      </c>
      <c r="D1456" s="17">
        <v>133836</v>
      </c>
      <c r="E1456" s="17">
        <v>131280</v>
      </c>
      <c r="F1456" s="17">
        <v>-2556</v>
      </c>
      <c r="G1456" s="18">
        <v>0.98090199946202816</v>
      </c>
      <c r="H1456" s="10">
        <v>2025</v>
      </c>
    </row>
    <row r="1457" spans="1:8" hidden="1" x14ac:dyDescent="0.3">
      <c r="A1457" s="4" t="s">
        <v>79</v>
      </c>
      <c r="B1457" s="16" t="s">
        <v>182</v>
      </c>
      <c r="C1457" s="15">
        <v>5</v>
      </c>
      <c r="D1457" s="17">
        <v>133836</v>
      </c>
      <c r="E1457" s="17">
        <v>137277</v>
      </c>
      <c r="F1457" s="17">
        <v>3441</v>
      </c>
      <c r="G1457" s="18">
        <v>1.0257105711467767</v>
      </c>
      <c r="H1457" s="10">
        <v>2025</v>
      </c>
    </row>
    <row r="1458" spans="1:8" hidden="1" x14ac:dyDescent="0.3">
      <c r="A1458" s="4" t="s">
        <v>79</v>
      </c>
      <c r="B1458" s="16" t="s">
        <v>182</v>
      </c>
      <c r="C1458" s="15">
        <v>6</v>
      </c>
      <c r="D1458" s="17">
        <v>133836</v>
      </c>
      <c r="E1458" s="17">
        <v>125637</v>
      </c>
      <c r="F1458" s="17">
        <v>-8199</v>
      </c>
      <c r="G1458" s="18">
        <v>0.93873845602080164</v>
      </c>
      <c r="H1458" s="10">
        <v>2025</v>
      </c>
    </row>
    <row r="1459" spans="1:8" hidden="1" x14ac:dyDescent="0.3">
      <c r="A1459" s="4" t="s">
        <v>79</v>
      </c>
      <c r="B1459" s="16" t="s">
        <v>182</v>
      </c>
      <c r="C1459" s="15">
        <v>7</v>
      </c>
      <c r="D1459" s="17">
        <v>133836</v>
      </c>
      <c r="E1459" s="17">
        <v>131890</v>
      </c>
      <c r="F1459" s="17">
        <v>-1946</v>
      </c>
      <c r="G1459" s="18">
        <v>0.9854598164918259</v>
      </c>
      <c r="H1459" s="10">
        <v>2025</v>
      </c>
    </row>
    <row r="1460" spans="1:8" hidden="1" x14ac:dyDescent="0.3">
      <c r="A1460" s="4" t="s">
        <v>79</v>
      </c>
      <c r="B1460" s="16" t="s">
        <v>182</v>
      </c>
      <c r="C1460" s="15">
        <v>8</v>
      </c>
      <c r="D1460" s="17">
        <v>133836</v>
      </c>
      <c r="E1460" s="17">
        <v>131890</v>
      </c>
      <c r="F1460" s="17">
        <v>-1946</v>
      </c>
      <c r="G1460" s="18">
        <v>0.9854598164918259</v>
      </c>
      <c r="H1460" s="10">
        <v>2025</v>
      </c>
    </row>
    <row r="1461" spans="1:8" hidden="1" x14ac:dyDescent="0.3">
      <c r="A1461" s="4" t="s">
        <v>79</v>
      </c>
      <c r="B1461" s="16" t="s">
        <v>182</v>
      </c>
      <c r="C1461" s="15">
        <v>9</v>
      </c>
      <c r="D1461" s="17">
        <v>133836</v>
      </c>
      <c r="E1461" s="17">
        <v>131890</v>
      </c>
      <c r="F1461" s="17">
        <v>-1946</v>
      </c>
      <c r="G1461" s="18">
        <v>0.9854598164918259</v>
      </c>
      <c r="H1461" s="10">
        <v>2025</v>
      </c>
    </row>
    <row r="1462" spans="1:8" hidden="1" x14ac:dyDescent="0.3">
      <c r="A1462" s="4" t="s">
        <v>79</v>
      </c>
      <c r="B1462" s="16" t="s">
        <v>182</v>
      </c>
      <c r="C1462" s="15">
        <v>10</v>
      </c>
      <c r="D1462" s="17">
        <v>133836</v>
      </c>
      <c r="E1462" s="17">
        <v>131890</v>
      </c>
      <c r="F1462" s="17">
        <v>-1946</v>
      </c>
      <c r="G1462" s="18">
        <v>0.9854598164918259</v>
      </c>
      <c r="H1462" s="10">
        <v>2025</v>
      </c>
    </row>
    <row r="1463" spans="1:8" hidden="1" x14ac:dyDescent="0.3">
      <c r="A1463" s="4" t="s">
        <v>79</v>
      </c>
      <c r="B1463" s="16" t="s">
        <v>183</v>
      </c>
      <c r="C1463" s="15">
        <v>1</v>
      </c>
      <c r="D1463" s="17">
        <v>1011262</v>
      </c>
      <c r="E1463" s="17">
        <v>1012251</v>
      </c>
      <c r="F1463" s="17">
        <v>989</v>
      </c>
      <c r="G1463" s="18">
        <v>1.0009779859225405</v>
      </c>
      <c r="H1463" s="10">
        <v>2025</v>
      </c>
    </row>
    <row r="1464" spans="1:8" hidden="1" x14ac:dyDescent="0.3">
      <c r="A1464" s="4" t="s">
        <v>79</v>
      </c>
      <c r="B1464" s="16" t="s">
        <v>183</v>
      </c>
      <c r="C1464" s="15">
        <v>2</v>
      </c>
      <c r="D1464" s="17">
        <v>1115303</v>
      </c>
      <c r="E1464" s="17">
        <v>1105309</v>
      </c>
      <c r="F1464" s="17">
        <v>-9994</v>
      </c>
      <c r="G1464" s="18">
        <v>0.99103920638606735</v>
      </c>
      <c r="H1464" s="10">
        <v>2025</v>
      </c>
    </row>
    <row r="1465" spans="1:8" hidden="1" x14ac:dyDescent="0.3">
      <c r="A1465" s="4" t="s">
        <v>79</v>
      </c>
      <c r="B1465" s="16" t="s">
        <v>183</v>
      </c>
      <c r="C1465" s="15">
        <v>3</v>
      </c>
      <c r="D1465" s="17">
        <v>1115303</v>
      </c>
      <c r="E1465" s="17">
        <v>1098645</v>
      </c>
      <c r="F1465" s="17">
        <v>-16658</v>
      </c>
      <c r="G1465" s="18">
        <v>0.98506414848700308</v>
      </c>
      <c r="H1465" s="10">
        <v>2025</v>
      </c>
    </row>
    <row r="1466" spans="1:8" hidden="1" x14ac:dyDescent="0.3">
      <c r="A1466" s="4" t="s">
        <v>79</v>
      </c>
      <c r="B1466" s="16" t="s">
        <v>183</v>
      </c>
      <c r="C1466" s="15">
        <v>4</v>
      </c>
      <c r="D1466" s="17">
        <v>1115303</v>
      </c>
      <c r="E1466" s="17">
        <v>1093564</v>
      </c>
      <c r="F1466" s="17">
        <v>-21739</v>
      </c>
      <c r="G1466" s="18">
        <v>0.98050843582416625</v>
      </c>
      <c r="H1466" s="10">
        <v>2025</v>
      </c>
    </row>
    <row r="1467" spans="1:8" hidden="1" x14ac:dyDescent="0.3">
      <c r="A1467" s="4" t="s">
        <v>79</v>
      </c>
      <c r="B1467" s="16" t="s">
        <v>183</v>
      </c>
      <c r="C1467" s="15">
        <v>5</v>
      </c>
      <c r="D1467" s="17">
        <v>1115303</v>
      </c>
      <c r="E1467" s="17">
        <v>1143515</v>
      </c>
      <c r="F1467" s="17">
        <v>28212</v>
      </c>
      <c r="G1467" s="18">
        <v>1.0252953681645258</v>
      </c>
      <c r="H1467" s="10">
        <v>2025</v>
      </c>
    </row>
    <row r="1468" spans="1:8" hidden="1" x14ac:dyDescent="0.3">
      <c r="A1468" s="4" t="s">
        <v>79</v>
      </c>
      <c r="B1468" s="16" t="s">
        <v>183</v>
      </c>
      <c r="C1468" s="15">
        <v>6</v>
      </c>
      <c r="D1468" s="17">
        <v>1115303</v>
      </c>
      <c r="E1468" s="17">
        <v>1046554</v>
      </c>
      <c r="F1468" s="17">
        <v>-68749</v>
      </c>
      <c r="G1468" s="18">
        <v>0.93835845505660798</v>
      </c>
      <c r="H1468" s="10">
        <v>2025</v>
      </c>
    </row>
    <row r="1469" spans="1:8" hidden="1" x14ac:dyDescent="0.3">
      <c r="A1469" s="4" t="s">
        <v>79</v>
      </c>
      <c r="B1469" s="16" t="s">
        <v>183</v>
      </c>
      <c r="C1469" s="15">
        <v>7</v>
      </c>
      <c r="D1469" s="17">
        <v>1115303</v>
      </c>
      <c r="E1469" s="17">
        <v>1098645</v>
      </c>
      <c r="F1469" s="17">
        <v>-16658</v>
      </c>
      <c r="G1469" s="18">
        <v>0.98506414848700308</v>
      </c>
      <c r="H1469" s="10">
        <v>2025</v>
      </c>
    </row>
    <row r="1470" spans="1:8" hidden="1" x14ac:dyDescent="0.3">
      <c r="A1470" s="4" t="s">
        <v>79</v>
      </c>
      <c r="B1470" s="16" t="s">
        <v>183</v>
      </c>
      <c r="C1470" s="15">
        <v>8</v>
      </c>
      <c r="D1470" s="17">
        <v>1115303</v>
      </c>
      <c r="E1470" s="17">
        <v>1098645</v>
      </c>
      <c r="F1470" s="17">
        <v>-16658</v>
      </c>
      <c r="G1470" s="18">
        <v>0.98506414848700308</v>
      </c>
      <c r="H1470" s="10">
        <v>2025</v>
      </c>
    </row>
    <row r="1471" spans="1:8" hidden="1" x14ac:dyDescent="0.3">
      <c r="A1471" s="4" t="s">
        <v>79</v>
      </c>
      <c r="B1471" s="16" t="s">
        <v>183</v>
      </c>
      <c r="C1471" s="15">
        <v>9</v>
      </c>
      <c r="D1471" s="17">
        <v>1115303</v>
      </c>
      <c r="E1471" s="17">
        <v>1098645</v>
      </c>
      <c r="F1471" s="17">
        <v>-16658</v>
      </c>
      <c r="G1471" s="18">
        <v>0.98506414848700308</v>
      </c>
      <c r="H1471" s="10">
        <v>2025</v>
      </c>
    </row>
    <row r="1472" spans="1:8" hidden="1" x14ac:dyDescent="0.3">
      <c r="A1472" s="4" t="s">
        <v>79</v>
      </c>
      <c r="B1472" s="16" t="s">
        <v>183</v>
      </c>
      <c r="C1472" s="15">
        <v>10</v>
      </c>
      <c r="D1472" s="17">
        <v>1115303</v>
      </c>
      <c r="E1472" s="17">
        <v>1098645</v>
      </c>
      <c r="F1472" s="17">
        <v>-16658</v>
      </c>
      <c r="G1472" s="18">
        <v>0.98506414848700308</v>
      </c>
      <c r="H1472" s="10">
        <v>2025</v>
      </c>
    </row>
    <row r="1473" spans="1:8" hidden="1" x14ac:dyDescent="0.3">
      <c r="A1473" s="4" t="s">
        <v>79</v>
      </c>
      <c r="B1473" s="16" t="s">
        <v>184</v>
      </c>
      <c r="C1473" s="15">
        <v>1</v>
      </c>
      <c r="D1473" s="17">
        <v>481218</v>
      </c>
      <c r="E1473" s="17">
        <v>481713</v>
      </c>
      <c r="F1473" s="17">
        <v>495</v>
      </c>
      <c r="G1473" s="18">
        <v>1.0010286398264405</v>
      </c>
      <c r="H1473" s="10">
        <v>2025</v>
      </c>
    </row>
    <row r="1474" spans="1:8" hidden="1" x14ac:dyDescent="0.3">
      <c r="A1474" s="4" t="s">
        <v>79</v>
      </c>
      <c r="B1474" s="16" t="s">
        <v>184</v>
      </c>
      <c r="C1474" s="15">
        <v>2</v>
      </c>
      <c r="D1474" s="17">
        <v>533301</v>
      </c>
      <c r="E1474" s="17">
        <v>533302</v>
      </c>
      <c r="F1474" s="17">
        <v>1</v>
      </c>
      <c r="G1474" s="18">
        <v>1.0000018751136788</v>
      </c>
      <c r="H1474" s="10">
        <v>2025</v>
      </c>
    </row>
    <row r="1475" spans="1:8" hidden="1" x14ac:dyDescent="0.3">
      <c r="A1475" s="4" t="s">
        <v>79</v>
      </c>
      <c r="B1475" s="16" t="s">
        <v>184</v>
      </c>
      <c r="C1475" s="15">
        <v>3</v>
      </c>
      <c r="D1475" s="17">
        <v>533301</v>
      </c>
      <c r="E1475" s="17">
        <v>533302</v>
      </c>
      <c r="F1475" s="17">
        <v>1</v>
      </c>
      <c r="G1475" s="18">
        <v>1.0000018751136788</v>
      </c>
      <c r="H1475" s="10">
        <v>2025</v>
      </c>
    </row>
    <row r="1476" spans="1:8" hidden="1" x14ac:dyDescent="0.3">
      <c r="A1476" s="4" t="s">
        <v>79</v>
      </c>
      <c r="B1476" s="16" t="s">
        <v>184</v>
      </c>
      <c r="C1476" s="15">
        <v>4</v>
      </c>
      <c r="D1476" s="17">
        <v>533301</v>
      </c>
      <c r="E1476" s="17">
        <v>531314</v>
      </c>
      <c r="F1476" s="17">
        <v>-1987</v>
      </c>
      <c r="G1476" s="18">
        <v>0.99627414912029044</v>
      </c>
      <c r="H1476" s="10">
        <v>2025</v>
      </c>
    </row>
    <row r="1477" spans="1:8" hidden="1" x14ac:dyDescent="0.3">
      <c r="A1477" s="4" t="s">
        <v>79</v>
      </c>
      <c r="B1477" s="16" t="s">
        <v>184</v>
      </c>
      <c r="C1477" s="15">
        <v>5</v>
      </c>
      <c r="D1477" s="17">
        <v>533301</v>
      </c>
      <c r="E1477" s="17">
        <v>557154</v>
      </c>
      <c r="F1477" s="17">
        <v>23853</v>
      </c>
      <c r="G1477" s="18">
        <v>1.0447270865796239</v>
      </c>
      <c r="H1477" s="10">
        <v>2025</v>
      </c>
    </row>
    <row r="1478" spans="1:8" hidden="1" x14ac:dyDescent="0.3">
      <c r="A1478" s="4" t="s">
        <v>79</v>
      </c>
      <c r="B1478" s="16" t="s">
        <v>184</v>
      </c>
      <c r="C1478" s="15">
        <v>6</v>
      </c>
      <c r="D1478" s="17">
        <v>533301</v>
      </c>
      <c r="E1478" s="17">
        <v>509449</v>
      </c>
      <c r="F1478" s="17">
        <v>-23852</v>
      </c>
      <c r="G1478" s="18">
        <v>0.9552747885340549</v>
      </c>
      <c r="H1478" s="10">
        <v>2025</v>
      </c>
    </row>
    <row r="1479" spans="1:8" hidden="1" x14ac:dyDescent="0.3">
      <c r="A1479" s="4" t="s">
        <v>79</v>
      </c>
      <c r="B1479" s="16" t="s">
        <v>184</v>
      </c>
      <c r="C1479" s="15">
        <v>7</v>
      </c>
      <c r="D1479" s="17">
        <v>533301</v>
      </c>
      <c r="E1479" s="17">
        <v>533302</v>
      </c>
      <c r="F1479" s="17">
        <v>1</v>
      </c>
      <c r="G1479" s="18">
        <v>1.0000018751136788</v>
      </c>
      <c r="H1479" s="10">
        <v>2025</v>
      </c>
    </row>
    <row r="1480" spans="1:8" hidden="1" x14ac:dyDescent="0.3">
      <c r="A1480" s="4" t="s">
        <v>79</v>
      </c>
      <c r="B1480" s="16" t="s">
        <v>184</v>
      </c>
      <c r="C1480" s="15">
        <v>8</v>
      </c>
      <c r="D1480" s="17">
        <v>533301</v>
      </c>
      <c r="E1480" s="17">
        <v>533302</v>
      </c>
      <c r="F1480" s="17">
        <v>1</v>
      </c>
      <c r="G1480" s="18">
        <v>1.0000018751136788</v>
      </c>
      <c r="H1480" s="10">
        <v>2025</v>
      </c>
    </row>
    <row r="1481" spans="1:8" hidden="1" x14ac:dyDescent="0.3">
      <c r="A1481" s="4" t="s">
        <v>79</v>
      </c>
      <c r="B1481" s="16" t="s">
        <v>184</v>
      </c>
      <c r="C1481" s="15">
        <v>9</v>
      </c>
      <c r="D1481" s="17">
        <v>533301</v>
      </c>
      <c r="E1481" s="17">
        <v>533302</v>
      </c>
      <c r="F1481" s="17">
        <v>1</v>
      </c>
      <c r="G1481" s="18">
        <v>1.0000018751136788</v>
      </c>
      <c r="H1481" s="10">
        <v>2025</v>
      </c>
    </row>
    <row r="1482" spans="1:8" hidden="1" x14ac:dyDescent="0.3">
      <c r="A1482" s="4" t="s">
        <v>79</v>
      </c>
      <c r="B1482" s="16" t="s">
        <v>184</v>
      </c>
      <c r="C1482" s="15">
        <v>10</v>
      </c>
      <c r="D1482" s="17">
        <v>533301</v>
      </c>
      <c r="E1482" s="17">
        <v>533302</v>
      </c>
      <c r="F1482" s="17">
        <v>1</v>
      </c>
      <c r="G1482" s="18">
        <v>1.0000018751136788</v>
      </c>
      <c r="H1482" s="10">
        <v>2025</v>
      </c>
    </row>
    <row r="1483" spans="1:8" hidden="1" x14ac:dyDescent="0.3">
      <c r="A1483" s="4" t="s">
        <v>79</v>
      </c>
      <c r="B1483" s="16" t="s">
        <v>185</v>
      </c>
      <c r="C1483" s="15">
        <v>1</v>
      </c>
      <c r="D1483" s="17">
        <v>159252</v>
      </c>
      <c r="E1483" s="17">
        <v>159416</v>
      </c>
      <c r="F1483" s="17">
        <v>164</v>
      </c>
      <c r="G1483" s="18">
        <v>1.0010298143822369</v>
      </c>
      <c r="H1483" s="10">
        <v>2025</v>
      </c>
    </row>
    <row r="1484" spans="1:8" hidden="1" x14ac:dyDescent="0.3">
      <c r="A1484" s="4" t="s">
        <v>79</v>
      </c>
      <c r="B1484" s="16" t="s">
        <v>185</v>
      </c>
      <c r="C1484" s="15">
        <v>2</v>
      </c>
      <c r="D1484" s="17">
        <v>176488</v>
      </c>
      <c r="E1484" s="17">
        <v>176488</v>
      </c>
      <c r="F1484" s="17">
        <v>0</v>
      </c>
      <c r="G1484" s="18">
        <v>1</v>
      </c>
      <c r="H1484" s="10">
        <v>2025</v>
      </c>
    </row>
    <row r="1485" spans="1:8" hidden="1" x14ac:dyDescent="0.3">
      <c r="A1485" s="4" t="s">
        <v>79</v>
      </c>
      <c r="B1485" s="16" t="s">
        <v>185</v>
      </c>
      <c r="C1485" s="15">
        <v>3</v>
      </c>
      <c r="D1485" s="17">
        <v>176488</v>
      </c>
      <c r="E1485" s="17">
        <v>176488</v>
      </c>
      <c r="F1485" s="17">
        <v>0</v>
      </c>
      <c r="G1485" s="18">
        <v>1</v>
      </c>
      <c r="H1485" s="10">
        <v>2025</v>
      </c>
    </row>
    <row r="1486" spans="1:8" hidden="1" x14ac:dyDescent="0.3">
      <c r="A1486" s="4" t="s">
        <v>79</v>
      </c>
      <c r="B1486" s="16" t="s">
        <v>185</v>
      </c>
      <c r="C1486" s="15">
        <v>4</v>
      </c>
      <c r="D1486" s="17">
        <v>176488</v>
      </c>
      <c r="E1486" s="17">
        <v>175831</v>
      </c>
      <c r="F1486" s="17">
        <v>-657</v>
      </c>
      <c r="G1486" s="18">
        <v>0.9962773672997598</v>
      </c>
      <c r="H1486" s="10">
        <v>2025</v>
      </c>
    </row>
    <row r="1487" spans="1:8" hidden="1" x14ac:dyDescent="0.3">
      <c r="A1487" s="4" t="s">
        <v>79</v>
      </c>
      <c r="B1487" s="16" t="s">
        <v>185</v>
      </c>
      <c r="C1487" s="15">
        <v>5</v>
      </c>
      <c r="D1487" s="17">
        <v>176488</v>
      </c>
      <c r="E1487" s="17">
        <v>184381</v>
      </c>
      <c r="F1487" s="17">
        <v>7893</v>
      </c>
      <c r="G1487" s="18">
        <v>1.0447225873713795</v>
      </c>
      <c r="H1487" s="10">
        <v>2025</v>
      </c>
    </row>
    <row r="1488" spans="1:8" hidden="1" x14ac:dyDescent="0.3">
      <c r="A1488" s="4" t="s">
        <v>79</v>
      </c>
      <c r="B1488" s="16" t="s">
        <v>185</v>
      </c>
      <c r="C1488" s="15">
        <v>6</v>
      </c>
      <c r="D1488" s="17">
        <v>176488</v>
      </c>
      <c r="E1488" s="17">
        <v>168594</v>
      </c>
      <c r="F1488" s="17">
        <v>-7894</v>
      </c>
      <c r="G1488" s="18">
        <v>0.95527174652100988</v>
      </c>
      <c r="H1488" s="10">
        <v>2025</v>
      </c>
    </row>
    <row r="1489" spans="1:8" hidden="1" x14ac:dyDescent="0.3">
      <c r="A1489" s="4" t="s">
        <v>79</v>
      </c>
      <c r="B1489" s="16" t="s">
        <v>185</v>
      </c>
      <c r="C1489" s="15">
        <v>7</v>
      </c>
      <c r="D1489" s="17">
        <v>176488</v>
      </c>
      <c r="E1489" s="17">
        <v>176488</v>
      </c>
      <c r="F1489" s="17">
        <v>0</v>
      </c>
      <c r="G1489" s="18">
        <v>1</v>
      </c>
      <c r="H1489" s="10">
        <v>2025</v>
      </c>
    </row>
    <row r="1490" spans="1:8" hidden="1" x14ac:dyDescent="0.3">
      <c r="A1490" s="4" t="s">
        <v>79</v>
      </c>
      <c r="B1490" s="16" t="s">
        <v>185</v>
      </c>
      <c r="C1490" s="15">
        <v>8</v>
      </c>
      <c r="D1490" s="17">
        <v>176488</v>
      </c>
      <c r="E1490" s="17">
        <v>176488</v>
      </c>
      <c r="F1490" s="17">
        <v>0</v>
      </c>
      <c r="G1490" s="18">
        <v>1</v>
      </c>
      <c r="H1490" s="10">
        <v>2025</v>
      </c>
    </row>
    <row r="1491" spans="1:8" hidden="1" x14ac:dyDescent="0.3">
      <c r="A1491" s="4" t="s">
        <v>79</v>
      </c>
      <c r="B1491" s="16" t="s">
        <v>185</v>
      </c>
      <c r="C1491" s="15">
        <v>9</v>
      </c>
      <c r="D1491" s="17">
        <v>176488</v>
      </c>
      <c r="E1491" s="17">
        <v>176488</v>
      </c>
      <c r="F1491" s="17">
        <v>0</v>
      </c>
      <c r="G1491" s="18">
        <v>1</v>
      </c>
      <c r="H1491" s="10">
        <v>2025</v>
      </c>
    </row>
    <row r="1492" spans="1:8" hidden="1" x14ac:dyDescent="0.3">
      <c r="A1492" s="4" t="s">
        <v>79</v>
      </c>
      <c r="B1492" s="16" t="s">
        <v>185</v>
      </c>
      <c r="C1492" s="15">
        <v>10</v>
      </c>
      <c r="D1492" s="17">
        <v>176488</v>
      </c>
      <c r="E1492" s="17">
        <v>176488</v>
      </c>
      <c r="F1492" s="17">
        <v>0</v>
      </c>
      <c r="G1492" s="18">
        <v>1</v>
      </c>
      <c r="H1492" s="10">
        <v>2025</v>
      </c>
    </row>
    <row r="1493" spans="1:8" hidden="1" x14ac:dyDescent="0.3">
      <c r="A1493" s="4" t="s">
        <v>79</v>
      </c>
      <c r="B1493" s="16" t="s">
        <v>207</v>
      </c>
      <c r="C1493" s="15">
        <v>2</v>
      </c>
      <c r="D1493" s="17">
        <v>0</v>
      </c>
      <c r="E1493" s="17">
        <v>300000</v>
      </c>
      <c r="F1493" s="17">
        <v>300000</v>
      </c>
      <c r="G1493" s="18">
        <v>0</v>
      </c>
      <c r="H1493" s="10">
        <v>2025</v>
      </c>
    </row>
    <row r="1494" spans="1:8" hidden="1" x14ac:dyDescent="0.3">
      <c r="A1494" s="4" t="s">
        <v>79</v>
      </c>
      <c r="B1494" s="16" t="s">
        <v>207</v>
      </c>
      <c r="C1494" s="15">
        <v>3</v>
      </c>
      <c r="D1494" s="17">
        <v>0</v>
      </c>
      <c r="E1494" s="17">
        <v>300000</v>
      </c>
      <c r="F1494" s="17">
        <v>300000</v>
      </c>
      <c r="G1494" s="18">
        <v>0</v>
      </c>
      <c r="H1494" s="10">
        <v>2025</v>
      </c>
    </row>
    <row r="1495" spans="1:8" hidden="1" x14ac:dyDescent="0.3">
      <c r="A1495" s="4" t="s">
        <v>79</v>
      </c>
      <c r="B1495" s="16" t="s">
        <v>207</v>
      </c>
      <c r="C1495" s="15">
        <v>4</v>
      </c>
      <c r="D1495" s="17">
        <v>0</v>
      </c>
      <c r="E1495" s="17">
        <v>300000</v>
      </c>
      <c r="F1495" s="17">
        <v>300000</v>
      </c>
      <c r="G1495" s="18">
        <v>0</v>
      </c>
      <c r="H1495" s="10">
        <v>2025</v>
      </c>
    </row>
    <row r="1496" spans="1:8" hidden="1" x14ac:dyDescent="0.3">
      <c r="A1496" s="4" t="s">
        <v>79</v>
      </c>
      <c r="B1496" s="16" t="s">
        <v>207</v>
      </c>
      <c r="C1496" s="15">
        <v>5</v>
      </c>
      <c r="D1496" s="17">
        <v>0</v>
      </c>
      <c r="E1496" s="17">
        <v>300000</v>
      </c>
      <c r="F1496" s="17">
        <v>300000</v>
      </c>
      <c r="G1496" s="18">
        <v>0</v>
      </c>
      <c r="H1496" s="10">
        <v>2025</v>
      </c>
    </row>
    <row r="1497" spans="1:8" hidden="1" x14ac:dyDescent="0.3">
      <c r="A1497" s="4" t="s">
        <v>79</v>
      </c>
      <c r="B1497" s="16" t="s">
        <v>207</v>
      </c>
      <c r="C1497" s="15">
        <v>6</v>
      </c>
      <c r="D1497" s="17">
        <v>0</v>
      </c>
      <c r="E1497" s="17">
        <v>300000</v>
      </c>
      <c r="F1497" s="17">
        <v>300000</v>
      </c>
      <c r="G1497" s="18">
        <v>0</v>
      </c>
      <c r="H1497" s="10">
        <v>2025</v>
      </c>
    </row>
    <row r="1498" spans="1:8" hidden="1" x14ac:dyDescent="0.3">
      <c r="A1498" s="4" t="s">
        <v>79</v>
      </c>
      <c r="B1498" s="16" t="s">
        <v>207</v>
      </c>
      <c r="C1498" s="15">
        <v>8</v>
      </c>
      <c r="D1498" s="17">
        <v>0</v>
      </c>
      <c r="E1498" s="17">
        <v>300000</v>
      </c>
      <c r="F1498" s="17">
        <v>300000</v>
      </c>
      <c r="G1498" s="18">
        <v>0</v>
      </c>
      <c r="H1498" s="10">
        <v>2025</v>
      </c>
    </row>
    <row r="1499" spans="1:8" hidden="1" x14ac:dyDescent="0.3">
      <c r="A1499" s="4" t="s">
        <v>79</v>
      </c>
      <c r="B1499" s="16" t="s">
        <v>207</v>
      </c>
      <c r="C1499" s="15">
        <v>9</v>
      </c>
      <c r="D1499" s="17">
        <v>0</v>
      </c>
      <c r="E1499" s="17">
        <v>300000</v>
      </c>
      <c r="F1499" s="17">
        <v>300000</v>
      </c>
      <c r="G1499" s="18">
        <v>0</v>
      </c>
      <c r="H1499" s="10">
        <v>2025</v>
      </c>
    </row>
    <row r="1500" spans="1:8" hidden="1" x14ac:dyDescent="0.3">
      <c r="A1500" s="4" t="s">
        <v>79</v>
      </c>
      <c r="B1500" s="16" t="s">
        <v>207</v>
      </c>
      <c r="C1500" s="15">
        <v>10</v>
      </c>
      <c r="D1500" s="17">
        <v>0</v>
      </c>
      <c r="E1500" s="17">
        <v>300000</v>
      </c>
      <c r="F1500" s="17">
        <v>300000</v>
      </c>
      <c r="G1500" s="18">
        <v>0</v>
      </c>
      <c r="H1500" s="10">
        <v>2025</v>
      </c>
    </row>
    <row r="1501" spans="1:8" hidden="1" x14ac:dyDescent="0.3">
      <c r="A1501" s="4" t="s">
        <v>79</v>
      </c>
      <c r="B1501" s="16" t="s">
        <v>186</v>
      </c>
      <c r="C1501" s="15">
        <v>1</v>
      </c>
      <c r="D1501" s="17">
        <v>6270000</v>
      </c>
      <c r="E1501" s="17">
        <v>6208750</v>
      </c>
      <c r="F1501" s="17">
        <v>-61250</v>
      </c>
      <c r="G1501" s="18">
        <v>0.99023125996810202</v>
      </c>
      <c r="H1501" s="10">
        <v>2025</v>
      </c>
    </row>
    <row r="1502" spans="1:8" hidden="1" x14ac:dyDescent="0.3">
      <c r="A1502" s="4" t="s">
        <v>79</v>
      </c>
      <c r="B1502" s="16" t="s">
        <v>186</v>
      </c>
      <c r="C1502" s="15">
        <v>2</v>
      </c>
      <c r="D1502" s="17">
        <v>2044419</v>
      </c>
      <c r="E1502" s="17">
        <v>1744420</v>
      </c>
      <c r="F1502" s="17">
        <v>-299999</v>
      </c>
      <c r="G1502" s="18">
        <v>0.85325953241483277</v>
      </c>
      <c r="H1502" s="10">
        <v>2025</v>
      </c>
    </row>
    <row r="1503" spans="1:8" hidden="1" x14ac:dyDescent="0.3">
      <c r="A1503" s="4" t="s">
        <v>79</v>
      </c>
      <c r="B1503" s="16" t="s">
        <v>186</v>
      </c>
      <c r="C1503" s="15">
        <v>3</v>
      </c>
      <c r="D1503" s="17">
        <v>1744419</v>
      </c>
      <c r="E1503" s="17">
        <v>1744420</v>
      </c>
      <c r="F1503" s="17">
        <v>1</v>
      </c>
      <c r="G1503" s="18">
        <v>1.0000005732567692</v>
      </c>
      <c r="H1503" s="10">
        <v>2025</v>
      </c>
    </row>
    <row r="1504" spans="1:8" hidden="1" x14ac:dyDescent="0.3">
      <c r="A1504" s="4" t="s">
        <v>79</v>
      </c>
      <c r="B1504" s="16" t="s">
        <v>186</v>
      </c>
      <c r="C1504" s="15">
        <v>4</v>
      </c>
      <c r="D1504" s="17">
        <v>1744419</v>
      </c>
      <c r="E1504" s="17">
        <v>1737919</v>
      </c>
      <c r="F1504" s="17">
        <v>-6500</v>
      </c>
      <c r="G1504" s="18">
        <v>0.99627383100046496</v>
      </c>
      <c r="H1504" s="10">
        <v>2025</v>
      </c>
    </row>
    <row r="1505" spans="1:8" hidden="1" x14ac:dyDescent="0.3">
      <c r="A1505" s="4" t="s">
        <v>79</v>
      </c>
      <c r="B1505" s="4" t="s">
        <v>186</v>
      </c>
      <c r="C1505" s="15">
        <v>5</v>
      </c>
      <c r="D1505" s="17">
        <v>1744419</v>
      </c>
      <c r="E1505" s="17">
        <v>1822441</v>
      </c>
      <c r="F1505" s="17">
        <v>78022</v>
      </c>
      <c r="G1505" s="18">
        <v>1.0447266396433426</v>
      </c>
      <c r="H1505" s="10">
        <v>2025</v>
      </c>
    </row>
    <row r="1506" spans="1:8" hidden="1" x14ac:dyDescent="0.3">
      <c r="A1506" s="4" t="s">
        <v>79</v>
      </c>
      <c r="B1506" s="4" t="s">
        <v>186</v>
      </c>
      <c r="C1506" s="15">
        <v>6</v>
      </c>
      <c r="D1506" s="17">
        <v>1744419</v>
      </c>
      <c r="E1506" s="17">
        <v>1666399</v>
      </c>
      <c r="F1506" s="17">
        <v>-78020</v>
      </c>
      <c r="G1506" s="18">
        <v>0.95527450687019577</v>
      </c>
      <c r="H1506" s="10">
        <v>2025</v>
      </c>
    </row>
    <row r="1507" spans="1:8" hidden="1" x14ac:dyDescent="0.3">
      <c r="A1507" s="4" t="s">
        <v>79</v>
      </c>
      <c r="B1507" s="16" t="s">
        <v>186</v>
      </c>
      <c r="C1507" s="15">
        <v>7</v>
      </c>
      <c r="D1507" s="17">
        <v>1744419</v>
      </c>
      <c r="E1507" s="17">
        <v>1744420</v>
      </c>
      <c r="F1507" s="17">
        <v>1</v>
      </c>
      <c r="G1507" s="18">
        <v>1.0000005732567692</v>
      </c>
      <c r="H1507" s="10">
        <v>2025</v>
      </c>
    </row>
    <row r="1508" spans="1:8" hidden="1" x14ac:dyDescent="0.3">
      <c r="A1508" s="4" t="s">
        <v>79</v>
      </c>
      <c r="B1508" s="16" t="s">
        <v>186</v>
      </c>
      <c r="C1508" s="15">
        <v>8</v>
      </c>
      <c r="D1508" s="17">
        <v>1744419</v>
      </c>
      <c r="E1508" s="17">
        <v>1744420</v>
      </c>
      <c r="F1508" s="17">
        <v>1</v>
      </c>
      <c r="G1508" s="18">
        <v>1.0000005732567692</v>
      </c>
      <c r="H1508" s="10">
        <v>2025</v>
      </c>
    </row>
    <row r="1509" spans="1:8" hidden="1" x14ac:dyDescent="0.3">
      <c r="A1509" s="4" t="s">
        <v>79</v>
      </c>
      <c r="B1509" s="16" t="s">
        <v>186</v>
      </c>
      <c r="C1509" s="15">
        <v>9</v>
      </c>
      <c r="D1509" s="17">
        <v>1744419</v>
      </c>
      <c r="E1509" s="17">
        <v>1744420</v>
      </c>
      <c r="F1509" s="17">
        <v>1</v>
      </c>
      <c r="G1509" s="18">
        <v>1.0000005732567692</v>
      </c>
      <c r="H1509" s="10">
        <v>2025</v>
      </c>
    </row>
    <row r="1510" spans="1:8" hidden="1" x14ac:dyDescent="0.3">
      <c r="A1510" s="4" t="s">
        <v>79</v>
      </c>
      <c r="B1510" s="16" t="s">
        <v>186</v>
      </c>
      <c r="C1510" s="15">
        <v>10</v>
      </c>
      <c r="D1510" s="17">
        <v>1744419</v>
      </c>
      <c r="E1510" s="17">
        <v>1744420</v>
      </c>
      <c r="F1510" s="17">
        <v>1</v>
      </c>
      <c r="G1510" s="18">
        <v>1.0000005732567692</v>
      </c>
      <c r="H1510" s="10">
        <v>2025</v>
      </c>
    </row>
    <row r="1511" spans="1:8" hidden="1" x14ac:dyDescent="0.3">
      <c r="A1511" s="4" t="s">
        <v>79</v>
      </c>
      <c r="B1511" s="16" t="s">
        <v>187</v>
      </c>
      <c r="C1511" s="15">
        <v>1</v>
      </c>
      <c r="D1511" s="17">
        <v>481218</v>
      </c>
      <c r="E1511" s="17">
        <v>481218</v>
      </c>
      <c r="F1511" s="17">
        <v>0</v>
      </c>
      <c r="G1511" s="18">
        <v>1</v>
      </c>
      <c r="H1511" s="10">
        <v>2025</v>
      </c>
    </row>
    <row r="1512" spans="1:8" hidden="1" x14ac:dyDescent="0.3">
      <c r="A1512" s="4" t="s">
        <v>79</v>
      </c>
      <c r="B1512" s="16" t="s">
        <v>187</v>
      </c>
      <c r="C1512" s="15">
        <v>2</v>
      </c>
      <c r="D1512" s="17">
        <v>533301</v>
      </c>
      <c r="E1512" s="17">
        <v>533302</v>
      </c>
      <c r="F1512" s="17">
        <v>1</v>
      </c>
      <c r="G1512" s="18">
        <v>1.0000018751136788</v>
      </c>
      <c r="H1512" s="10">
        <v>2025</v>
      </c>
    </row>
    <row r="1513" spans="1:8" hidden="1" x14ac:dyDescent="0.3">
      <c r="A1513" s="4" t="s">
        <v>79</v>
      </c>
      <c r="B1513" s="16" t="s">
        <v>187</v>
      </c>
      <c r="C1513" s="15">
        <v>3</v>
      </c>
      <c r="D1513" s="17">
        <v>533301</v>
      </c>
      <c r="E1513" s="17">
        <v>533302</v>
      </c>
      <c r="F1513" s="17">
        <v>1</v>
      </c>
      <c r="G1513" s="18">
        <v>1.0000018751136788</v>
      </c>
      <c r="H1513" s="10">
        <v>2025</v>
      </c>
    </row>
    <row r="1514" spans="1:8" hidden="1" x14ac:dyDescent="0.3">
      <c r="A1514" s="4" t="s">
        <v>79</v>
      </c>
      <c r="B1514" s="16" t="s">
        <v>187</v>
      </c>
      <c r="C1514" s="15">
        <v>4</v>
      </c>
      <c r="D1514" s="17">
        <v>533301</v>
      </c>
      <c r="E1514" s="17">
        <v>531314</v>
      </c>
      <c r="F1514" s="17">
        <v>-1987</v>
      </c>
      <c r="G1514" s="18">
        <v>0.99627414912029044</v>
      </c>
      <c r="H1514" s="10">
        <v>2025</v>
      </c>
    </row>
    <row r="1515" spans="1:8" hidden="1" x14ac:dyDescent="0.3">
      <c r="A1515" s="4" t="s">
        <v>79</v>
      </c>
      <c r="B1515" s="16" t="s">
        <v>187</v>
      </c>
      <c r="C1515" s="15">
        <v>5</v>
      </c>
      <c r="D1515" s="17">
        <v>533301</v>
      </c>
      <c r="E1515" s="17">
        <v>557154</v>
      </c>
      <c r="F1515" s="17">
        <v>23853</v>
      </c>
      <c r="G1515" s="18">
        <v>1.0447270865796239</v>
      </c>
      <c r="H1515" s="10">
        <v>2025</v>
      </c>
    </row>
    <row r="1516" spans="1:8" hidden="1" x14ac:dyDescent="0.3">
      <c r="A1516" s="4" t="s">
        <v>79</v>
      </c>
      <c r="B1516" s="16" t="s">
        <v>187</v>
      </c>
      <c r="C1516" s="15">
        <v>6</v>
      </c>
      <c r="D1516" s="17">
        <v>533301</v>
      </c>
      <c r="E1516" s="17">
        <v>509449</v>
      </c>
      <c r="F1516" s="17">
        <v>-23852</v>
      </c>
      <c r="G1516" s="18">
        <v>0.9552747885340549</v>
      </c>
      <c r="H1516" s="10">
        <v>2025</v>
      </c>
    </row>
    <row r="1517" spans="1:8" hidden="1" x14ac:dyDescent="0.3">
      <c r="A1517" s="4" t="s">
        <v>79</v>
      </c>
      <c r="B1517" s="16" t="s">
        <v>187</v>
      </c>
      <c r="C1517" s="15">
        <v>7</v>
      </c>
      <c r="D1517" s="17">
        <v>533301</v>
      </c>
      <c r="E1517" s="17">
        <v>533302</v>
      </c>
      <c r="F1517" s="17">
        <v>1</v>
      </c>
      <c r="G1517" s="18">
        <v>1.0000018751136788</v>
      </c>
      <c r="H1517" s="10">
        <v>2025</v>
      </c>
    </row>
    <row r="1518" spans="1:8" hidden="1" x14ac:dyDescent="0.3">
      <c r="A1518" s="4" t="s">
        <v>79</v>
      </c>
      <c r="B1518" s="16" t="s">
        <v>187</v>
      </c>
      <c r="C1518" s="15">
        <v>8</v>
      </c>
      <c r="D1518" s="17">
        <v>533301</v>
      </c>
      <c r="E1518" s="17">
        <v>533302</v>
      </c>
      <c r="F1518" s="17">
        <v>1</v>
      </c>
      <c r="G1518" s="18">
        <v>1.0000018751136788</v>
      </c>
      <c r="H1518" s="10">
        <v>2025</v>
      </c>
    </row>
    <row r="1519" spans="1:8" hidden="1" x14ac:dyDescent="0.3">
      <c r="A1519" s="4" t="s">
        <v>79</v>
      </c>
      <c r="B1519" s="16" t="s">
        <v>187</v>
      </c>
      <c r="C1519" s="15">
        <v>9</v>
      </c>
      <c r="D1519" s="17">
        <v>533301</v>
      </c>
      <c r="E1519" s="17">
        <v>533302</v>
      </c>
      <c r="F1519" s="17">
        <v>1</v>
      </c>
      <c r="G1519" s="18">
        <v>1.0000018751136788</v>
      </c>
      <c r="H1519" s="10">
        <v>2025</v>
      </c>
    </row>
    <row r="1520" spans="1:8" hidden="1" x14ac:dyDescent="0.3">
      <c r="A1520" s="4" t="s">
        <v>79</v>
      </c>
      <c r="B1520" s="16" t="s">
        <v>187</v>
      </c>
      <c r="C1520" s="15">
        <v>10</v>
      </c>
      <c r="D1520" s="17">
        <v>533301</v>
      </c>
      <c r="E1520" s="17">
        <v>533302</v>
      </c>
      <c r="F1520" s="17">
        <v>1</v>
      </c>
      <c r="G1520" s="18">
        <v>1.0000018751136788</v>
      </c>
      <c r="H1520" s="10">
        <v>2025</v>
      </c>
    </row>
    <row r="1521" spans="1:8" hidden="1" x14ac:dyDescent="0.3">
      <c r="A1521" s="4" t="s">
        <v>79</v>
      </c>
      <c r="B1521" s="16" t="s">
        <v>188</v>
      </c>
      <c r="C1521" s="15">
        <v>4</v>
      </c>
      <c r="D1521" s="17">
        <v>418818</v>
      </c>
      <c r="E1521" s="17">
        <v>176028</v>
      </c>
      <c r="F1521" s="17">
        <v>-242790</v>
      </c>
      <c r="G1521" s="18">
        <v>0.42029712190020491</v>
      </c>
      <c r="H1521" s="10">
        <v>2025</v>
      </c>
    </row>
    <row r="1522" spans="1:8" hidden="1" x14ac:dyDescent="0.3">
      <c r="A1522" s="4" t="s">
        <v>79</v>
      </c>
      <c r="B1522" s="16" t="s">
        <v>188</v>
      </c>
      <c r="C1522" s="15">
        <v>5</v>
      </c>
      <c r="D1522" s="17">
        <v>0</v>
      </c>
      <c r="E1522" s="17">
        <v>490961</v>
      </c>
      <c r="F1522" s="17">
        <v>490961</v>
      </c>
      <c r="G1522" s="18">
        <v>0</v>
      </c>
      <c r="H1522" s="10">
        <v>2025</v>
      </c>
    </row>
    <row r="1523" spans="1:8" hidden="1" x14ac:dyDescent="0.3">
      <c r="A1523" s="4" t="s">
        <v>79</v>
      </c>
      <c r="B1523" s="16" t="s">
        <v>188</v>
      </c>
      <c r="C1523" s="15">
        <v>8</v>
      </c>
      <c r="D1523" s="17">
        <v>166713</v>
      </c>
      <c r="E1523" s="17">
        <v>439004</v>
      </c>
      <c r="F1523" s="17">
        <v>272291</v>
      </c>
      <c r="G1523" s="18">
        <v>2.6332919448393346</v>
      </c>
      <c r="H1523" s="10">
        <v>2025</v>
      </c>
    </row>
    <row r="1524" spans="1:8" hidden="1" x14ac:dyDescent="0.3">
      <c r="A1524" s="4" t="s">
        <v>79</v>
      </c>
      <c r="B1524" s="16" t="s">
        <v>189</v>
      </c>
      <c r="C1524" s="15">
        <v>1</v>
      </c>
      <c r="D1524" s="17">
        <v>96291</v>
      </c>
      <c r="E1524" s="17">
        <v>0</v>
      </c>
      <c r="F1524" s="17">
        <v>-96291</v>
      </c>
      <c r="G1524" s="18">
        <v>0</v>
      </c>
      <c r="H1524" s="10">
        <v>2025</v>
      </c>
    </row>
    <row r="1525" spans="1:8" hidden="1" x14ac:dyDescent="0.3">
      <c r="A1525" s="4" t="s">
        <v>79</v>
      </c>
      <c r="B1525" s="16" t="s">
        <v>189</v>
      </c>
      <c r="C1525" s="15">
        <v>2</v>
      </c>
      <c r="D1525" s="17">
        <v>96291</v>
      </c>
      <c r="E1525" s="17">
        <v>0</v>
      </c>
      <c r="F1525" s="17">
        <v>-96291</v>
      </c>
      <c r="G1525" s="18">
        <v>0</v>
      </c>
      <c r="H1525" s="10">
        <v>2025</v>
      </c>
    </row>
    <row r="1526" spans="1:8" hidden="1" x14ac:dyDescent="0.3">
      <c r="A1526" s="4" t="s">
        <v>79</v>
      </c>
      <c r="B1526" s="16" t="s">
        <v>189</v>
      </c>
      <c r="C1526" s="15">
        <v>3</v>
      </c>
      <c r="D1526" s="17">
        <v>96291</v>
      </c>
      <c r="E1526" s="17">
        <v>0</v>
      </c>
      <c r="F1526" s="17">
        <v>-96291</v>
      </c>
      <c r="G1526" s="18">
        <v>0</v>
      </c>
      <c r="H1526" s="10">
        <v>2025</v>
      </c>
    </row>
    <row r="1527" spans="1:8" hidden="1" x14ac:dyDescent="0.3">
      <c r="A1527" s="4" t="s">
        <v>79</v>
      </c>
      <c r="B1527" s="16" t="s">
        <v>189</v>
      </c>
      <c r="C1527" s="15">
        <v>4</v>
      </c>
      <c r="D1527" s="17">
        <v>96291</v>
      </c>
      <c r="E1527" s="17">
        <v>0</v>
      </c>
      <c r="F1527" s="17">
        <v>-96291</v>
      </c>
      <c r="G1527" s="18">
        <v>0</v>
      </c>
      <c r="H1527" s="10">
        <v>2025</v>
      </c>
    </row>
    <row r="1528" spans="1:8" hidden="1" x14ac:dyDescent="0.3">
      <c r="A1528" s="4" t="s">
        <v>79</v>
      </c>
      <c r="B1528" s="16" t="s">
        <v>189</v>
      </c>
      <c r="C1528" s="15">
        <v>5</v>
      </c>
      <c r="D1528" s="17">
        <v>96291</v>
      </c>
      <c r="E1528" s="17">
        <v>0</v>
      </c>
      <c r="F1528" s="17">
        <v>-96291</v>
      </c>
      <c r="G1528" s="18">
        <v>0</v>
      </c>
      <c r="H1528" s="10">
        <v>2025</v>
      </c>
    </row>
    <row r="1529" spans="1:8" hidden="1" x14ac:dyDescent="0.3">
      <c r="A1529" s="4" t="s">
        <v>79</v>
      </c>
      <c r="B1529" s="16" t="s">
        <v>189</v>
      </c>
      <c r="C1529" s="15">
        <v>6</v>
      </c>
      <c r="D1529" s="17">
        <v>96291</v>
      </c>
      <c r="E1529" s="17">
        <v>0</v>
      </c>
      <c r="F1529" s="17">
        <v>-96291</v>
      </c>
      <c r="G1529" s="18">
        <v>0</v>
      </c>
      <c r="H1529" s="10">
        <v>2025</v>
      </c>
    </row>
    <row r="1530" spans="1:8" hidden="1" x14ac:dyDescent="0.3">
      <c r="A1530" s="4" t="s">
        <v>79</v>
      </c>
      <c r="B1530" s="16" t="s">
        <v>189</v>
      </c>
      <c r="C1530" s="15">
        <v>7</v>
      </c>
      <c r="D1530" s="17">
        <v>96291</v>
      </c>
      <c r="E1530" s="17">
        <v>0</v>
      </c>
      <c r="F1530" s="17">
        <v>-96291</v>
      </c>
      <c r="G1530" s="18">
        <v>0</v>
      </c>
      <c r="H1530" s="10">
        <v>2025</v>
      </c>
    </row>
    <row r="1531" spans="1:8" hidden="1" x14ac:dyDescent="0.3">
      <c r="A1531" s="4" t="s">
        <v>79</v>
      </c>
      <c r="B1531" s="16" t="s">
        <v>189</v>
      </c>
      <c r="C1531" s="15">
        <v>8</v>
      </c>
      <c r="D1531" s="17">
        <v>96291</v>
      </c>
      <c r="E1531" s="17">
        <v>0</v>
      </c>
      <c r="F1531" s="17">
        <v>-96291</v>
      </c>
      <c r="G1531" s="18">
        <v>0</v>
      </c>
      <c r="H1531" s="10">
        <v>2025</v>
      </c>
    </row>
    <row r="1532" spans="1:8" hidden="1" x14ac:dyDescent="0.3">
      <c r="A1532" s="4" t="s">
        <v>79</v>
      </c>
      <c r="B1532" s="16" t="s">
        <v>189</v>
      </c>
      <c r="C1532" s="15">
        <v>9</v>
      </c>
      <c r="D1532" s="17">
        <v>96291</v>
      </c>
      <c r="E1532" s="17">
        <v>0</v>
      </c>
      <c r="F1532" s="17">
        <v>-96291</v>
      </c>
      <c r="G1532" s="18">
        <v>0</v>
      </c>
      <c r="H1532" s="10">
        <v>2025</v>
      </c>
    </row>
    <row r="1533" spans="1:8" hidden="1" x14ac:dyDescent="0.3">
      <c r="A1533" s="4" t="s">
        <v>79</v>
      </c>
      <c r="B1533" s="16" t="s">
        <v>189</v>
      </c>
      <c r="C1533" s="15">
        <v>10</v>
      </c>
      <c r="D1533" s="17">
        <v>96291</v>
      </c>
      <c r="E1533" s="17">
        <v>0</v>
      </c>
      <c r="F1533" s="17">
        <v>-96291</v>
      </c>
      <c r="G1533" s="18">
        <v>0</v>
      </c>
      <c r="H1533" s="10">
        <v>2025</v>
      </c>
    </row>
    <row r="1534" spans="1:8" hidden="1" x14ac:dyDescent="0.3">
      <c r="A1534" s="4" t="s">
        <v>79</v>
      </c>
      <c r="B1534" s="16" t="s">
        <v>191</v>
      </c>
      <c r="C1534" s="15">
        <v>2</v>
      </c>
      <c r="D1534" s="17">
        <v>13000000</v>
      </c>
      <c r="E1534" s="17">
        <v>11591318</v>
      </c>
      <c r="F1534" s="17">
        <v>-1408682</v>
      </c>
      <c r="G1534" s="18">
        <v>0.89163984615384617</v>
      </c>
      <c r="H1534" s="10">
        <v>2025</v>
      </c>
    </row>
    <row r="1535" spans="1:8" hidden="1" x14ac:dyDescent="0.3">
      <c r="A1535" s="4" t="s">
        <v>79</v>
      </c>
      <c r="B1535" s="16" t="s">
        <v>191</v>
      </c>
      <c r="C1535" s="15">
        <v>3</v>
      </c>
      <c r="D1535" s="17">
        <v>2000000</v>
      </c>
      <c r="E1535" s="17">
        <v>0</v>
      </c>
      <c r="F1535" s="17">
        <v>-2000000</v>
      </c>
      <c r="G1535" s="18">
        <v>0</v>
      </c>
      <c r="H1535" s="10">
        <v>2025</v>
      </c>
    </row>
    <row r="1536" spans="1:8" hidden="1" x14ac:dyDescent="0.3">
      <c r="A1536" s="4" t="s">
        <v>79</v>
      </c>
      <c r="B1536" s="16" t="s">
        <v>191</v>
      </c>
      <c r="C1536" s="15">
        <v>5</v>
      </c>
      <c r="D1536" s="17">
        <v>6000000</v>
      </c>
      <c r="E1536" s="17">
        <v>5232000</v>
      </c>
      <c r="F1536" s="17">
        <v>-768000</v>
      </c>
      <c r="G1536" s="18">
        <v>0.872</v>
      </c>
      <c r="H1536" s="10">
        <v>2025</v>
      </c>
    </row>
    <row r="1537" spans="1:8" hidden="1" x14ac:dyDescent="0.3">
      <c r="A1537" s="4" t="s">
        <v>79</v>
      </c>
      <c r="B1537" s="16" t="s">
        <v>191</v>
      </c>
      <c r="C1537" s="15">
        <v>6</v>
      </c>
      <c r="D1537" s="17">
        <v>2000000</v>
      </c>
      <c r="E1537" s="17">
        <v>0</v>
      </c>
      <c r="F1537" s="17">
        <v>-2000000</v>
      </c>
      <c r="G1537" s="18">
        <v>0</v>
      </c>
      <c r="H1537" s="10">
        <v>2025</v>
      </c>
    </row>
    <row r="1538" spans="1:8" hidden="1" x14ac:dyDescent="0.3">
      <c r="A1538" s="4" t="s">
        <v>79</v>
      </c>
      <c r="B1538" s="16" t="s">
        <v>191</v>
      </c>
      <c r="C1538" s="15">
        <v>9</v>
      </c>
      <c r="D1538" s="17">
        <v>15000000</v>
      </c>
      <c r="E1538" s="17">
        <v>5232000</v>
      </c>
      <c r="F1538" s="17">
        <v>-9768000</v>
      </c>
      <c r="G1538" s="18">
        <v>0.3488</v>
      </c>
      <c r="H1538" s="10">
        <v>2025</v>
      </c>
    </row>
    <row r="1539" spans="1:8" hidden="1" x14ac:dyDescent="0.3">
      <c r="A1539" s="4" t="s">
        <v>79</v>
      </c>
      <c r="B1539" s="16" t="s">
        <v>192</v>
      </c>
      <c r="C1539" s="15">
        <v>1</v>
      </c>
      <c r="D1539" s="17">
        <v>282730</v>
      </c>
      <c r="E1539" s="17">
        <v>281600</v>
      </c>
      <c r="F1539" s="17">
        <v>-1130</v>
      </c>
      <c r="G1539" s="18">
        <v>0.99600325398790368</v>
      </c>
      <c r="H1539" s="10">
        <v>2025</v>
      </c>
    </row>
    <row r="1540" spans="1:8" hidden="1" x14ac:dyDescent="0.3">
      <c r="A1540" s="4" t="s">
        <v>79</v>
      </c>
      <c r="B1540" s="16" t="s">
        <v>192</v>
      </c>
      <c r="C1540" s="15">
        <v>2</v>
      </c>
      <c r="D1540" s="17">
        <v>313330</v>
      </c>
      <c r="E1540" s="17">
        <v>306500</v>
      </c>
      <c r="F1540" s="17">
        <v>-6830</v>
      </c>
      <c r="G1540" s="18">
        <v>0.97820189576484862</v>
      </c>
      <c r="H1540" s="10">
        <v>2025</v>
      </c>
    </row>
    <row r="1541" spans="1:8" hidden="1" x14ac:dyDescent="0.3">
      <c r="A1541" s="4" t="s">
        <v>79</v>
      </c>
      <c r="B1541" s="16" t="s">
        <v>192</v>
      </c>
      <c r="C1541" s="15">
        <v>3</v>
      </c>
      <c r="D1541" s="17">
        <v>313330</v>
      </c>
      <c r="E1541" s="17">
        <v>311700</v>
      </c>
      <c r="F1541" s="17">
        <v>-1630</v>
      </c>
      <c r="G1541" s="18">
        <v>0.99479781699805325</v>
      </c>
      <c r="H1541" s="10">
        <v>2025</v>
      </c>
    </row>
    <row r="1542" spans="1:8" hidden="1" x14ac:dyDescent="0.3">
      <c r="A1542" s="4" t="s">
        <v>79</v>
      </c>
      <c r="B1542" s="16" t="s">
        <v>192</v>
      </c>
      <c r="C1542" s="15">
        <v>4</v>
      </c>
      <c r="D1542" s="17">
        <v>313330</v>
      </c>
      <c r="E1542" s="17">
        <v>245700</v>
      </c>
      <c r="F1542" s="17">
        <v>-67630</v>
      </c>
      <c r="G1542" s="18">
        <v>0.78415727826891779</v>
      </c>
      <c r="H1542" s="10">
        <v>2025</v>
      </c>
    </row>
    <row r="1543" spans="1:8" hidden="1" x14ac:dyDescent="0.3">
      <c r="A1543" s="4" t="s">
        <v>79</v>
      </c>
      <c r="B1543" s="16" t="s">
        <v>192</v>
      </c>
      <c r="C1543" s="15">
        <v>5</v>
      </c>
      <c r="D1543" s="17">
        <v>313330</v>
      </c>
      <c r="E1543" s="17">
        <v>303000</v>
      </c>
      <c r="F1543" s="17">
        <v>-10330</v>
      </c>
      <c r="G1543" s="18">
        <v>0.96703156416557623</v>
      </c>
      <c r="H1543" s="10">
        <v>2025</v>
      </c>
    </row>
    <row r="1544" spans="1:8" hidden="1" x14ac:dyDescent="0.3">
      <c r="A1544" s="4" t="s">
        <v>79</v>
      </c>
      <c r="B1544" s="16" t="s">
        <v>192</v>
      </c>
      <c r="C1544" s="15">
        <v>6</v>
      </c>
      <c r="D1544" s="17">
        <v>313330</v>
      </c>
      <c r="E1544" s="17">
        <v>297800</v>
      </c>
      <c r="F1544" s="17">
        <v>-15530</v>
      </c>
      <c r="G1544" s="18">
        <v>0.9504356429323717</v>
      </c>
      <c r="H1544" s="10">
        <v>2025</v>
      </c>
    </row>
    <row r="1545" spans="1:8" hidden="1" x14ac:dyDescent="0.3">
      <c r="A1545" s="4" t="s">
        <v>79</v>
      </c>
      <c r="B1545" s="16" t="s">
        <v>192</v>
      </c>
      <c r="C1545" s="15">
        <v>7</v>
      </c>
      <c r="D1545" s="17">
        <v>313330</v>
      </c>
      <c r="E1545" s="17">
        <v>298300</v>
      </c>
      <c r="F1545" s="17">
        <v>-15030</v>
      </c>
      <c r="G1545" s="18">
        <v>0.9520314045894106</v>
      </c>
      <c r="H1545" s="10">
        <v>2025</v>
      </c>
    </row>
    <row r="1546" spans="1:8" hidden="1" x14ac:dyDescent="0.3">
      <c r="A1546" s="4" t="s">
        <v>79</v>
      </c>
      <c r="B1546" s="16" t="s">
        <v>192</v>
      </c>
      <c r="C1546" s="15">
        <v>8</v>
      </c>
      <c r="D1546" s="17">
        <v>313330</v>
      </c>
      <c r="E1546" s="17">
        <v>311700</v>
      </c>
      <c r="F1546" s="17">
        <v>-1630</v>
      </c>
      <c r="G1546" s="18">
        <v>0.99479781699805325</v>
      </c>
      <c r="H1546" s="10">
        <v>2025</v>
      </c>
    </row>
    <row r="1547" spans="1:8" hidden="1" x14ac:dyDescent="0.3">
      <c r="A1547" s="4" t="s">
        <v>79</v>
      </c>
      <c r="B1547" s="16" t="s">
        <v>192</v>
      </c>
      <c r="C1547" s="15">
        <v>9</v>
      </c>
      <c r="D1547" s="17">
        <v>313330</v>
      </c>
      <c r="E1547" s="17">
        <v>312000</v>
      </c>
      <c r="F1547" s="17">
        <v>-1330</v>
      </c>
      <c r="G1547" s="18">
        <v>0.99575527399227659</v>
      </c>
      <c r="H1547" s="10">
        <v>2025</v>
      </c>
    </row>
    <row r="1548" spans="1:8" hidden="1" x14ac:dyDescent="0.3">
      <c r="A1548" s="4" t="s">
        <v>79</v>
      </c>
      <c r="B1548" s="16" t="s">
        <v>192</v>
      </c>
      <c r="C1548" s="15">
        <v>10</v>
      </c>
      <c r="D1548" s="17">
        <v>313330</v>
      </c>
      <c r="E1548" s="17">
        <v>312000</v>
      </c>
      <c r="F1548" s="17">
        <v>-1330</v>
      </c>
      <c r="G1548" s="18">
        <v>0.99575527399227659</v>
      </c>
      <c r="H1548" s="10">
        <v>2025</v>
      </c>
    </row>
    <row r="1549" spans="1:8" hidden="1" x14ac:dyDescent="0.3">
      <c r="A1549" s="4" t="s">
        <v>79</v>
      </c>
      <c r="B1549" s="16" t="s">
        <v>193</v>
      </c>
      <c r="C1549" s="15">
        <v>1</v>
      </c>
      <c r="D1549" s="17">
        <v>0</v>
      </c>
      <c r="E1549" s="17">
        <v>25</v>
      </c>
      <c r="F1549" s="17">
        <v>25</v>
      </c>
      <c r="G1549" s="18">
        <v>0</v>
      </c>
      <c r="H1549" s="10">
        <v>2025</v>
      </c>
    </row>
    <row r="1550" spans="1:8" hidden="1" x14ac:dyDescent="0.3">
      <c r="A1550" s="4" t="s">
        <v>79</v>
      </c>
      <c r="B1550" s="16" t="s">
        <v>193</v>
      </c>
      <c r="C1550" s="15">
        <v>2</v>
      </c>
      <c r="D1550" s="17">
        <v>0</v>
      </c>
      <c r="E1550" s="17">
        <v>140</v>
      </c>
      <c r="F1550" s="17">
        <v>140</v>
      </c>
      <c r="G1550" s="18">
        <v>0</v>
      </c>
      <c r="H1550" s="10">
        <v>2025</v>
      </c>
    </row>
    <row r="1551" spans="1:8" hidden="1" x14ac:dyDescent="0.3">
      <c r="A1551" s="4" t="s">
        <v>79</v>
      </c>
      <c r="B1551" s="16" t="s">
        <v>193</v>
      </c>
      <c r="C1551" s="15">
        <v>3</v>
      </c>
      <c r="D1551" s="17">
        <v>0</v>
      </c>
      <c r="E1551" s="17">
        <v>40</v>
      </c>
      <c r="F1551" s="17">
        <v>40</v>
      </c>
      <c r="G1551" s="18">
        <v>0</v>
      </c>
      <c r="H1551" s="10">
        <v>2025</v>
      </c>
    </row>
    <row r="1552" spans="1:8" hidden="1" x14ac:dyDescent="0.3">
      <c r="A1552" s="4" t="s">
        <v>79</v>
      </c>
      <c r="B1552" s="16" t="s">
        <v>193</v>
      </c>
      <c r="C1552" s="15">
        <v>4</v>
      </c>
      <c r="D1552" s="17">
        <v>0</v>
      </c>
      <c r="E1552" s="17">
        <v>346</v>
      </c>
      <c r="F1552" s="17">
        <v>346</v>
      </c>
      <c r="G1552" s="18">
        <v>0</v>
      </c>
      <c r="H1552" s="10">
        <v>2025</v>
      </c>
    </row>
    <row r="1553" spans="1:8" hidden="1" x14ac:dyDescent="0.3">
      <c r="A1553" s="4" t="s">
        <v>79</v>
      </c>
      <c r="B1553" s="16" t="s">
        <v>193</v>
      </c>
      <c r="C1553" s="15">
        <v>5</v>
      </c>
      <c r="D1553" s="17">
        <v>0</v>
      </c>
      <c r="E1553" s="17">
        <v>-22840</v>
      </c>
      <c r="F1553" s="17">
        <v>-22840</v>
      </c>
      <c r="G1553" s="18">
        <v>0</v>
      </c>
      <c r="H1553" s="10">
        <v>2025</v>
      </c>
    </row>
    <row r="1554" spans="1:8" hidden="1" x14ac:dyDescent="0.3">
      <c r="A1554" s="4" t="s">
        <v>79</v>
      </c>
      <c r="B1554" s="16" t="s">
        <v>193</v>
      </c>
      <c r="C1554" s="15">
        <v>6</v>
      </c>
      <c r="D1554" s="17">
        <v>0</v>
      </c>
      <c r="E1554" s="17">
        <v>23020</v>
      </c>
      <c r="F1554" s="17">
        <v>23020</v>
      </c>
      <c r="G1554" s="18">
        <v>0</v>
      </c>
      <c r="H1554" s="10">
        <v>2025</v>
      </c>
    </row>
    <row r="1555" spans="1:8" hidden="1" x14ac:dyDescent="0.3">
      <c r="A1555" s="4" t="s">
        <v>79</v>
      </c>
      <c r="B1555" s="16" t="s">
        <v>193</v>
      </c>
      <c r="C1555" s="15">
        <v>7</v>
      </c>
      <c r="D1555" s="17">
        <v>0</v>
      </c>
      <c r="E1555" s="17">
        <v>40</v>
      </c>
      <c r="F1555" s="17">
        <v>40</v>
      </c>
      <c r="G1555" s="18">
        <v>0</v>
      </c>
      <c r="H1555" s="10">
        <v>2025</v>
      </c>
    </row>
    <row r="1556" spans="1:8" hidden="1" x14ac:dyDescent="0.3">
      <c r="A1556" s="4" t="s">
        <v>79</v>
      </c>
      <c r="B1556" s="16" t="s">
        <v>193</v>
      </c>
      <c r="C1556" s="15">
        <v>8</v>
      </c>
      <c r="D1556" s="17">
        <v>0</v>
      </c>
      <c r="E1556" s="17">
        <v>40</v>
      </c>
      <c r="F1556" s="17">
        <v>40</v>
      </c>
      <c r="G1556" s="18">
        <v>0</v>
      </c>
      <c r="H1556" s="10">
        <v>2025</v>
      </c>
    </row>
    <row r="1557" spans="1:8" hidden="1" x14ac:dyDescent="0.3">
      <c r="A1557" s="4" t="s">
        <v>79</v>
      </c>
      <c r="B1557" s="16" t="s">
        <v>194</v>
      </c>
      <c r="C1557" s="15">
        <v>1</v>
      </c>
      <c r="D1557" s="17">
        <v>1384800</v>
      </c>
      <c r="E1557" s="17">
        <v>1386225</v>
      </c>
      <c r="F1557" s="17">
        <v>1425</v>
      </c>
      <c r="G1557" s="18">
        <v>1.0010290294627384</v>
      </c>
      <c r="H1557" s="10">
        <v>2025</v>
      </c>
    </row>
    <row r="1558" spans="1:8" hidden="1" x14ac:dyDescent="0.3">
      <c r="A1558" s="4" t="s">
        <v>79</v>
      </c>
      <c r="B1558" s="16" t="s">
        <v>194</v>
      </c>
      <c r="C1558" s="15">
        <v>2</v>
      </c>
      <c r="D1558" s="17">
        <v>1534680</v>
      </c>
      <c r="E1558" s="17">
        <v>1534840</v>
      </c>
      <c r="F1558" s="17">
        <v>160</v>
      </c>
      <c r="G1558" s="18">
        <v>1.0001042562618918</v>
      </c>
      <c r="H1558" s="10">
        <v>2025</v>
      </c>
    </row>
    <row r="1559" spans="1:8" hidden="1" x14ac:dyDescent="0.3">
      <c r="A1559" s="4" t="s">
        <v>79</v>
      </c>
      <c r="B1559" s="16" t="s">
        <v>194</v>
      </c>
      <c r="C1559" s="15">
        <v>3</v>
      </c>
      <c r="D1559" s="17">
        <v>1534680</v>
      </c>
      <c r="E1559" s="17">
        <v>1534740</v>
      </c>
      <c r="F1559" s="17">
        <v>60</v>
      </c>
      <c r="G1559" s="18">
        <v>1.0000390960982095</v>
      </c>
      <c r="H1559" s="10">
        <v>2025</v>
      </c>
    </row>
    <row r="1560" spans="1:8" hidden="1" x14ac:dyDescent="0.3">
      <c r="A1560" s="4" t="s">
        <v>79</v>
      </c>
      <c r="B1560" s="16" t="s">
        <v>194</v>
      </c>
      <c r="C1560" s="15">
        <v>4</v>
      </c>
      <c r="D1560" s="17">
        <v>1534680</v>
      </c>
      <c r="E1560" s="17">
        <v>1529346</v>
      </c>
      <c r="F1560" s="17">
        <v>-5334</v>
      </c>
      <c r="G1560" s="18">
        <v>0.9965243568691845</v>
      </c>
      <c r="H1560" s="10">
        <v>2025</v>
      </c>
    </row>
    <row r="1561" spans="1:8" hidden="1" x14ac:dyDescent="0.3">
      <c r="A1561" s="4" t="s">
        <v>79</v>
      </c>
      <c r="B1561" s="16" t="s">
        <v>194</v>
      </c>
      <c r="C1561" s="15">
        <v>5</v>
      </c>
      <c r="D1561" s="17">
        <v>1534680</v>
      </c>
      <c r="E1561" s="17">
        <v>1511860</v>
      </c>
      <c r="F1561" s="17">
        <v>-22820</v>
      </c>
      <c r="G1561" s="18">
        <v>0.985130450647692</v>
      </c>
      <c r="H1561" s="10">
        <v>2025</v>
      </c>
    </row>
    <row r="1562" spans="1:8" hidden="1" x14ac:dyDescent="0.3">
      <c r="A1562" s="4" t="s">
        <v>79</v>
      </c>
      <c r="B1562" s="16" t="s">
        <v>194</v>
      </c>
      <c r="C1562" s="15">
        <v>6</v>
      </c>
      <c r="D1562" s="17">
        <v>1534680</v>
      </c>
      <c r="E1562" s="17">
        <v>1557720</v>
      </c>
      <c r="F1562" s="17">
        <v>23040</v>
      </c>
      <c r="G1562" s="18">
        <v>1.015012901712409</v>
      </c>
      <c r="H1562" s="10">
        <v>2025</v>
      </c>
    </row>
    <row r="1563" spans="1:8" hidden="1" x14ac:dyDescent="0.3">
      <c r="A1563" s="4" t="s">
        <v>79</v>
      </c>
      <c r="B1563" s="16" t="s">
        <v>194</v>
      </c>
      <c r="C1563" s="15">
        <v>7</v>
      </c>
      <c r="D1563" s="17">
        <v>1534680</v>
      </c>
      <c r="E1563" s="17">
        <v>1534740</v>
      </c>
      <c r="F1563" s="17">
        <v>60</v>
      </c>
      <c r="G1563" s="18">
        <v>1.0000390960982095</v>
      </c>
      <c r="H1563" s="10">
        <v>2025</v>
      </c>
    </row>
    <row r="1564" spans="1:8" hidden="1" x14ac:dyDescent="0.3">
      <c r="A1564" s="4" t="s">
        <v>79</v>
      </c>
      <c r="B1564" s="16" t="s">
        <v>194</v>
      </c>
      <c r="C1564" s="15">
        <v>8</v>
      </c>
      <c r="D1564" s="17">
        <v>1534680</v>
      </c>
      <c r="E1564" s="17">
        <v>1534740</v>
      </c>
      <c r="F1564" s="17">
        <v>60</v>
      </c>
      <c r="G1564" s="18">
        <v>1.0000390960982095</v>
      </c>
      <c r="H1564" s="10">
        <v>2025</v>
      </c>
    </row>
    <row r="1565" spans="1:8" hidden="1" x14ac:dyDescent="0.3">
      <c r="A1565" s="4" t="s">
        <v>79</v>
      </c>
      <c r="B1565" s="16" t="s">
        <v>194</v>
      </c>
      <c r="C1565" s="15">
        <v>9</v>
      </c>
      <c r="D1565" s="17">
        <v>1534680</v>
      </c>
      <c r="E1565" s="17">
        <v>1534700</v>
      </c>
      <c r="F1565" s="17">
        <v>20</v>
      </c>
      <c r="G1565" s="18">
        <v>1.0000130320327365</v>
      </c>
      <c r="H1565" s="10">
        <v>2025</v>
      </c>
    </row>
    <row r="1566" spans="1:8" hidden="1" x14ac:dyDescent="0.3">
      <c r="A1566" s="4" t="s">
        <v>79</v>
      </c>
      <c r="B1566" s="16" t="s">
        <v>194</v>
      </c>
      <c r="C1566" s="15">
        <v>10</v>
      </c>
      <c r="D1566" s="17">
        <v>1534680</v>
      </c>
      <c r="E1566" s="17">
        <v>1534700</v>
      </c>
      <c r="F1566" s="17">
        <v>20</v>
      </c>
      <c r="G1566" s="18">
        <v>1.0000130320327365</v>
      </c>
      <c r="H1566" s="10">
        <v>2025</v>
      </c>
    </row>
    <row r="1567" spans="1:8" hidden="1" x14ac:dyDescent="0.3">
      <c r="A1567" s="4" t="s">
        <v>79</v>
      </c>
      <c r="B1567" s="16" t="s">
        <v>195</v>
      </c>
      <c r="C1567" s="15">
        <v>1</v>
      </c>
      <c r="D1567" s="17">
        <v>461600</v>
      </c>
      <c r="E1567" s="17">
        <v>462100</v>
      </c>
      <c r="F1567" s="17">
        <v>500</v>
      </c>
      <c r="G1567" s="18">
        <v>1.0010831889081455</v>
      </c>
      <c r="H1567" s="10">
        <v>2025</v>
      </c>
    </row>
    <row r="1568" spans="1:8" hidden="1" x14ac:dyDescent="0.3">
      <c r="A1568" s="4" t="s">
        <v>79</v>
      </c>
      <c r="B1568" s="16" t="s">
        <v>195</v>
      </c>
      <c r="C1568" s="15">
        <v>2</v>
      </c>
      <c r="D1568" s="17">
        <v>511560</v>
      </c>
      <c r="E1568" s="17">
        <v>511700</v>
      </c>
      <c r="F1568" s="17">
        <v>140</v>
      </c>
      <c r="G1568" s="18">
        <v>1.0002736726874659</v>
      </c>
      <c r="H1568" s="10">
        <v>2025</v>
      </c>
    </row>
    <row r="1569" spans="1:8" hidden="1" x14ac:dyDescent="0.3">
      <c r="A1569" s="4" t="s">
        <v>79</v>
      </c>
      <c r="B1569" s="16" t="s">
        <v>195</v>
      </c>
      <c r="C1569" s="15">
        <v>3</v>
      </c>
      <c r="D1569" s="17">
        <v>511560</v>
      </c>
      <c r="E1569" s="17">
        <v>511600</v>
      </c>
      <c r="F1569" s="17">
        <v>40</v>
      </c>
      <c r="G1569" s="18">
        <v>1.0000781921964188</v>
      </c>
      <c r="H1569" s="10">
        <v>2025</v>
      </c>
    </row>
    <row r="1570" spans="1:8" hidden="1" x14ac:dyDescent="0.3">
      <c r="A1570" s="4" t="s">
        <v>79</v>
      </c>
      <c r="B1570" s="16" t="s">
        <v>195</v>
      </c>
      <c r="C1570" s="15">
        <v>4</v>
      </c>
      <c r="D1570" s="17">
        <v>511560</v>
      </c>
      <c r="E1570" s="17">
        <v>506100</v>
      </c>
      <c r="F1570" s="17">
        <v>-5460</v>
      </c>
      <c r="G1570" s="18">
        <v>0.98932676518883422</v>
      </c>
      <c r="H1570" s="10">
        <v>2025</v>
      </c>
    </row>
    <row r="1571" spans="1:8" hidden="1" x14ac:dyDescent="0.3">
      <c r="A1571" s="4" t="s">
        <v>79</v>
      </c>
      <c r="B1571" s="16" t="s">
        <v>195</v>
      </c>
      <c r="C1571" s="15">
        <v>5</v>
      </c>
      <c r="D1571" s="17">
        <v>511560</v>
      </c>
      <c r="E1571" s="17">
        <v>511600</v>
      </c>
      <c r="F1571" s="17">
        <v>40</v>
      </c>
      <c r="G1571" s="18">
        <v>1.0000781921964188</v>
      </c>
      <c r="H1571" s="10">
        <v>2025</v>
      </c>
    </row>
    <row r="1572" spans="1:8" hidden="1" x14ac:dyDescent="0.3">
      <c r="A1572" s="4" t="s">
        <v>79</v>
      </c>
      <c r="B1572" s="16" t="s">
        <v>195</v>
      </c>
      <c r="C1572" s="15">
        <v>6</v>
      </c>
      <c r="D1572" s="17">
        <v>511560</v>
      </c>
      <c r="E1572" s="17">
        <v>511700</v>
      </c>
      <c r="F1572" s="17">
        <v>140</v>
      </c>
      <c r="G1572" s="18">
        <v>1.0002736726874659</v>
      </c>
      <c r="H1572" s="10">
        <v>2025</v>
      </c>
    </row>
    <row r="1573" spans="1:8" hidden="1" x14ac:dyDescent="0.3">
      <c r="A1573" s="4" t="s">
        <v>79</v>
      </c>
      <c r="B1573" s="16" t="s">
        <v>195</v>
      </c>
      <c r="C1573" s="15">
        <v>7</v>
      </c>
      <c r="D1573" s="17">
        <v>511560</v>
      </c>
      <c r="E1573" s="17">
        <v>511600</v>
      </c>
      <c r="F1573" s="17">
        <v>40</v>
      </c>
      <c r="G1573" s="18">
        <v>1.0000781921964188</v>
      </c>
      <c r="H1573" s="10">
        <v>2025</v>
      </c>
    </row>
    <row r="1574" spans="1:8" hidden="1" x14ac:dyDescent="0.3">
      <c r="A1574" s="4" t="s">
        <v>79</v>
      </c>
      <c r="B1574" s="16" t="s">
        <v>195</v>
      </c>
      <c r="C1574" s="15">
        <v>8</v>
      </c>
      <c r="D1574" s="17">
        <v>511560</v>
      </c>
      <c r="E1574" s="17">
        <v>511600</v>
      </c>
      <c r="F1574" s="17">
        <v>40</v>
      </c>
      <c r="G1574" s="18">
        <v>1.0000781921964188</v>
      </c>
      <c r="H1574" s="10">
        <v>2025</v>
      </c>
    </row>
    <row r="1575" spans="1:8" hidden="1" x14ac:dyDescent="0.3">
      <c r="A1575" s="4" t="s">
        <v>79</v>
      </c>
      <c r="B1575" s="16" t="s">
        <v>195</v>
      </c>
      <c r="C1575" s="15">
        <v>9</v>
      </c>
      <c r="D1575" s="17">
        <v>511560</v>
      </c>
      <c r="E1575" s="17">
        <v>511600</v>
      </c>
      <c r="F1575" s="17">
        <v>40</v>
      </c>
      <c r="G1575" s="18">
        <v>1.0000781921964188</v>
      </c>
      <c r="H1575" s="10">
        <v>2025</v>
      </c>
    </row>
    <row r="1576" spans="1:8" hidden="1" x14ac:dyDescent="0.3">
      <c r="A1576" s="4" t="s">
        <v>79</v>
      </c>
      <c r="B1576" s="16" t="s">
        <v>195</v>
      </c>
      <c r="C1576" s="15">
        <v>10</v>
      </c>
      <c r="D1576" s="17">
        <v>511560</v>
      </c>
      <c r="E1576" s="17">
        <v>511600</v>
      </c>
      <c r="F1576" s="17">
        <v>40</v>
      </c>
      <c r="G1576" s="18">
        <v>1.0000781921964188</v>
      </c>
      <c r="H1576" s="10">
        <v>2025</v>
      </c>
    </row>
    <row r="1577" spans="1:8" hidden="1" x14ac:dyDescent="0.3">
      <c r="A1577" s="4" t="s">
        <v>79</v>
      </c>
      <c r="B1577" s="16" t="s">
        <v>199</v>
      </c>
      <c r="C1577" s="15">
        <v>1</v>
      </c>
      <c r="D1577" s="17">
        <v>56225</v>
      </c>
      <c r="E1577" s="17">
        <v>0</v>
      </c>
      <c r="F1577" s="17">
        <v>-56225</v>
      </c>
      <c r="G1577" s="18">
        <v>0</v>
      </c>
      <c r="H1577" s="10">
        <v>2025</v>
      </c>
    </row>
    <row r="1578" spans="1:8" hidden="1" x14ac:dyDescent="0.3">
      <c r="A1578" s="4" t="s">
        <v>79</v>
      </c>
      <c r="B1578" s="16" t="s">
        <v>199</v>
      </c>
      <c r="C1578" s="15">
        <v>2</v>
      </c>
      <c r="D1578" s="17">
        <v>56225</v>
      </c>
      <c r="E1578" s="17">
        <v>64300</v>
      </c>
      <c r="F1578" s="17">
        <v>8075</v>
      </c>
      <c r="G1578" s="18">
        <v>1.143619386393953</v>
      </c>
      <c r="H1578" s="10">
        <v>2025</v>
      </c>
    </row>
    <row r="1579" spans="1:8" hidden="1" x14ac:dyDescent="0.3">
      <c r="A1579" s="4" t="s">
        <v>79</v>
      </c>
      <c r="B1579" s="16" t="s">
        <v>199</v>
      </c>
      <c r="C1579" s="15">
        <v>3</v>
      </c>
      <c r="D1579" s="17">
        <v>56225</v>
      </c>
      <c r="E1579" s="17">
        <v>102006</v>
      </c>
      <c r="F1579" s="17">
        <v>45781</v>
      </c>
      <c r="G1579" s="18">
        <v>1.8142463317029791</v>
      </c>
      <c r="H1579" s="10">
        <v>2025</v>
      </c>
    </row>
    <row r="1580" spans="1:8" hidden="1" x14ac:dyDescent="0.3">
      <c r="A1580" s="4" t="s">
        <v>79</v>
      </c>
      <c r="B1580" s="16" t="s">
        <v>199</v>
      </c>
      <c r="C1580" s="15">
        <v>4</v>
      </c>
      <c r="D1580" s="17">
        <v>56225</v>
      </c>
      <c r="E1580" s="17">
        <v>85300</v>
      </c>
      <c r="F1580" s="17">
        <v>29075</v>
      </c>
      <c r="G1580" s="18">
        <v>1.5171187194308582</v>
      </c>
      <c r="H1580" s="10">
        <v>2025</v>
      </c>
    </row>
    <row r="1581" spans="1:8" hidden="1" x14ac:dyDescent="0.3">
      <c r="A1581" s="4" t="s">
        <v>79</v>
      </c>
      <c r="B1581" s="16" t="s">
        <v>199</v>
      </c>
      <c r="C1581" s="15">
        <v>5</v>
      </c>
      <c r="D1581" s="17">
        <v>56225</v>
      </c>
      <c r="E1581" s="17">
        <v>85300</v>
      </c>
      <c r="F1581" s="17">
        <v>29075</v>
      </c>
      <c r="G1581" s="18">
        <v>1.5171187194308582</v>
      </c>
      <c r="H1581" s="10">
        <v>2025</v>
      </c>
    </row>
    <row r="1582" spans="1:8" hidden="1" x14ac:dyDescent="0.3">
      <c r="A1582" s="4" t="s">
        <v>79</v>
      </c>
      <c r="B1582" s="16" t="s">
        <v>199</v>
      </c>
      <c r="C1582" s="15">
        <v>6</v>
      </c>
      <c r="D1582" s="17">
        <v>153447</v>
      </c>
      <c r="E1582" s="17">
        <v>0</v>
      </c>
      <c r="F1582" s="17">
        <v>-153447</v>
      </c>
      <c r="G1582" s="18">
        <v>0</v>
      </c>
      <c r="H1582" s="10">
        <v>2025</v>
      </c>
    </row>
    <row r="1583" spans="1:8" hidden="1" x14ac:dyDescent="0.3">
      <c r="A1583" s="4" t="s">
        <v>79</v>
      </c>
      <c r="B1583" s="16" t="s">
        <v>199</v>
      </c>
      <c r="C1583" s="15">
        <v>7</v>
      </c>
      <c r="D1583" s="17">
        <v>56225</v>
      </c>
      <c r="E1583" s="17">
        <v>0</v>
      </c>
      <c r="F1583" s="17">
        <v>-56225</v>
      </c>
      <c r="G1583" s="18">
        <v>0</v>
      </c>
      <c r="H1583" s="10">
        <v>2025</v>
      </c>
    </row>
    <row r="1584" spans="1:8" hidden="1" x14ac:dyDescent="0.3">
      <c r="A1584" s="4" t="s">
        <v>79</v>
      </c>
      <c r="B1584" s="16" t="s">
        <v>199</v>
      </c>
      <c r="C1584" s="15">
        <v>8</v>
      </c>
      <c r="D1584" s="17">
        <v>56225</v>
      </c>
      <c r="E1584" s="17">
        <v>0</v>
      </c>
      <c r="F1584" s="17">
        <v>-56225</v>
      </c>
      <c r="G1584" s="18">
        <v>0</v>
      </c>
      <c r="H1584" s="10">
        <v>2025</v>
      </c>
    </row>
    <row r="1585" spans="1:8" hidden="1" x14ac:dyDescent="0.3">
      <c r="A1585" s="4" t="s">
        <v>79</v>
      </c>
      <c r="B1585" s="16" t="s">
        <v>199</v>
      </c>
      <c r="C1585" s="15">
        <v>9</v>
      </c>
      <c r="D1585" s="17">
        <v>56225</v>
      </c>
      <c r="E1585" s="17">
        <v>0</v>
      </c>
      <c r="F1585" s="17">
        <v>-56225</v>
      </c>
      <c r="G1585" s="18">
        <v>0</v>
      </c>
      <c r="H1585" s="10">
        <v>2025</v>
      </c>
    </row>
    <row r="1586" spans="1:8" hidden="1" x14ac:dyDescent="0.3">
      <c r="A1586" s="4" t="s">
        <v>79</v>
      </c>
      <c r="B1586" s="16" t="s">
        <v>199</v>
      </c>
      <c r="C1586" s="15">
        <v>10</v>
      </c>
      <c r="D1586" s="17">
        <v>56225</v>
      </c>
      <c r="E1586" s="17">
        <v>0</v>
      </c>
      <c r="F1586" s="17">
        <v>-56225</v>
      </c>
      <c r="G1586" s="18">
        <v>0</v>
      </c>
      <c r="H1586" s="10">
        <v>2025</v>
      </c>
    </row>
    <row r="1587" spans="1:8" hidden="1" x14ac:dyDescent="0.3">
      <c r="A1587" s="4" t="s">
        <v>79</v>
      </c>
      <c r="B1587" s="16" t="s">
        <v>211</v>
      </c>
      <c r="C1587" s="15">
        <v>3</v>
      </c>
      <c r="D1587" s="17">
        <v>0</v>
      </c>
      <c r="E1587" s="17">
        <v>202929</v>
      </c>
      <c r="F1587" s="17">
        <v>202929</v>
      </c>
      <c r="G1587" s="18">
        <v>0</v>
      </c>
      <c r="H1587" s="10">
        <v>2025</v>
      </c>
    </row>
    <row r="1588" spans="1:8" hidden="1" x14ac:dyDescent="0.3">
      <c r="A1588" s="4" t="s">
        <v>79</v>
      </c>
      <c r="B1588" s="16" t="s">
        <v>211</v>
      </c>
      <c r="C1588" s="15">
        <v>4</v>
      </c>
      <c r="D1588" s="17">
        <v>0</v>
      </c>
      <c r="E1588" s="17">
        <v>202740</v>
      </c>
      <c r="F1588" s="17">
        <v>202740</v>
      </c>
      <c r="G1588" s="18">
        <v>0</v>
      </c>
      <c r="H1588" s="10">
        <v>2025</v>
      </c>
    </row>
    <row r="1589" spans="1:8" hidden="1" x14ac:dyDescent="0.3">
      <c r="A1589" s="4" t="s">
        <v>79</v>
      </c>
      <c r="B1589" s="16" t="s">
        <v>200</v>
      </c>
      <c r="C1589" s="15">
        <v>2</v>
      </c>
      <c r="D1589" s="17">
        <v>4131844</v>
      </c>
      <c r="E1589" s="17">
        <v>4025219</v>
      </c>
      <c r="F1589" s="17">
        <v>-106625</v>
      </c>
      <c r="G1589" s="18">
        <v>0.97419433066688876</v>
      </c>
      <c r="H1589" s="10">
        <v>2025</v>
      </c>
    </row>
    <row r="1590" spans="1:8" hidden="1" x14ac:dyDescent="0.3">
      <c r="A1590" s="4" t="s">
        <v>79</v>
      </c>
      <c r="B1590" s="16" t="s">
        <v>200</v>
      </c>
      <c r="C1590" s="15">
        <v>3</v>
      </c>
      <c r="D1590" s="17">
        <v>4131844</v>
      </c>
      <c r="E1590" s="17">
        <v>4486986</v>
      </c>
      <c r="F1590" s="17">
        <v>355142</v>
      </c>
      <c r="G1590" s="18">
        <v>1.0859524222114871</v>
      </c>
      <c r="H1590" s="10">
        <v>2025</v>
      </c>
    </row>
    <row r="1591" spans="1:8" hidden="1" x14ac:dyDescent="0.3">
      <c r="A1591" s="4" t="s">
        <v>79</v>
      </c>
      <c r="B1591" s="16" t="s">
        <v>200</v>
      </c>
      <c r="C1591" s="15">
        <v>4</v>
      </c>
      <c r="D1591" s="17">
        <v>9009904</v>
      </c>
      <c r="E1591" s="17">
        <v>4715105</v>
      </c>
      <c r="F1591" s="17">
        <v>-4294799</v>
      </c>
      <c r="G1591" s="18">
        <v>0.52332466583439741</v>
      </c>
      <c r="H1591" s="10">
        <v>2025</v>
      </c>
    </row>
    <row r="1592" spans="1:8" hidden="1" x14ac:dyDescent="0.3">
      <c r="A1592" s="4" t="s">
        <v>79</v>
      </c>
      <c r="B1592" s="16" t="s">
        <v>200</v>
      </c>
      <c r="C1592" s="15">
        <v>5</v>
      </c>
      <c r="D1592" s="17">
        <v>9009904</v>
      </c>
      <c r="E1592" s="17">
        <v>9100162</v>
      </c>
      <c r="F1592" s="17">
        <v>90258</v>
      </c>
      <c r="G1592" s="18">
        <v>1.0100176428072929</v>
      </c>
      <c r="H1592" s="10">
        <v>2025</v>
      </c>
    </row>
    <row r="1593" spans="1:8" hidden="1" x14ac:dyDescent="0.3">
      <c r="A1593" s="4" t="s">
        <v>79</v>
      </c>
      <c r="B1593" s="16" t="s">
        <v>200</v>
      </c>
      <c r="C1593" s="15">
        <v>6</v>
      </c>
      <c r="D1593" s="17">
        <v>9009904</v>
      </c>
      <c r="E1593" s="17">
        <v>9100162</v>
      </c>
      <c r="F1593" s="17">
        <v>90258</v>
      </c>
      <c r="G1593" s="18">
        <v>1.0100176428072929</v>
      </c>
      <c r="H1593" s="10">
        <v>2025</v>
      </c>
    </row>
    <row r="1594" spans="1:8" hidden="1" x14ac:dyDescent="0.3">
      <c r="A1594" s="4" t="s">
        <v>79</v>
      </c>
      <c r="B1594" s="16" t="s">
        <v>200</v>
      </c>
      <c r="C1594" s="15">
        <v>7</v>
      </c>
      <c r="D1594" s="17">
        <v>9009904</v>
      </c>
      <c r="E1594" s="17">
        <v>9244504</v>
      </c>
      <c r="F1594" s="17">
        <v>234600</v>
      </c>
      <c r="G1594" s="18">
        <v>1.0260380132796088</v>
      </c>
      <c r="H1594" s="10">
        <v>2025</v>
      </c>
    </row>
    <row r="1595" spans="1:8" hidden="1" x14ac:dyDescent="0.3">
      <c r="A1595" s="4" t="s">
        <v>79</v>
      </c>
      <c r="B1595" s="16" t="s">
        <v>200</v>
      </c>
      <c r="C1595" s="15">
        <v>8</v>
      </c>
      <c r="D1595" s="17">
        <v>9009904</v>
      </c>
      <c r="E1595" s="17">
        <v>9100162</v>
      </c>
      <c r="F1595" s="17">
        <v>90258</v>
      </c>
      <c r="G1595" s="18">
        <v>1.0100176428072929</v>
      </c>
      <c r="H1595" s="10">
        <v>2025</v>
      </c>
    </row>
    <row r="1596" spans="1:8" hidden="1" x14ac:dyDescent="0.3">
      <c r="A1596" s="4" t="s">
        <v>79</v>
      </c>
      <c r="B1596" s="16" t="s">
        <v>200</v>
      </c>
      <c r="C1596" s="15">
        <v>9</v>
      </c>
      <c r="D1596" s="17">
        <v>9009904</v>
      </c>
      <c r="E1596" s="17">
        <v>9100162</v>
      </c>
      <c r="F1596" s="17">
        <v>90258</v>
      </c>
      <c r="G1596" s="18">
        <v>1.0100176428072929</v>
      </c>
      <c r="H1596" s="10">
        <v>2025</v>
      </c>
    </row>
    <row r="1597" spans="1:8" hidden="1" x14ac:dyDescent="0.3">
      <c r="A1597" s="4" t="s">
        <v>79</v>
      </c>
      <c r="B1597" s="16" t="s">
        <v>200</v>
      </c>
      <c r="C1597" s="15">
        <v>10</v>
      </c>
      <c r="D1597" s="17">
        <v>9009904</v>
      </c>
      <c r="E1597" s="17">
        <v>9100162</v>
      </c>
      <c r="F1597" s="17">
        <v>90258</v>
      </c>
      <c r="G1597" s="18">
        <v>1.0100176428072929</v>
      </c>
      <c r="H1597" s="10">
        <v>2025</v>
      </c>
    </row>
    <row r="1598" spans="1:8" hidden="1" x14ac:dyDescent="0.3">
      <c r="A1598" s="4" t="s">
        <v>79</v>
      </c>
      <c r="B1598" s="16" t="s">
        <v>201</v>
      </c>
      <c r="C1598" s="15">
        <v>2</v>
      </c>
      <c r="D1598" s="17">
        <v>357368</v>
      </c>
      <c r="E1598" s="17">
        <v>349184</v>
      </c>
      <c r="F1598" s="17">
        <v>-8184</v>
      </c>
      <c r="G1598" s="18">
        <v>0.97709923664122145</v>
      </c>
      <c r="H1598" s="10">
        <v>2025</v>
      </c>
    </row>
    <row r="1599" spans="1:8" hidden="1" x14ac:dyDescent="0.3">
      <c r="A1599" s="4" t="s">
        <v>79</v>
      </c>
      <c r="B1599" s="16" t="s">
        <v>201</v>
      </c>
      <c r="C1599" s="15">
        <v>3</v>
      </c>
      <c r="D1599" s="17">
        <v>357368</v>
      </c>
      <c r="E1599" s="17">
        <v>183400</v>
      </c>
      <c r="F1599" s="17">
        <v>-173968</v>
      </c>
      <c r="G1599" s="18">
        <v>0.51319648093841641</v>
      </c>
      <c r="H1599" s="10">
        <v>2025</v>
      </c>
    </row>
    <row r="1600" spans="1:8" hidden="1" x14ac:dyDescent="0.3">
      <c r="A1600" s="4" t="s">
        <v>79</v>
      </c>
      <c r="B1600" s="16" t="s">
        <v>201</v>
      </c>
      <c r="C1600" s="15">
        <v>4</v>
      </c>
      <c r="D1600" s="17">
        <v>807488</v>
      </c>
      <c r="E1600" s="17">
        <v>402380</v>
      </c>
      <c r="F1600" s="17">
        <v>-405108</v>
      </c>
      <c r="G1600" s="18">
        <v>0.49831081081081086</v>
      </c>
      <c r="H1600" s="10">
        <v>2025</v>
      </c>
    </row>
    <row r="1601" spans="1:8" hidden="1" x14ac:dyDescent="0.3">
      <c r="A1601" s="4" t="s">
        <v>79</v>
      </c>
      <c r="B1601" s="16" t="s">
        <v>201</v>
      </c>
      <c r="C1601" s="15">
        <v>5</v>
      </c>
      <c r="D1601" s="17">
        <v>807488</v>
      </c>
      <c r="E1601" s="17">
        <v>807488</v>
      </c>
      <c r="F1601" s="17">
        <v>0</v>
      </c>
      <c r="G1601" s="18">
        <v>1</v>
      </c>
      <c r="H1601" s="10">
        <v>2025</v>
      </c>
    </row>
    <row r="1602" spans="1:8" hidden="1" x14ac:dyDescent="0.3">
      <c r="A1602" s="4" t="s">
        <v>79</v>
      </c>
      <c r="B1602" s="16" t="s">
        <v>201</v>
      </c>
      <c r="C1602" s="15">
        <v>6</v>
      </c>
      <c r="D1602" s="17">
        <v>807488</v>
      </c>
      <c r="E1602" s="17">
        <v>807488</v>
      </c>
      <c r="F1602" s="17">
        <v>0</v>
      </c>
      <c r="G1602" s="18">
        <v>1</v>
      </c>
      <c r="H1602" s="10">
        <v>2025</v>
      </c>
    </row>
    <row r="1603" spans="1:8" hidden="1" x14ac:dyDescent="0.3">
      <c r="A1603" s="4" t="s">
        <v>79</v>
      </c>
      <c r="B1603" s="16" t="s">
        <v>201</v>
      </c>
      <c r="C1603" s="15">
        <v>7</v>
      </c>
      <c r="D1603" s="17">
        <v>807488</v>
      </c>
      <c r="E1603" s="17">
        <v>807488</v>
      </c>
      <c r="F1603" s="17">
        <v>0</v>
      </c>
      <c r="G1603" s="18">
        <v>1</v>
      </c>
      <c r="H1603" s="10">
        <v>2025</v>
      </c>
    </row>
    <row r="1604" spans="1:8" hidden="1" x14ac:dyDescent="0.3">
      <c r="A1604" s="4" t="s">
        <v>79</v>
      </c>
      <c r="B1604" s="16" t="s">
        <v>201</v>
      </c>
      <c r="C1604" s="15">
        <v>8</v>
      </c>
      <c r="D1604" s="17">
        <v>807488</v>
      </c>
      <c r="E1604" s="17">
        <v>807488</v>
      </c>
      <c r="F1604" s="17">
        <v>0</v>
      </c>
      <c r="G1604" s="18">
        <v>1</v>
      </c>
      <c r="H1604" s="10">
        <v>2025</v>
      </c>
    </row>
    <row r="1605" spans="1:8" hidden="1" x14ac:dyDescent="0.3">
      <c r="A1605" s="4" t="s">
        <v>79</v>
      </c>
      <c r="B1605" s="16" t="s">
        <v>201</v>
      </c>
      <c r="C1605" s="15">
        <v>9</v>
      </c>
      <c r="D1605" s="17">
        <v>807488</v>
      </c>
      <c r="E1605" s="17">
        <v>807488</v>
      </c>
      <c r="F1605" s="17">
        <v>0</v>
      </c>
      <c r="G1605" s="18">
        <v>1</v>
      </c>
      <c r="H1605" s="10">
        <v>2025</v>
      </c>
    </row>
    <row r="1606" spans="1:8" hidden="1" x14ac:dyDescent="0.3">
      <c r="A1606" s="4" t="s">
        <v>79</v>
      </c>
      <c r="B1606" s="16" t="s">
        <v>201</v>
      </c>
      <c r="C1606" s="15">
        <v>10</v>
      </c>
      <c r="D1606" s="17">
        <v>807488</v>
      </c>
      <c r="E1606" s="17">
        <v>807488</v>
      </c>
      <c r="F1606" s="17">
        <v>0</v>
      </c>
      <c r="G1606" s="18">
        <v>1</v>
      </c>
      <c r="H1606" s="10">
        <v>2025</v>
      </c>
    </row>
    <row r="1607" spans="1:8" hidden="1" x14ac:dyDescent="0.3">
      <c r="A1607" s="4" t="s">
        <v>79</v>
      </c>
      <c r="B1607" s="16" t="s">
        <v>202</v>
      </c>
      <c r="C1607" s="15">
        <v>2</v>
      </c>
      <c r="D1607" s="17">
        <v>109254</v>
      </c>
      <c r="E1607" s="17">
        <v>106752</v>
      </c>
      <c r="F1607" s="17">
        <v>-2502</v>
      </c>
      <c r="G1607" s="18">
        <v>0.97709923664122145</v>
      </c>
      <c r="H1607" s="10">
        <v>2025</v>
      </c>
    </row>
    <row r="1608" spans="1:8" hidden="1" x14ac:dyDescent="0.3">
      <c r="A1608" s="4" t="s">
        <v>79</v>
      </c>
      <c r="B1608" s="16" t="s">
        <v>202</v>
      </c>
      <c r="C1608" s="15">
        <v>3</v>
      </c>
      <c r="D1608" s="17">
        <v>109254</v>
      </c>
      <c r="E1608" s="17">
        <v>104800</v>
      </c>
      <c r="F1608" s="17">
        <v>-4454</v>
      </c>
      <c r="G1608" s="18">
        <v>0.95923261390887293</v>
      </c>
      <c r="H1608" s="10">
        <v>2025</v>
      </c>
    </row>
    <row r="1609" spans="1:8" hidden="1" x14ac:dyDescent="0.3">
      <c r="A1609" s="4" t="s">
        <v>79</v>
      </c>
      <c r="B1609" s="16" t="s">
        <v>202</v>
      </c>
      <c r="C1609" s="15">
        <v>4</v>
      </c>
      <c r="D1609" s="17">
        <v>246864</v>
      </c>
      <c r="E1609" s="17">
        <v>123015</v>
      </c>
      <c r="F1609" s="17">
        <v>-123849</v>
      </c>
      <c r="G1609" s="18">
        <v>0.49831081081081086</v>
      </c>
      <c r="H1609" s="10">
        <v>2025</v>
      </c>
    </row>
    <row r="1610" spans="1:8" hidden="1" x14ac:dyDescent="0.3">
      <c r="A1610" s="4" t="s">
        <v>79</v>
      </c>
      <c r="B1610" s="16" t="s">
        <v>202</v>
      </c>
      <c r="C1610" s="15">
        <v>5</v>
      </c>
      <c r="D1610" s="17">
        <v>246864</v>
      </c>
      <c r="E1610" s="17">
        <v>246864</v>
      </c>
      <c r="F1610" s="17">
        <v>0</v>
      </c>
      <c r="G1610" s="18">
        <v>1</v>
      </c>
      <c r="H1610" s="10">
        <v>2025</v>
      </c>
    </row>
    <row r="1611" spans="1:8" hidden="1" x14ac:dyDescent="0.3">
      <c r="A1611" s="4" t="s">
        <v>79</v>
      </c>
      <c r="B1611" s="16" t="s">
        <v>202</v>
      </c>
      <c r="C1611" s="15">
        <v>6</v>
      </c>
      <c r="D1611" s="17">
        <v>246864</v>
      </c>
      <c r="E1611" s="17">
        <v>246864</v>
      </c>
      <c r="F1611" s="17">
        <v>0</v>
      </c>
      <c r="G1611" s="18">
        <v>1</v>
      </c>
      <c r="H1611" s="10">
        <v>2025</v>
      </c>
    </row>
    <row r="1612" spans="1:8" hidden="1" x14ac:dyDescent="0.3">
      <c r="A1612" s="4" t="s">
        <v>79</v>
      </c>
      <c r="B1612" s="16" t="s">
        <v>202</v>
      </c>
      <c r="C1612" s="15">
        <v>7</v>
      </c>
      <c r="D1612" s="17">
        <v>246864</v>
      </c>
      <c r="E1612" s="17">
        <v>246864</v>
      </c>
      <c r="F1612" s="17">
        <v>0</v>
      </c>
      <c r="G1612" s="18">
        <v>1</v>
      </c>
      <c r="H1612" s="10">
        <v>2025</v>
      </c>
    </row>
    <row r="1613" spans="1:8" hidden="1" x14ac:dyDescent="0.3">
      <c r="A1613" s="4" t="s">
        <v>79</v>
      </c>
      <c r="B1613" s="16" t="s">
        <v>202</v>
      </c>
      <c r="C1613" s="15">
        <v>8</v>
      </c>
      <c r="D1613" s="17">
        <v>246864</v>
      </c>
      <c r="E1613" s="17">
        <v>246864</v>
      </c>
      <c r="F1613" s="17">
        <v>0</v>
      </c>
      <c r="G1613" s="18">
        <v>1</v>
      </c>
      <c r="H1613" s="10">
        <v>2025</v>
      </c>
    </row>
    <row r="1614" spans="1:8" hidden="1" x14ac:dyDescent="0.3">
      <c r="A1614" s="4" t="s">
        <v>79</v>
      </c>
      <c r="B1614" s="16" t="s">
        <v>202</v>
      </c>
      <c r="C1614" s="15">
        <v>9</v>
      </c>
      <c r="D1614" s="17">
        <v>246864</v>
      </c>
      <c r="E1614" s="17">
        <v>246864</v>
      </c>
      <c r="F1614" s="17">
        <v>0</v>
      </c>
      <c r="G1614" s="18">
        <v>1</v>
      </c>
      <c r="H1614" s="10">
        <v>2025</v>
      </c>
    </row>
    <row r="1615" spans="1:8" hidden="1" x14ac:dyDescent="0.3">
      <c r="A1615" s="4" t="s">
        <v>79</v>
      </c>
      <c r="B1615" s="16" t="s">
        <v>202</v>
      </c>
      <c r="C1615" s="15">
        <v>10</v>
      </c>
      <c r="D1615" s="17">
        <v>246864</v>
      </c>
      <c r="E1615" s="17">
        <v>246864</v>
      </c>
      <c r="F1615" s="17">
        <v>0</v>
      </c>
      <c r="G1615" s="18">
        <v>1</v>
      </c>
      <c r="H1615" s="10">
        <v>2025</v>
      </c>
    </row>
    <row r="1616" spans="1:8" hidden="1" x14ac:dyDescent="0.3">
      <c r="A1616" s="4" t="s">
        <v>79</v>
      </c>
      <c r="B1616" s="16" t="s">
        <v>203</v>
      </c>
      <c r="C1616" s="15">
        <v>2</v>
      </c>
      <c r="D1616" s="17">
        <v>500000</v>
      </c>
      <c r="E1616" s="17">
        <v>289158</v>
      </c>
      <c r="F1616" s="17">
        <v>-210842</v>
      </c>
      <c r="G1616" s="18">
        <v>0.57831600000000005</v>
      </c>
      <c r="H1616" s="10">
        <v>2025</v>
      </c>
    </row>
    <row r="1617" spans="1:8" hidden="1" x14ac:dyDescent="0.3">
      <c r="A1617" s="4" t="s">
        <v>79</v>
      </c>
      <c r="B1617" s="16" t="s">
        <v>203</v>
      </c>
      <c r="C1617" s="15">
        <v>4</v>
      </c>
      <c r="D1617" s="17">
        <v>0</v>
      </c>
      <c r="E1617" s="17">
        <v>421540</v>
      </c>
      <c r="F1617" s="17">
        <v>421540</v>
      </c>
      <c r="G1617" s="18">
        <v>0</v>
      </c>
      <c r="H1617" s="10">
        <v>2025</v>
      </c>
    </row>
    <row r="1618" spans="1:8" hidden="1" x14ac:dyDescent="0.3">
      <c r="A1618" s="4" t="s">
        <v>79</v>
      </c>
      <c r="B1618" s="16" t="s">
        <v>203</v>
      </c>
      <c r="C1618" s="15">
        <v>5</v>
      </c>
      <c r="D1618" s="17">
        <v>500000</v>
      </c>
      <c r="E1618" s="17">
        <v>0</v>
      </c>
      <c r="F1618" s="17">
        <v>-500000</v>
      </c>
      <c r="G1618" s="18">
        <v>0</v>
      </c>
      <c r="H1618" s="10">
        <v>2025</v>
      </c>
    </row>
    <row r="1619" spans="1:8" hidden="1" x14ac:dyDescent="0.3">
      <c r="A1619" s="4" t="s">
        <v>79</v>
      </c>
      <c r="B1619" s="16" t="s">
        <v>208</v>
      </c>
      <c r="C1619" s="15">
        <v>2</v>
      </c>
      <c r="D1619" s="17">
        <v>0</v>
      </c>
      <c r="E1619" s="17">
        <v>65790</v>
      </c>
      <c r="F1619" s="17">
        <v>65790</v>
      </c>
      <c r="G1619" s="18">
        <v>0</v>
      </c>
      <c r="H1619" s="10">
        <v>2025</v>
      </c>
    </row>
    <row r="1620" spans="1:8" hidden="1" x14ac:dyDescent="0.3">
      <c r="A1620" s="4" t="s">
        <v>79</v>
      </c>
      <c r="B1620" s="16" t="s">
        <v>185</v>
      </c>
      <c r="C1620" s="15">
        <v>11</v>
      </c>
      <c r="D1620" s="17">
        <v>176488</v>
      </c>
      <c r="E1620" s="17">
        <v>176488</v>
      </c>
      <c r="F1620" s="17">
        <v>0</v>
      </c>
      <c r="G1620" s="18">
        <v>1</v>
      </c>
      <c r="H1620" s="10">
        <v>2025</v>
      </c>
    </row>
    <row r="1621" spans="1:8" hidden="1" x14ac:dyDescent="0.3">
      <c r="A1621" s="4" t="s">
        <v>79</v>
      </c>
      <c r="B1621" s="16" t="s">
        <v>192</v>
      </c>
      <c r="C1621" s="15">
        <v>11</v>
      </c>
      <c r="D1621" s="17">
        <v>313330</v>
      </c>
      <c r="E1621" s="17">
        <v>312000</v>
      </c>
      <c r="F1621" s="17">
        <v>-1330</v>
      </c>
      <c r="G1621" s="18">
        <v>0.99575527399227659</v>
      </c>
      <c r="H1621" s="10">
        <v>2025</v>
      </c>
    </row>
    <row r="1622" spans="1:8" hidden="1" x14ac:dyDescent="0.3">
      <c r="A1622" s="4" t="s">
        <v>79</v>
      </c>
      <c r="B1622" s="16" t="s">
        <v>195</v>
      </c>
      <c r="C1622" s="15">
        <v>11</v>
      </c>
      <c r="D1622" s="17">
        <v>511560</v>
      </c>
      <c r="E1622" s="17">
        <v>511600</v>
      </c>
      <c r="F1622" s="17">
        <v>40</v>
      </c>
      <c r="G1622" s="18">
        <v>1.0000781921964188</v>
      </c>
      <c r="H1622" s="10">
        <v>2025</v>
      </c>
    </row>
    <row r="1623" spans="1:8" hidden="1" x14ac:dyDescent="0.3">
      <c r="A1623" s="4" t="s">
        <v>79</v>
      </c>
      <c r="B1623" s="16" t="s">
        <v>194</v>
      </c>
      <c r="C1623" s="15">
        <v>11</v>
      </c>
      <c r="D1623" s="17">
        <v>1534680</v>
      </c>
      <c r="E1623" s="17">
        <v>1534700</v>
      </c>
      <c r="F1623" s="17">
        <v>20</v>
      </c>
      <c r="G1623" s="18">
        <v>1.0000130320327365</v>
      </c>
      <c r="H1623" s="10">
        <v>2025</v>
      </c>
    </row>
    <row r="1624" spans="1:8" hidden="1" x14ac:dyDescent="0.3">
      <c r="A1624" s="4" t="s">
        <v>79</v>
      </c>
      <c r="B1624" s="16" t="s">
        <v>207</v>
      </c>
      <c r="C1624" s="15">
        <v>11</v>
      </c>
      <c r="D1624" s="17">
        <v>0</v>
      </c>
      <c r="E1624" s="17">
        <v>300000</v>
      </c>
      <c r="F1624" s="17">
        <v>300000</v>
      </c>
      <c r="G1624" s="18">
        <v>0</v>
      </c>
      <c r="H1624" s="10">
        <v>2025</v>
      </c>
    </row>
    <row r="1625" spans="1:8" hidden="1" x14ac:dyDescent="0.3">
      <c r="A1625" s="4" t="s">
        <v>79</v>
      </c>
      <c r="B1625" s="16" t="s">
        <v>186</v>
      </c>
      <c r="C1625" s="15">
        <v>11</v>
      </c>
      <c r="D1625" s="17">
        <v>1744419</v>
      </c>
      <c r="E1625" s="17">
        <v>1744420</v>
      </c>
      <c r="F1625" s="17">
        <v>1</v>
      </c>
      <c r="G1625" s="18">
        <v>1.0000005732567692</v>
      </c>
      <c r="H1625" s="10">
        <v>2025</v>
      </c>
    </row>
    <row r="1626" spans="1:8" hidden="1" x14ac:dyDescent="0.3">
      <c r="A1626" s="4" t="s">
        <v>79</v>
      </c>
      <c r="B1626" s="16" t="s">
        <v>201</v>
      </c>
      <c r="C1626" s="15">
        <v>11</v>
      </c>
      <c r="D1626" s="17">
        <v>807488</v>
      </c>
      <c r="E1626" s="17">
        <v>807488</v>
      </c>
      <c r="F1626" s="17">
        <v>0</v>
      </c>
      <c r="G1626" s="18">
        <v>1</v>
      </c>
      <c r="H1626" s="10">
        <v>2025</v>
      </c>
    </row>
    <row r="1627" spans="1:8" hidden="1" x14ac:dyDescent="0.3">
      <c r="A1627" s="4" t="s">
        <v>79</v>
      </c>
      <c r="B1627" s="16" t="s">
        <v>182</v>
      </c>
      <c r="C1627" s="15">
        <v>11</v>
      </c>
      <c r="D1627" s="17">
        <v>133836</v>
      </c>
      <c r="E1627" s="17">
        <v>131890</v>
      </c>
      <c r="F1627" s="17">
        <v>-1946</v>
      </c>
      <c r="G1627" s="18">
        <v>0.9854598164918259</v>
      </c>
      <c r="H1627" s="10">
        <v>2025</v>
      </c>
    </row>
    <row r="1628" spans="1:8" hidden="1" x14ac:dyDescent="0.3">
      <c r="A1628" s="4" t="s">
        <v>79</v>
      </c>
      <c r="B1628" s="16" t="s">
        <v>200</v>
      </c>
      <c r="C1628" s="15">
        <v>11</v>
      </c>
      <c r="D1628" s="17">
        <v>9009904</v>
      </c>
      <c r="E1628" s="17">
        <v>9254350</v>
      </c>
      <c r="F1628" s="17">
        <v>244446</v>
      </c>
      <c r="G1628" s="18">
        <v>1.0271308107167403</v>
      </c>
      <c r="H1628" s="10">
        <v>2025</v>
      </c>
    </row>
    <row r="1629" spans="1:8" hidden="1" x14ac:dyDescent="0.3">
      <c r="A1629" s="4" t="s">
        <v>79</v>
      </c>
      <c r="B1629" s="16" t="s">
        <v>183</v>
      </c>
      <c r="C1629" s="15">
        <v>11</v>
      </c>
      <c r="D1629" s="17">
        <v>1115303</v>
      </c>
      <c r="E1629" s="17">
        <v>1098645</v>
      </c>
      <c r="F1629" s="17">
        <v>-16658</v>
      </c>
      <c r="G1629" s="18">
        <v>0.98506414848700308</v>
      </c>
      <c r="H1629" s="10">
        <v>2025</v>
      </c>
    </row>
    <row r="1630" spans="1:8" hidden="1" x14ac:dyDescent="0.3">
      <c r="A1630" s="4" t="s">
        <v>79</v>
      </c>
      <c r="B1630" s="16" t="s">
        <v>206</v>
      </c>
      <c r="C1630" s="15">
        <v>11</v>
      </c>
      <c r="D1630" s="17">
        <v>600000</v>
      </c>
      <c r="E1630" s="17">
        <v>400000</v>
      </c>
      <c r="F1630" s="17">
        <v>-200000</v>
      </c>
      <c r="G1630" s="18">
        <v>0.66666666666666674</v>
      </c>
      <c r="H1630" s="10">
        <v>2025</v>
      </c>
    </row>
    <row r="1631" spans="1:8" hidden="1" x14ac:dyDescent="0.3">
      <c r="A1631" s="4" t="s">
        <v>79</v>
      </c>
      <c r="B1631" s="16" t="s">
        <v>177</v>
      </c>
      <c r="C1631" s="15">
        <v>11</v>
      </c>
      <c r="D1631" s="17">
        <v>12789000</v>
      </c>
      <c r="E1631" s="17">
        <v>12789000</v>
      </c>
      <c r="F1631" s="17">
        <v>0</v>
      </c>
      <c r="G1631" s="18">
        <v>1</v>
      </c>
      <c r="H1631" s="10">
        <v>2025</v>
      </c>
    </row>
    <row r="1632" spans="1:8" hidden="1" x14ac:dyDescent="0.3">
      <c r="A1632" s="4" t="s">
        <v>79</v>
      </c>
      <c r="B1632" s="16" t="s">
        <v>184</v>
      </c>
      <c r="C1632" s="15">
        <v>11</v>
      </c>
      <c r="D1632" s="17">
        <v>533301</v>
      </c>
      <c r="E1632" s="17">
        <v>533302</v>
      </c>
      <c r="F1632" s="17">
        <v>1</v>
      </c>
      <c r="G1632" s="18">
        <v>1.0000018751136788</v>
      </c>
      <c r="H1632" s="10">
        <v>2025</v>
      </c>
    </row>
    <row r="1633" spans="1:8" hidden="1" x14ac:dyDescent="0.3">
      <c r="A1633" s="4" t="s">
        <v>79</v>
      </c>
      <c r="B1633" s="16" t="s">
        <v>177</v>
      </c>
      <c r="C1633" s="15">
        <v>12</v>
      </c>
      <c r="D1633" s="17">
        <v>12789000</v>
      </c>
      <c r="E1633" s="17">
        <v>10303733</v>
      </c>
      <c r="F1633" s="17">
        <v>-2485267</v>
      </c>
      <c r="G1633" s="18">
        <v>0.80567151458284469</v>
      </c>
      <c r="H1633" s="10">
        <v>2025</v>
      </c>
    </row>
    <row r="1634" spans="1:8" hidden="1" x14ac:dyDescent="0.3">
      <c r="A1634" s="4" t="s">
        <v>79</v>
      </c>
      <c r="B1634" s="16" t="s">
        <v>179</v>
      </c>
      <c r="C1634" s="15">
        <v>12</v>
      </c>
      <c r="D1634" s="17">
        <v>0</v>
      </c>
      <c r="E1634" s="17">
        <v>95338</v>
      </c>
      <c r="F1634" s="17">
        <v>95338</v>
      </c>
      <c r="G1634" s="18">
        <v>0</v>
      </c>
      <c r="H1634" s="10">
        <v>2025</v>
      </c>
    </row>
    <row r="1635" spans="1:8" hidden="1" x14ac:dyDescent="0.3">
      <c r="A1635" s="4" t="s">
        <v>79</v>
      </c>
      <c r="B1635" s="16" t="s">
        <v>206</v>
      </c>
      <c r="C1635" s="15">
        <v>12</v>
      </c>
      <c r="D1635" s="17">
        <v>600000</v>
      </c>
      <c r="E1635" s="17">
        <v>353333</v>
      </c>
      <c r="F1635" s="17">
        <v>-246667</v>
      </c>
      <c r="G1635" s="18">
        <v>0.58888833333333335</v>
      </c>
      <c r="H1635" s="10">
        <v>2025</v>
      </c>
    </row>
    <row r="1636" spans="1:8" hidden="1" x14ac:dyDescent="0.3">
      <c r="A1636" s="4" t="s">
        <v>79</v>
      </c>
      <c r="B1636" s="16" t="s">
        <v>181</v>
      </c>
      <c r="C1636" s="15">
        <v>12</v>
      </c>
      <c r="D1636" s="17">
        <v>1115303</v>
      </c>
      <c r="E1636" s="17">
        <v>1196926</v>
      </c>
      <c r="F1636" s="17">
        <v>81623</v>
      </c>
      <c r="G1636" s="18">
        <v>1.0731845964728868</v>
      </c>
      <c r="H1636" s="10">
        <v>2025</v>
      </c>
    </row>
    <row r="1637" spans="1:8" hidden="1" x14ac:dyDescent="0.3">
      <c r="A1637" s="4" t="s">
        <v>79</v>
      </c>
      <c r="B1637" s="16" t="s">
        <v>182</v>
      </c>
      <c r="C1637" s="15">
        <v>12</v>
      </c>
      <c r="D1637" s="17">
        <v>133836</v>
      </c>
      <c r="E1637" s="17">
        <v>143056</v>
      </c>
      <c r="F1637" s="17">
        <v>9220</v>
      </c>
      <c r="G1637" s="18">
        <v>1.0688902836307124</v>
      </c>
      <c r="H1637" s="10">
        <v>2025</v>
      </c>
    </row>
    <row r="1638" spans="1:8" hidden="1" x14ac:dyDescent="0.3">
      <c r="A1638" s="4" t="s">
        <v>79</v>
      </c>
      <c r="B1638" s="16" t="s">
        <v>183</v>
      </c>
      <c r="C1638" s="15">
        <v>12</v>
      </c>
      <c r="D1638" s="17">
        <v>1115303</v>
      </c>
      <c r="E1638" s="17">
        <v>1193038</v>
      </c>
      <c r="F1638" s="17">
        <v>77735</v>
      </c>
      <c r="G1638" s="18">
        <v>1.0696985482868782</v>
      </c>
      <c r="H1638" s="10">
        <v>2025</v>
      </c>
    </row>
    <row r="1639" spans="1:8" hidden="1" x14ac:dyDescent="0.3">
      <c r="A1639" s="4" t="s">
        <v>79</v>
      </c>
      <c r="B1639" s="16" t="s">
        <v>184</v>
      </c>
      <c r="C1639" s="15">
        <v>12</v>
      </c>
      <c r="D1639" s="17">
        <v>533301</v>
      </c>
      <c r="E1639" s="17">
        <v>-1531506</v>
      </c>
      <c r="F1639" s="17">
        <v>-2064807</v>
      </c>
      <c r="G1639" s="18">
        <v>-2.871747849713389</v>
      </c>
      <c r="H1639" s="10">
        <v>2025</v>
      </c>
    </row>
    <row r="1640" spans="1:8" hidden="1" x14ac:dyDescent="0.3">
      <c r="A1640" s="4" t="s">
        <v>79</v>
      </c>
      <c r="B1640" s="16" t="s">
        <v>185</v>
      </c>
      <c r="C1640" s="15">
        <v>12</v>
      </c>
      <c r="D1640" s="17">
        <v>176488</v>
      </c>
      <c r="E1640" s="17">
        <v>175888</v>
      </c>
      <c r="F1640" s="17">
        <v>-600</v>
      </c>
      <c r="G1640" s="18">
        <v>0.99660033543357063</v>
      </c>
      <c r="H1640" s="10">
        <v>2025</v>
      </c>
    </row>
    <row r="1641" spans="1:8" hidden="1" x14ac:dyDescent="0.3">
      <c r="A1641" s="4" t="s">
        <v>79</v>
      </c>
      <c r="B1641" s="16" t="s">
        <v>186</v>
      </c>
      <c r="C1641" s="15">
        <v>12</v>
      </c>
      <c r="D1641" s="17">
        <v>1744419</v>
      </c>
      <c r="E1641" s="17">
        <v>-4648699</v>
      </c>
      <c r="F1641" s="17">
        <v>-6393118</v>
      </c>
      <c r="G1641" s="18">
        <v>-2.6648981695338105</v>
      </c>
      <c r="H1641" s="10">
        <v>2025</v>
      </c>
    </row>
    <row r="1642" spans="1:8" hidden="1" x14ac:dyDescent="0.3">
      <c r="A1642" s="4" t="s">
        <v>79</v>
      </c>
      <c r="B1642" s="16" t="s">
        <v>187</v>
      </c>
      <c r="C1642" s="15">
        <v>12</v>
      </c>
      <c r="D1642" s="17">
        <v>533301</v>
      </c>
      <c r="E1642" s="17">
        <v>582251</v>
      </c>
      <c r="F1642" s="17">
        <v>48950</v>
      </c>
      <c r="G1642" s="18">
        <v>1.0917868145756338</v>
      </c>
      <c r="H1642" s="10">
        <v>2025</v>
      </c>
    </row>
    <row r="1643" spans="1:8" hidden="1" x14ac:dyDescent="0.3">
      <c r="A1643" s="4" t="s">
        <v>79</v>
      </c>
      <c r="B1643" s="16" t="s">
        <v>188</v>
      </c>
      <c r="C1643" s="15">
        <v>12</v>
      </c>
      <c r="D1643" s="17">
        <v>166713</v>
      </c>
      <c r="E1643" s="17">
        <v>407877</v>
      </c>
      <c r="F1643" s="17">
        <v>241164</v>
      </c>
      <c r="G1643" s="18">
        <v>2.4465818502456318</v>
      </c>
      <c r="H1643" s="10">
        <v>2025</v>
      </c>
    </row>
    <row r="1644" spans="1:8" hidden="1" x14ac:dyDescent="0.3">
      <c r="A1644" s="4" t="s">
        <v>79</v>
      </c>
      <c r="B1644" s="16" t="s">
        <v>189</v>
      </c>
      <c r="C1644" s="15">
        <v>12</v>
      </c>
      <c r="D1644" s="17">
        <v>96291</v>
      </c>
      <c r="E1644" s="17">
        <v>0</v>
      </c>
      <c r="F1644" s="17">
        <v>-96291</v>
      </c>
      <c r="G1644" s="18">
        <v>0</v>
      </c>
      <c r="H1644" s="10">
        <v>2025</v>
      </c>
    </row>
    <row r="1645" spans="1:8" hidden="1" x14ac:dyDescent="0.3">
      <c r="A1645" s="4" t="s">
        <v>79</v>
      </c>
      <c r="B1645" s="16" t="s">
        <v>191</v>
      </c>
      <c r="C1645" s="15">
        <v>12</v>
      </c>
      <c r="D1645" s="17">
        <v>2000000</v>
      </c>
      <c r="E1645" s="17">
        <v>0</v>
      </c>
      <c r="F1645" s="17">
        <v>-2000000</v>
      </c>
      <c r="G1645" s="18">
        <v>0</v>
      </c>
      <c r="H1645" s="10">
        <v>2025</v>
      </c>
    </row>
    <row r="1646" spans="1:8" hidden="1" x14ac:dyDescent="0.3">
      <c r="A1646" s="4" t="s">
        <v>79</v>
      </c>
      <c r="B1646" s="16" t="s">
        <v>192</v>
      </c>
      <c r="C1646" s="15">
        <v>12</v>
      </c>
      <c r="D1646" s="17">
        <v>313330</v>
      </c>
      <c r="E1646" s="17">
        <v>232400</v>
      </c>
      <c r="F1646" s="17">
        <v>-80930</v>
      </c>
      <c r="G1646" s="18">
        <v>0.74171001819168292</v>
      </c>
      <c r="H1646" s="10">
        <v>2025</v>
      </c>
    </row>
    <row r="1647" spans="1:8" hidden="1" x14ac:dyDescent="0.3">
      <c r="A1647" s="4" t="s">
        <v>79</v>
      </c>
      <c r="B1647" s="16" t="s">
        <v>194</v>
      </c>
      <c r="C1647" s="15">
        <v>12</v>
      </c>
      <c r="D1647" s="17">
        <v>1534680</v>
      </c>
      <c r="E1647" s="17">
        <v>1529000</v>
      </c>
      <c r="F1647" s="17">
        <v>-5680</v>
      </c>
      <c r="G1647" s="18">
        <v>0.9962989027028436</v>
      </c>
      <c r="H1647" s="10">
        <v>2025</v>
      </c>
    </row>
    <row r="1648" spans="1:8" hidden="1" x14ac:dyDescent="0.3">
      <c r="A1648" s="4" t="s">
        <v>79</v>
      </c>
      <c r="B1648" s="16" t="s">
        <v>195</v>
      </c>
      <c r="C1648" s="15">
        <v>12</v>
      </c>
      <c r="D1648" s="17">
        <v>511560</v>
      </c>
      <c r="E1648" s="17">
        <v>506500</v>
      </c>
      <c r="F1648" s="17">
        <v>-5060</v>
      </c>
      <c r="G1648" s="18">
        <v>0.99010868715302214</v>
      </c>
      <c r="H1648" s="10">
        <v>2025</v>
      </c>
    </row>
    <row r="1649" spans="1:8" hidden="1" x14ac:dyDescent="0.3">
      <c r="A1649" s="4" t="s">
        <v>79</v>
      </c>
      <c r="B1649" s="16" t="s">
        <v>199</v>
      </c>
      <c r="C1649" s="15">
        <v>12</v>
      </c>
      <c r="D1649" s="17">
        <v>56225</v>
      </c>
      <c r="E1649" s="17">
        <v>0</v>
      </c>
      <c r="F1649" s="17">
        <v>-56225</v>
      </c>
      <c r="G1649" s="18">
        <v>0</v>
      </c>
      <c r="H1649" s="10">
        <v>2025</v>
      </c>
    </row>
    <row r="1650" spans="1:8" hidden="1" x14ac:dyDescent="0.3">
      <c r="A1650" s="4" t="s">
        <v>79</v>
      </c>
      <c r="B1650" s="16" t="s">
        <v>200</v>
      </c>
      <c r="C1650" s="15">
        <v>12</v>
      </c>
      <c r="D1650" s="17">
        <v>9009904</v>
      </c>
      <c r="E1650" s="17">
        <v>9300915</v>
      </c>
      <c r="F1650" s="17">
        <v>291011</v>
      </c>
      <c r="G1650" s="18">
        <v>1.0322990122869233</v>
      </c>
      <c r="H1650" s="10">
        <v>2025</v>
      </c>
    </row>
    <row r="1651" spans="1:8" hidden="1" x14ac:dyDescent="0.3">
      <c r="A1651" s="4" t="s">
        <v>79</v>
      </c>
      <c r="B1651" s="16" t="s">
        <v>201</v>
      </c>
      <c r="C1651" s="15">
        <v>12</v>
      </c>
      <c r="D1651" s="17">
        <v>807488</v>
      </c>
      <c r="E1651" s="17">
        <v>-1838880</v>
      </c>
      <c r="F1651" s="17">
        <v>-2646368</v>
      </c>
      <c r="G1651" s="18">
        <v>-2.2772846159942937</v>
      </c>
      <c r="H1651" s="10">
        <v>2025</v>
      </c>
    </row>
    <row r="1652" spans="1:8" hidden="1" x14ac:dyDescent="0.3">
      <c r="A1652" s="4" t="s">
        <v>79</v>
      </c>
      <c r="B1652" s="16" t="s">
        <v>202</v>
      </c>
      <c r="C1652" s="15">
        <v>12</v>
      </c>
      <c r="D1652" s="17">
        <v>246864</v>
      </c>
      <c r="E1652" s="17">
        <v>-12515</v>
      </c>
      <c r="F1652" s="17">
        <v>-259379</v>
      </c>
      <c r="G1652" s="18">
        <v>-5.0695929742692332E-2</v>
      </c>
      <c r="H1652" s="10">
        <v>2025</v>
      </c>
    </row>
    <row r="1653" spans="1:8" hidden="1" x14ac:dyDescent="0.3">
      <c r="A1653" s="16" t="s">
        <v>64</v>
      </c>
      <c r="B1653" s="16" t="s">
        <v>181</v>
      </c>
      <c r="C1653" s="15">
        <v>11</v>
      </c>
      <c r="D1653" s="17">
        <v>393045</v>
      </c>
      <c r="E1653" s="17">
        <v>198228</v>
      </c>
      <c r="F1653" s="17">
        <v>-194817</v>
      </c>
      <c r="G1653" s="18">
        <v>0.50433919780177849</v>
      </c>
      <c r="H1653" s="10">
        <v>2025</v>
      </c>
    </row>
    <row r="1654" spans="1:8" hidden="1" x14ac:dyDescent="0.3">
      <c r="A1654" s="16" t="s">
        <v>64</v>
      </c>
      <c r="B1654" s="16" t="s">
        <v>189</v>
      </c>
      <c r="C1654" s="15">
        <v>11</v>
      </c>
      <c r="D1654" s="17">
        <v>33542</v>
      </c>
      <c r="E1654" s="17">
        <v>0</v>
      </c>
      <c r="F1654" s="17">
        <v>-33542</v>
      </c>
      <c r="G1654" s="18">
        <v>0</v>
      </c>
      <c r="H1654" s="10">
        <v>2025</v>
      </c>
    </row>
    <row r="1655" spans="1:8" hidden="1" x14ac:dyDescent="0.3">
      <c r="A1655" s="16" t="s">
        <v>64</v>
      </c>
      <c r="B1655" s="16" t="s">
        <v>199</v>
      </c>
      <c r="C1655" s="15">
        <v>11</v>
      </c>
      <c r="D1655" s="17">
        <v>14056</v>
      </c>
      <c r="E1655" s="17">
        <v>0</v>
      </c>
      <c r="F1655" s="17">
        <v>-14056</v>
      </c>
      <c r="G1655" s="18">
        <v>0</v>
      </c>
      <c r="H1655" s="10">
        <v>2025</v>
      </c>
    </row>
    <row r="1656" spans="1:8" hidden="1" x14ac:dyDescent="0.3">
      <c r="A1656" s="16" t="s">
        <v>64</v>
      </c>
      <c r="B1656" s="16" t="s">
        <v>205</v>
      </c>
      <c r="C1656" s="15">
        <v>11</v>
      </c>
      <c r="D1656" s="17">
        <v>718436</v>
      </c>
      <c r="E1656" s="17">
        <v>482691</v>
      </c>
      <c r="F1656" s="17">
        <v>-235745</v>
      </c>
      <c r="G1656" s="18">
        <v>0.67186360371696296</v>
      </c>
      <c r="H1656" s="10">
        <v>2025</v>
      </c>
    </row>
    <row r="1657" spans="1:8" hidden="1" x14ac:dyDescent="0.3">
      <c r="A1657" s="16" t="s">
        <v>64</v>
      </c>
      <c r="B1657" s="16" t="s">
        <v>182</v>
      </c>
      <c r="C1657" s="15">
        <v>11</v>
      </c>
      <c r="D1657" s="17">
        <v>47165</v>
      </c>
      <c r="E1657" s="17">
        <v>23797</v>
      </c>
      <c r="F1657" s="17">
        <v>-23368</v>
      </c>
      <c r="G1657" s="18">
        <v>0.50454786388211603</v>
      </c>
      <c r="H1657" s="10">
        <v>2025</v>
      </c>
    </row>
    <row r="1658" spans="1:8" hidden="1" x14ac:dyDescent="0.3">
      <c r="A1658" s="16" t="s">
        <v>64</v>
      </c>
      <c r="B1658" s="16" t="s">
        <v>187</v>
      </c>
      <c r="C1658" s="15">
        <v>11</v>
      </c>
      <c r="D1658" s="17">
        <v>150120</v>
      </c>
      <c r="E1658" s="17">
        <v>70765</v>
      </c>
      <c r="F1658" s="17">
        <v>-79355</v>
      </c>
      <c r="G1658" s="18">
        <v>0.47138955502264857</v>
      </c>
      <c r="H1658" s="10">
        <v>2025</v>
      </c>
    </row>
    <row r="1659" spans="1:8" hidden="1" x14ac:dyDescent="0.3">
      <c r="A1659" s="16" t="s">
        <v>64</v>
      </c>
      <c r="B1659" s="16" t="s">
        <v>202</v>
      </c>
      <c r="C1659" s="15">
        <v>11</v>
      </c>
      <c r="D1659" s="17">
        <v>0</v>
      </c>
      <c r="E1659" s="17">
        <v>281405</v>
      </c>
      <c r="F1659" s="17">
        <v>281405</v>
      </c>
      <c r="G1659" s="18">
        <v>0</v>
      </c>
      <c r="H1659" s="10">
        <v>2025</v>
      </c>
    </row>
    <row r="1660" spans="1:8" hidden="1" x14ac:dyDescent="0.3">
      <c r="A1660" s="16" t="s">
        <v>64</v>
      </c>
      <c r="B1660" s="16" t="s">
        <v>185</v>
      </c>
      <c r="C1660" s="15">
        <v>11</v>
      </c>
      <c r="D1660" s="17">
        <v>59594</v>
      </c>
      <c r="E1660" s="17">
        <v>30080</v>
      </c>
      <c r="F1660" s="17">
        <v>-29514</v>
      </c>
      <c r="G1660" s="18">
        <v>0.50474880021478674</v>
      </c>
      <c r="H1660" s="10">
        <v>2025</v>
      </c>
    </row>
    <row r="1661" spans="1:8" hidden="1" x14ac:dyDescent="0.3">
      <c r="A1661" s="16" t="s">
        <v>64</v>
      </c>
      <c r="B1661" s="16" t="s">
        <v>192</v>
      </c>
      <c r="C1661" s="15">
        <v>11</v>
      </c>
      <c r="D1661" s="17">
        <v>105369</v>
      </c>
      <c r="E1661" s="17">
        <v>53200</v>
      </c>
      <c r="F1661" s="17">
        <v>-52169</v>
      </c>
      <c r="G1661" s="18">
        <v>0.50489233076141937</v>
      </c>
      <c r="H1661" s="10">
        <v>2025</v>
      </c>
    </row>
    <row r="1662" spans="1:8" hidden="1" x14ac:dyDescent="0.3">
      <c r="A1662" s="16" t="s">
        <v>64</v>
      </c>
      <c r="B1662" s="16" t="s">
        <v>195</v>
      </c>
      <c r="C1662" s="15">
        <v>11</v>
      </c>
      <c r="D1662" s="17">
        <v>172737</v>
      </c>
      <c r="E1662" s="17">
        <v>87200</v>
      </c>
      <c r="F1662" s="17">
        <v>-85537</v>
      </c>
      <c r="G1662" s="18">
        <v>0.50481367628244089</v>
      </c>
      <c r="H1662" s="10">
        <v>2025</v>
      </c>
    </row>
    <row r="1663" spans="1:8" hidden="1" x14ac:dyDescent="0.3">
      <c r="A1663" s="16" t="s">
        <v>64</v>
      </c>
      <c r="B1663" s="16" t="s">
        <v>194</v>
      </c>
      <c r="C1663" s="15">
        <v>11</v>
      </c>
      <c r="D1663" s="17">
        <v>518212</v>
      </c>
      <c r="E1663" s="17">
        <v>261600</v>
      </c>
      <c r="F1663" s="17">
        <v>-256612</v>
      </c>
      <c r="G1663" s="18">
        <v>0.50481270213734919</v>
      </c>
      <c r="H1663" s="10">
        <v>2025</v>
      </c>
    </row>
    <row r="1664" spans="1:8" hidden="1" x14ac:dyDescent="0.3">
      <c r="A1664" s="16" t="s">
        <v>64</v>
      </c>
      <c r="B1664" s="16" t="s">
        <v>186</v>
      </c>
      <c r="C1664" s="15">
        <v>11</v>
      </c>
      <c r="D1664" s="17">
        <v>491040</v>
      </c>
      <c r="E1664" s="17">
        <v>231471</v>
      </c>
      <c r="F1664" s="17">
        <v>-259569</v>
      </c>
      <c r="G1664" s="18">
        <v>0.47138929618768333</v>
      </c>
      <c r="H1664" s="10">
        <v>2025</v>
      </c>
    </row>
    <row r="1665" spans="1:8" hidden="1" x14ac:dyDescent="0.3">
      <c r="A1665" s="16" t="s">
        <v>64</v>
      </c>
      <c r="B1665" s="16" t="s">
        <v>201</v>
      </c>
      <c r="C1665" s="15">
        <v>11</v>
      </c>
      <c r="D1665" s="17">
        <v>0</v>
      </c>
      <c r="E1665" s="17">
        <v>359755</v>
      </c>
      <c r="F1665" s="17">
        <v>359755</v>
      </c>
      <c r="G1665" s="18">
        <v>0</v>
      </c>
      <c r="H1665" s="10">
        <v>2025</v>
      </c>
    </row>
    <row r="1666" spans="1:8" hidden="1" x14ac:dyDescent="0.3">
      <c r="A1666" s="16" t="s">
        <v>64</v>
      </c>
      <c r="B1666" s="16" t="s">
        <v>200</v>
      </c>
      <c r="C1666" s="15">
        <v>11</v>
      </c>
      <c r="D1666" s="17">
        <v>0</v>
      </c>
      <c r="E1666" s="17">
        <v>3584603</v>
      </c>
      <c r="F1666" s="17">
        <v>3584603</v>
      </c>
      <c r="G1666" s="18">
        <v>0</v>
      </c>
      <c r="H1666" s="10">
        <v>2025</v>
      </c>
    </row>
    <row r="1667" spans="1:8" hidden="1" x14ac:dyDescent="0.3">
      <c r="A1667" s="16" t="s">
        <v>64</v>
      </c>
      <c r="B1667" s="16" t="s">
        <v>183</v>
      </c>
      <c r="C1667" s="15">
        <v>11</v>
      </c>
      <c r="D1667" s="17">
        <v>393045</v>
      </c>
      <c r="E1667" s="17">
        <v>198228</v>
      </c>
      <c r="F1667" s="17">
        <v>-194817</v>
      </c>
      <c r="G1667" s="18">
        <v>0.50433919780177849</v>
      </c>
      <c r="H1667" s="10">
        <v>2025</v>
      </c>
    </row>
    <row r="1668" spans="1:8" hidden="1" x14ac:dyDescent="0.3">
      <c r="A1668" s="16" t="s">
        <v>64</v>
      </c>
      <c r="B1668" s="16" t="s">
        <v>206</v>
      </c>
      <c r="C1668" s="15">
        <v>11</v>
      </c>
      <c r="D1668" s="17">
        <v>400000</v>
      </c>
      <c r="E1668" s="17">
        <v>200000</v>
      </c>
      <c r="F1668" s="17">
        <v>-200000</v>
      </c>
      <c r="G1668" s="18">
        <v>0.5</v>
      </c>
      <c r="H1668" s="10">
        <v>2025</v>
      </c>
    </row>
    <row r="1669" spans="1:8" hidden="1" x14ac:dyDescent="0.3">
      <c r="A1669" s="16" t="s">
        <v>64</v>
      </c>
      <c r="B1669" s="16" t="s">
        <v>177</v>
      </c>
      <c r="C1669" s="15">
        <v>11</v>
      </c>
      <c r="D1669" s="17">
        <v>3600000</v>
      </c>
      <c r="E1669" s="17">
        <v>1697000</v>
      </c>
      <c r="F1669" s="17">
        <v>-1903000</v>
      </c>
      <c r="G1669" s="18">
        <v>0.47138888888888891</v>
      </c>
      <c r="H1669" s="10">
        <v>2025</v>
      </c>
    </row>
    <row r="1670" spans="1:8" hidden="1" x14ac:dyDescent="0.3">
      <c r="A1670" s="16" t="s">
        <v>64</v>
      </c>
      <c r="B1670" s="16" t="s">
        <v>177</v>
      </c>
      <c r="C1670" s="15">
        <v>1</v>
      </c>
      <c r="D1670" s="17">
        <v>2180000</v>
      </c>
      <c r="E1670" s="17">
        <v>944667</v>
      </c>
      <c r="F1670" s="17">
        <v>-1235333</v>
      </c>
      <c r="G1670" s="18">
        <v>0.43333348623853213</v>
      </c>
      <c r="H1670" s="10">
        <v>2025</v>
      </c>
    </row>
    <row r="1671" spans="1:8" hidden="1" x14ac:dyDescent="0.3">
      <c r="A1671" s="16" t="s">
        <v>64</v>
      </c>
      <c r="B1671" s="16" t="s">
        <v>177</v>
      </c>
      <c r="C1671" s="15">
        <v>2</v>
      </c>
      <c r="D1671" s="17">
        <v>2500000</v>
      </c>
      <c r="E1671" s="17">
        <v>2500000</v>
      </c>
      <c r="F1671" s="17">
        <v>0</v>
      </c>
      <c r="G1671" s="18">
        <v>1</v>
      </c>
      <c r="H1671" s="10">
        <v>2025</v>
      </c>
    </row>
    <row r="1672" spans="1:8" hidden="1" x14ac:dyDescent="0.3">
      <c r="A1672" s="16" t="s">
        <v>64</v>
      </c>
      <c r="B1672" s="16" t="s">
        <v>177</v>
      </c>
      <c r="C1672" s="15">
        <v>3</v>
      </c>
      <c r="D1672" s="17">
        <v>5872000</v>
      </c>
      <c r="E1672" s="17">
        <v>2500000</v>
      </c>
      <c r="F1672" s="17">
        <v>-3372000</v>
      </c>
      <c r="G1672" s="18">
        <v>0.42574931880108996</v>
      </c>
      <c r="H1672" s="10">
        <v>2025</v>
      </c>
    </row>
    <row r="1673" spans="1:8" hidden="1" x14ac:dyDescent="0.3">
      <c r="A1673" s="4" t="s">
        <v>64</v>
      </c>
      <c r="B1673" s="16" t="s">
        <v>177</v>
      </c>
      <c r="C1673" s="15">
        <v>4</v>
      </c>
      <c r="D1673" s="17">
        <v>3372000</v>
      </c>
      <c r="E1673" s="17">
        <v>2500000</v>
      </c>
      <c r="F1673" s="17">
        <v>-872000</v>
      </c>
      <c r="G1673" s="18">
        <v>0.74139976275207597</v>
      </c>
      <c r="H1673" s="10">
        <v>2025</v>
      </c>
    </row>
    <row r="1674" spans="1:8" hidden="1" x14ac:dyDescent="0.3">
      <c r="A1674" s="4" t="s">
        <v>64</v>
      </c>
      <c r="B1674" s="16" t="s">
        <v>177</v>
      </c>
      <c r="C1674" s="15">
        <v>5</v>
      </c>
      <c r="D1674" s="17">
        <v>3372000</v>
      </c>
      <c r="E1674" s="17">
        <v>0</v>
      </c>
      <c r="F1674" s="17">
        <v>-3372000</v>
      </c>
      <c r="G1674" s="18">
        <v>0</v>
      </c>
      <c r="H1674" s="10">
        <v>2025</v>
      </c>
    </row>
    <row r="1675" spans="1:8" hidden="1" x14ac:dyDescent="0.3">
      <c r="A1675" s="4" t="s">
        <v>64</v>
      </c>
      <c r="B1675" s="16" t="s">
        <v>177</v>
      </c>
      <c r="C1675" s="15">
        <v>6</v>
      </c>
      <c r="D1675" s="17">
        <v>3372000</v>
      </c>
      <c r="E1675" s="17">
        <v>0</v>
      </c>
      <c r="F1675" s="17">
        <v>-3372000</v>
      </c>
      <c r="G1675" s="18">
        <v>0</v>
      </c>
      <c r="H1675" s="10">
        <v>2025</v>
      </c>
    </row>
    <row r="1676" spans="1:8" hidden="1" x14ac:dyDescent="0.3">
      <c r="A1676" s="16" t="s">
        <v>64</v>
      </c>
      <c r="B1676" s="16" t="s">
        <v>177</v>
      </c>
      <c r="C1676" s="15">
        <v>7</v>
      </c>
      <c r="D1676" s="17">
        <v>3600000</v>
      </c>
      <c r="E1676" s="17">
        <v>1697000</v>
      </c>
      <c r="F1676" s="17">
        <v>-1903000</v>
      </c>
      <c r="G1676" s="18">
        <v>0.47138888888888891</v>
      </c>
      <c r="H1676" s="10">
        <v>2025</v>
      </c>
    </row>
    <row r="1677" spans="1:8" hidden="1" x14ac:dyDescent="0.3">
      <c r="A1677" s="16" t="s">
        <v>64</v>
      </c>
      <c r="B1677" s="16" t="s">
        <v>177</v>
      </c>
      <c r="C1677" s="15">
        <v>8</v>
      </c>
      <c r="D1677" s="17">
        <v>3600000</v>
      </c>
      <c r="E1677" s="17">
        <v>1697000</v>
      </c>
      <c r="F1677" s="17">
        <v>-1903000</v>
      </c>
      <c r="G1677" s="18">
        <v>0.47138888888888891</v>
      </c>
      <c r="H1677" s="10">
        <v>2025</v>
      </c>
    </row>
    <row r="1678" spans="1:8" hidden="1" x14ac:dyDescent="0.3">
      <c r="A1678" s="16" t="s">
        <v>64</v>
      </c>
      <c r="B1678" s="16" t="s">
        <v>177</v>
      </c>
      <c r="C1678" s="15">
        <v>9</v>
      </c>
      <c r="D1678" s="17">
        <v>3600000</v>
      </c>
      <c r="E1678" s="17">
        <v>1697000</v>
      </c>
      <c r="F1678" s="17">
        <v>-1903000</v>
      </c>
      <c r="G1678" s="18">
        <v>0.47138888888888891</v>
      </c>
      <c r="H1678" s="10">
        <v>2025</v>
      </c>
    </row>
    <row r="1679" spans="1:8" hidden="1" x14ac:dyDescent="0.3">
      <c r="A1679" s="16" t="s">
        <v>64</v>
      </c>
      <c r="B1679" s="16" t="s">
        <v>177</v>
      </c>
      <c r="C1679" s="15">
        <v>10</v>
      </c>
      <c r="D1679" s="17">
        <v>3600000</v>
      </c>
      <c r="E1679" s="17">
        <v>1697000</v>
      </c>
      <c r="F1679" s="17">
        <v>-1903000</v>
      </c>
      <c r="G1679" s="18">
        <v>0.47138888888888891</v>
      </c>
      <c r="H1679" s="10">
        <v>2025</v>
      </c>
    </row>
    <row r="1680" spans="1:8" hidden="1" x14ac:dyDescent="0.3">
      <c r="A1680" s="16" t="s">
        <v>64</v>
      </c>
      <c r="B1680" s="16" t="s">
        <v>205</v>
      </c>
      <c r="C1680" s="15">
        <v>1</v>
      </c>
      <c r="D1680" s="17">
        <v>37633</v>
      </c>
      <c r="E1680" s="17">
        <v>40283</v>
      </c>
      <c r="F1680" s="17">
        <v>2650</v>
      </c>
      <c r="G1680" s="18">
        <v>1.0704169213190551</v>
      </c>
      <c r="H1680" s="10">
        <v>2025</v>
      </c>
    </row>
    <row r="1681" spans="1:8" hidden="1" x14ac:dyDescent="0.3">
      <c r="A1681" s="16" t="s">
        <v>64</v>
      </c>
      <c r="B1681" s="16" t="s">
        <v>205</v>
      </c>
      <c r="C1681" s="15">
        <v>2</v>
      </c>
      <c r="D1681" s="17">
        <v>220939</v>
      </c>
      <c r="E1681" s="17">
        <v>226294</v>
      </c>
      <c r="F1681" s="17">
        <v>5355</v>
      </c>
      <c r="G1681" s="18">
        <v>1.0242374592081978</v>
      </c>
      <c r="H1681" s="10">
        <v>2025</v>
      </c>
    </row>
    <row r="1682" spans="1:8" hidden="1" x14ac:dyDescent="0.3">
      <c r="A1682" s="16" t="s">
        <v>64</v>
      </c>
      <c r="B1682" s="16" t="s">
        <v>205</v>
      </c>
      <c r="C1682" s="15">
        <v>3</v>
      </c>
      <c r="D1682" s="17">
        <v>888777</v>
      </c>
      <c r="E1682" s="17">
        <v>0</v>
      </c>
      <c r="F1682" s="17">
        <v>-888777</v>
      </c>
      <c r="G1682" s="18">
        <v>0</v>
      </c>
      <c r="H1682" s="10">
        <v>2025</v>
      </c>
    </row>
    <row r="1683" spans="1:8" hidden="1" x14ac:dyDescent="0.3">
      <c r="A1683" s="16" t="s">
        <v>64</v>
      </c>
      <c r="B1683" s="16" t="s">
        <v>205</v>
      </c>
      <c r="C1683" s="15">
        <v>4</v>
      </c>
      <c r="D1683" s="17">
        <v>62539</v>
      </c>
      <c r="E1683" s="17">
        <v>0</v>
      </c>
      <c r="F1683" s="17">
        <v>-62539</v>
      </c>
      <c r="G1683" s="18">
        <v>0</v>
      </c>
      <c r="H1683" s="10">
        <v>2025</v>
      </c>
    </row>
    <row r="1684" spans="1:8" hidden="1" x14ac:dyDescent="0.3">
      <c r="A1684" s="16" t="s">
        <v>64</v>
      </c>
      <c r="B1684" s="16" t="s">
        <v>205</v>
      </c>
      <c r="C1684" s="15">
        <v>5</v>
      </c>
      <c r="D1684" s="17">
        <v>229582</v>
      </c>
      <c r="E1684" s="17">
        <v>0</v>
      </c>
      <c r="F1684" s="17">
        <v>-229582</v>
      </c>
      <c r="G1684" s="18">
        <v>0</v>
      </c>
      <c r="H1684" s="10">
        <v>2025</v>
      </c>
    </row>
    <row r="1685" spans="1:8" hidden="1" x14ac:dyDescent="0.3">
      <c r="A1685" s="16" t="s">
        <v>64</v>
      </c>
      <c r="B1685" s="16" t="s">
        <v>205</v>
      </c>
      <c r="C1685" s="15">
        <v>6</v>
      </c>
      <c r="D1685" s="17">
        <v>554945</v>
      </c>
      <c r="E1685" s="17">
        <v>0</v>
      </c>
      <c r="F1685" s="17">
        <v>-554945</v>
      </c>
      <c r="G1685" s="18">
        <v>0</v>
      </c>
      <c r="H1685" s="10">
        <v>2025</v>
      </c>
    </row>
    <row r="1686" spans="1:8" hidden="1" x14ac:dyDescent="0.3">
      <c r="A1686" s="16" t="s">
        <v>64</v>
      </c>
      <c r="B1686" s="16" t="s">
        <v>205</v>
      </c>
      <c r="C1686" s="15">
        <v>7</v>
      </c>
      <c r="D1686" s="17">
        <v>73540</v>
      </c>
      <c r="E1686" s="17">
        <v>672636</v>
      </c>
      <c r="F1686" s="17">
        <v>599096</v>
      </c>
      <c r="G1686" s="18">
        <v>9.1465324993200969</v>
      </c>
      <c r="H1686" s="10">
        <v>2025</v>
      </c>
    </row>
    <row r="1687" spans="1:8" hidden="1" x14ac:dyDescent="0.3">
      <c r="A1687" s="16" t="s">
        <v>64</v>
      </c>
      <c r="B1687" s="16" t="s">
        <v>205</v>
      </c>
      <c r="C1687" s="15">
        <v>8</v>
      </c>
      <c r="D1687" s="17">
        <v>325565</v>
      </c>
      <c r="E1687" s="17">
        <v>145094</v>
      </c>
      <c r="F1687" s="17">
        <v>-180471</v>
      </c>
      <c r="G1687" s="18">
        <v>0.44566829972509331</v>
      </c>
      <c r="H1687" s="10">
        <v>2025</v>
      </c>
    </row>
    <row r="1688" spans="1:8" hidden="1" x14ac:dyDescent="0.3">
      <c r="A1688" s="16" t="s">
        <v>64</v>
      </c>
      <c r="B1688" s="16" t="s">
        <v>205</v>
      </c>
      <c r="C1688" s="15">
        <v>9</v>
      </c>
      <c r="D1688" s="17">
        <v>68477</v>
      </c>
      <c r="E1688" s="17">
        <v>37604</v>
      </c>
      <c r="F1688" s="17">
        <v>-30873</v>
      </c>
      <c r="G1688" s="18">
        <v>0.54914788907224321</v>
      </c>
      <c r="H1688" s="10">
        <v>2025</v>
      </c>
    </row>
    <row r="1689" spans="1:8" hidden="1" x14ac:dyDescent="0.3">
      <c r="A1689" s="16" t="s">
        <v>64</v>
      </c>
      <c r="B1689" s="16" t="s">
        <v>205</v>
      </c>
      <c r="C1689" s="15">
        <v>10</v>
      </c>
      <c r="D1689" s="17">
        <v>664827</v>
      </c>
      <c r="E1689" s="17">
        <v>1475638</v>
      </c>
      <c r="F1689" s="17">
        <v>810811</v>
      </c>
      <c r="G1689" s="18">
        <v>2.2195819363533671</v>
      </c>
      <c r="H1689" s="10">
        <v>2025</v>
      </c>
    </row>
    <row r="1690" spans="1:8" hidden="1" x14ac:dyDescent="0.3">
      <c r="A1690" s="16" t="s">
        <v>64</v>
      </c>
      <c r="B1690" s="16" t="s">
        <v>206</v>
      </c>
      <c r="C1690" s="15">
        <v>1</v>
      </c>
      <c r="D1690" s="17">
        <v>200000</v>
      </c>
      <c r="E1690" s="17">
        <v>86667</v>
      </c>
      <c r="F1690" s="17">
        <v>-113333</v>
      </c>
      <c r="G1690" s="18">
        <v>0.43333500000000003</v>
      </c>
      <c r="H1690" s="10">
        <v>2025</v>
      </c>
    </row>
    <row r="1691" spans="1:8" hidden="1" x14ac:dyDescent="0.3">
      <c r="A1691" s="16" t="s">
        <v>64</v>
      </c>
      <c r="B1691" s="16" t="s">
        <v>206</v>
      </c>
      <c r="C1691" s="15">
        <v>2</v>
      </c>
      <c r="D1691" s="17">
        <v>200000</v>
      </c>
      <c r="E1691" s="17">
        <v>207600</v>
      </c>
      <c r="F1691" s="17">
        <v>7600</v>
      </c>
      <c r="G1691" s="18">
        <v>1.038</v>
      </c>
      <c r="H1691" s="10">
        <v>2025</v>
      </c>
    </row>
    <row r="1692" spans="1:8" hidden="1" x14ac:dyDescent="0.3">
      <c r="A1692" s="16" t="s">
        <v>64</v>
      </c>
      <c r="B1692" s="16" t="s">
        <v>206</v>
      </c>
      <c r="C1692" s="15">
        <v>3</v>
      </c>
      <c r="D1692" s="17">
        <v>600000</v>
      </c>
      <c r="E1692" s="17">
        <v>200000</v>
      </c>
      <c r="F1692" s="17">
        <v>-400000</v>
      </c>
      <c r="G1692" s="18">
        <v>0.33333333333333337</v>
      </c>
      <c r="H1692" s="10">
        <v>2025</v>
      </c>
    </row>
    <row r="1693" spans="1:8" hidden="1" x14ac:dyDescent="0.3">
      <c r="A1693" s="16" t="s">
        <v>64</v>
      </c>
      <c r="B1693" s="16" t="s">
        <v>206</v>
      </c>
      <c r="C1693" s="15">
        <v>4</v>
      </c>
      <c r="D1693" s="17">
        <v>400000</v>
      </c>
      <c r="E1693" s="17">
        <v>200000</v>
      </c>
      <c r="F1693" s="17">
        <v>-200000</v>
      </c>
      <c r="G1693" s="18">
        <v>0.5</v>
      </c>
      <c r="H1693" s="10">
        <v>2025</v>
      </c>
    </row>
    <row r="1694" spans="1:8" hidden="1" x14ac:dyDescent="0.3">
      <c r="A1694" s="16" t="s">
        <v>64</v>
      </c>
      <c r="B1694" s="16" t="s">
        <v>206</v>
      </c>
      <c r="C1694" s="15">
        <v>5</v>
      </c>
      <c r="D1694" s="17">
        <v>400000</v>
      </c>
      <c r="E1694" s="17">
        <v>0</v>
      </c>
      <c r="F1694" s="17">
        <v>-400000</v>
      </c>
      <c r="G1694" s="18">
        <v>0</v>
      </c>
      <c r="H1694" s="10">
        <v>2025</v>
      </c>
    </row>
    <row r="1695" spans="1:8" hidden="1" x14ac:dyDescent="0.3">
      <c r="A1695" s="16" t="s">
        <v>64</v>
      </c>
      <c r="B1695" s="16" t="s">
        <v>206</v>
      </c>
      <c r="C1695" s="15">
        <v>6</v>
      </c>
      <c r="D1695" s="17">
        <v>400000</v>
      </c>
      <c r="E1695" s="17">
        <v>0</v>
      </c>
      <c r="F1695" s="17">
        <v>-400000</v>
      </c>
      <c r="G1695" s="18">
        <v>0</v>
      </c>
      <c r="H1695" s="10">
        <v>2025</v>
      </c>
    </row>
    <row r="1696" spans="1:8" hidden="1" x14ac:dyDescent="0.3">
      <c r="A1696" s="16" t="s">
        <v>64</v>
      </c>
      <c r="B1696" s="16" t="s">
        <v>206</v>
      </c>
      <c r="C1696" s="15">
        <v>7</v>
      </c>
      <c r="D1696" s="17">
        <v>400000</v>
      </c>
      <c r="E1696" s="17">
        <v>200000</v>
      </c>
      <c r="F1696" s="17">
        <v>-200000</v>
      </c>
      <c r="G1696" s="18">
        <v>0.5</v>
      </c>
      <c r="H1696" s="10">
        <v>2025</v>
      </c>
    </row>
    <row r="1697" spans="1:8" hidden="1" x14ac:dyDescent="0.3">
      <c r="A1697" s="16" t="s">
        <v>64</v>
      </c>
      <c r="B1697" s="16" t="s">
        <v>206</v>
      </c>
      <c r="C1697" s="15">
        <v>8</v>
      </c>
      <c r="D1697" s="17">
        <v>400000</v>
      </c>
      <c r="E1697" s="17">
        <v>200000</v>
      </c>
      <c r="F1697" s="17">
        <v>-200000</v>
      </c>
      <c r="G1697" s="18">
        <v>0.5</v>
      </c>
      <c r="H1697" s="10">
        <v>2025</v>
      </c>
    </row>
    <row r="1698" spans="1:8" hidden="1" x14ac:dyDescent="0.3">
      <c r="A1698" s="4" t="s">
        <v>64</v>
      </c>
      <c r="B1698" s="16" t="s">
        <v>206</v>
      </c>
      <c r="C1698" s="15">
        <v>9</v>
      </c>
      <c r="D1698" s="17">
        <v>400000</v>
      </c>
      <c r="E1698" s="17">
        <v>200000</v>
      </c>
      <c r="F1698" s="17">
        <v>-200000</v>
      </c>
      <c r="G1698" s="18">
        <v>0.5</v>
      </c>
      <c r="H1698" s="10">
        <v>2025</v>
      </c>
    </row>
    <row r="1699" spans="1:8" hidden="1" x14ac:dyDescent="0.3">
      <c r="A1699" s="4" t="s">
        <v>64</v>
      </c>
      <c r="B1699" s="16" t="s">
        <v>206</v>
      </c>
      <c r="C1699" s="15">
        <v>10</v>
      </c>
      <c r="D1699" s="17">
        <v>400000</v>
      </c>
      <c r="E1699" s="17">
        <v>200000</v>
      </c>
      <c r="F1699" s="17">
        <v>-200000</v>
      </c>
      <c r="G1699" s="18">
        <v>0.5</v>
      </c>
      <c r="H1699" s="10">
        <v>2025</v>
      </c>
    </row>
    <row r="1700" spans="1:8" hidden="1" x14ac:dyDescent="0.3">
      <c r="A1700" s="4" t="s">
        <v>64</v>
      </c>
      <c r="B1700" s="16" t="s">
        <v>181</v>
      </c>
      <c r="C1700" s="15">
        <v>1</v>
      </c>
      <c r="D1700" s="17">
        <v>201388</v>
      </c>
      <c r="E1700" s="17">
        <v>197246</v>
      </c>
      <c r="F1700" s="17">
        <v>-4142</v>
      </c>
      <c r="G1700" s="18">
        <v>0.97943273680656251</v>
      </c>
      <c r="H1700" s="10">
        <v>2025</v>
      </c>
    </row>
    <row r="1701" spans="1:8" hidden="1" x14ac:dyDescent="0.3">
      <c r="A1701" s="4" t="s">
        <v>64</v>
      </c>
      <c r="B1701" s="16" t="s">
        <v>181</v>
      </c>
      <c r="C1701" s="15">
        <v>2</v>
      </c>
      <c r="D1701" s="17">
        <v>243314</v>
      </c>
      <c r="E1701" s="17">
        <v>244393</v>
      </c>
      <c r="F1701" s="17">
        <v>1079</v>
      </c>
      <c r="G1701" s="18">
        <v>1.0044345989133383</v>
      </c>
      <c r="H1701" s="10">
        <v>2025</v>
      </c>
    </row>
    <row r="1702" spans="1:8" hidden="1" x14ac:dyDescent="0.3">
      <c r="A1702" s="4" t="s">
        <v>64</v>
      </c>
      <c r="B1702" s="16" t="s">
        <v>181</v>
      </c>
      <c r="C1702" s="15">
        <v>3</v>
      </c>
      <c r="D1702" s="17">
        <v>613152</v>
      </c>
      <c r="E1702" s="17">
        <v>224910</v>
      </c>
      <c r="F1702" s="17">
        <v>-388242</v>
      </c>
      <c r="G1702" s="18">
        <v>0.36680953499295443</v>
      </c>
      <c r="H1702" s="10">
        <v>2025</v>
      </c>
    </row>
    <row r="1703" spans="1:8" hidden="1" x14ac:dyDescent="0.3">
      <c r="A1703" s="4" t="s">
        <v>64</v>
      </c>
      <c r="B1703" s="16" t="s">
        <v>181</v>
      </c>
      <c r="C1703" s="15">
        <v>4</v>
      </c>
      <c r="D1703" s="17">
        <v>319417</v>
      </c>
      <c r="E1703" s="17">
        <v>224910</v>
      </c>
      <c r="F1703" s="17">
        <v>-94507</v>
      </c>
      <c r="G1703" s="18">
        <v>0.70412658061405631</v>
      </c>
      <c r="H1703" s="10">
        <v>2025</v>
      </c>
    </row>
    <row r="1704" spans="1:8" hidden="1" x14ac:dyDescent="0.3">
      <c r="A1704" s="4" t="s">
        <v>64</v>
      </c>
      <c r="B1704" s="16" t="s">
        <v>181</v>
      </c>
      <c r="C1704" s="15">
        <v>5</v>
      </c>
      <c r="D1704" s="17">
        <v>333331</v>
      </c>
      <c r="E1704" s="17">
        <v>0</v>
      </c>
      <c r="F1704" s="17">
        <v>-333331</v>
      </c>
      <c r="G1704" s="18">
        <v>0</v>
      </c>
      <c r="H1704" s="10">
        <v>2025</v>
      </c>
    </row>
    <row r="1705" spans="1:8" hidden="1" x14ac:dyDescent="0.3">
      <c r="A1705" s="4" t="s">
        <v>64</v>
      </c>
      <c r="B1705" s="16" t="s">
        <v>181</v>
      </c>
      <c r="C1705" s="15">
        <v>6</v>
      </c>
      <c r="D1705" s="17">
        <v>360434</v>
      </c>
      <c r="E1705" s="17">
        <v>0</v>
      </c>
      <c r="F1705" s="17">
        <v>-360434</v>
      </c>
      <c r="G1705" s="18">
        <v>0</v>
      </c>
      <c r="H1705" s="10">
        <v>2025</v>
      </c>
    </row>
    <row r="1706" spans="1:8" hidden="1" x14ac:dyDescent="0.3">
      <c r="A1706" s="4" t="s">
        <v>64</v>
      </c>
      <c r="B1706" s="16" t="s">
        <v>181</v>
      </c>
      <c r="C1706" s="15">
        <v>7</v>
      </c>
      <c r="D1706" s="17">
        <v>339325</v>
      </c>
      <c r="E1706" s="17">
        <v>214051</v>
      </c>
      <c r="F1706" s="17">
        <v>-125274</v>
      </c>
      <c r="G1706" s="18">
        <v>0.63081411626022255</v>
      </c>
      <c r="H1706" s="10">
        <v>2025</v>
      </c>
    </row>
    <row r="1707" spans="1:8" hidden="1" x14ac:dyDescent="0.3">
      <c r="A1707" s="4" t="s">
        <v>64</v>
      </c>
      <c r="B1707" s="16" t="s">
        <v>181</v>
      </c>
      <c r="C1707" s="15">
        <v>8</v>
      </c>
      <c r="D1707" s="17">
        <v>360319</v>
      </c>
      <c r="E1707" s="17">
        <v>170106</v>
      </c>
      <c r="F1707" s="17">
        <v>-190213</v>
      </c>
      <c r="G1707" s="18">
        <v>0.47209833508640958</v>
      </c>
      <c r="H1707" s="10">
        <v>2025</v>
      </c>
    </row>
    <row r="1708" spans="1:8" hidden="1" x14ac:dyDescent="0.3">
      <c r="A1708" s="16" t="s">
        <v>64</v>
      </c>
      <c r="B1708" s="16" t="s">
        <v>181</v>
      </c>
      <c r="C1708" s="15">
        <v>9</v>
      </c>
      <c r="D1708" s="17">
        <v>338904</v>
      </c>
      <c r="E1708" s="17">
        <v>161152</v>
      </c>
      <c r="F1708" s="17">
        <v>-177752</v>
      </c>
      <c r="G1708" s="18">
        <v>0.47550928876614029</v>
      </c>
      <c r="H1708" s="10">
        <v>2025</v>
      </c>
    </row>
    <row r="1709" spans="1:8" hidden="1" x14ac:dyDescent="0.3">
      <c r="A1709" s="16" t="s">
        <v>64</v>
      </c>
      <c r="B1709" s="16" t="s">
        <v>181</v>
      </c>
      <c r="C1709" s="15">
        <v>10</v>
      </c>
      <c r="D1709" s="17">
        <v>388580</v>
      </c>
      <c r="E1709" s="17">
        <v>280940</v>
      </c>
      <c r="F1709" s="17">
        <v>-107640</v>
      </c>
      <c r="G1709" s="18">
        <v>0.72299140460136913</v>
      </c>
      <c r="H1709" s="10">
        <v>2025</v>
      </c>
    </row>
    <row r="1710" spans="1:8" hidden="1" x14ac:dyDescent="0.3">
      <c r="A1710" s="16" t="s">
        <v>64</v>
      </c>
      <c r="B1710" s="16" t="s">
        <v>182</v>
      </c>
      <c r="C1710" s="15">
        <v>1</v>
      </c>
      <c r="D1710" s="17">
        <v>24166</v>
      </c>
      <c r="E1710" s="17">
        <v>23680</v>
      </c>
      <c r="F1710" s="17">
        <v>-486</v>
      </c>
      <c r="G1710" s="18">
        <v>0.97988910038897625</v>
      </c>
      <c r="H1710" s="10">
        <v>2025</v>
      </c>
    </row>
    <row r="1711" spans="1:8" hidden="1" x14ac:dyDescent="0.3">
      <c r="A1711" s="16" t="s">
        <v>64</v>
      </c>
      <c r="B1711" s="16" t="s">
        <v>182</v>
      </c>
      <c r="C1711" s="15">
        <v>2</v>
      </c>
      <c r="D1711" s="17">
        <v>29197</v>
      </c>
      <c r="E1711" s="17">
        <v>29339</v>
      </c>
      <c r="F1711" s="17">
        <v>142</v>
      </c>
      <c r="G1711" s="18">
        <v>1.0048635133746617</v>
      </c>
      <c r="H1711" s="10">
        <v>2025</v>
      </c>
    </row>
    <row r="1712" spans="1:8" hidden="1" x14ac:dyDescent="0.3">
      <c r="A1712" s="16" t="s">
        <v>64</v>
      </c>
      <c r="B1712" s="16" t="s">
        <v>182</v>
      </c>
      <c r="C1712" s="15">
        <v>3</v>
      </c>
      <c r="D1712" s="17">
        <v>73578</v>
      </c>
      <c r="E1712" s="17">
        <v>27000</v>
      </c>
      <c r="F1712" s="17">
        <v>-46578</v>
      </c>
      <c r="G1712" s="18">
        <v>0.36695751447443531</v>
      </c>
      <c r="H1712" s="10">
        <v>2025</v>
      </c>
    </row>
    <row r="1713" spans="1:8" hidden="1" x14ac:dyDescent="0.3">
      <c r="A1713" s="16" t="s">
        <v>64</v>
      </c>
      <c r="B1713" s="16" t="s">
        <v>182</v>
      </c>
      <c r="C1713" s="15">
        <v>4</v>
      </c>
      <c r="D1713" s="17">
        <v>38330</v>
      </c>
      <c r="E1713" s="17">
        <v>27000</v>
      </c>
      <c r="F1713" s="17">
        <v>-11330</v>
      </c>
      <c r="G1713" s="18">
        <v>0.70440907905035222</v>
      </c>
      <c r="H1713" s="10">
        <v>2025</v>
      </c>
    </row>
    <row r="1714" spans="1:8" hidden="1" x14ac:dyDescent="0.3">
      <c r="A1714" s="16" t="s">
        <v>64</v>
      </c>
      <c r="B1714" s="16" t="s">
        <v>182</v>
      </c>
      <c r="C1714" s="15">
        <v>5</v>
      </c>
      <c r="D1714" s="17">
        <v>39999</v>
      </c>
      <c r="E1714" s="17">
        <v>0</v>
      </c>
      <c r="F1714" s="17">
        <v>-39999</v>
      </c>
      <c r="G1714" s="18">
        <v>0</v>
      </c>
      <c r="H1714" s="10">
        <v>2025</v>
      </c>
    </row>
    <row r="1715" spans="1:8" hidden="1" x14ac:dyDescent="0.3">
      <c r="A1715" s="16" t="s">
        <v>64</v>
      </c>
      <c r="B1715" s="16" t="s">
        <v>182</v>
      </c>
      <c r="C1715" s="15">
        <v>6</v>
      </c>
      <c r="D1715" s="17">
        <v>43252</v>
      </c>
      <c r="E1715" s="17">
        <v>0</v>
      </c>
      <c r="F1715" s="17">
        <v>-43252</v>
      </c>
      <c r="G1715" s="18">
        <v>0</v>
      </c>
      <c r="H1715" s="10">
        <v>2025</v>
      </c>
    </row>
    <row r="1716" spans="1:8" hidden="1" x14ac:dyDescent="0.3">
      <c r="A1716" s="16" t="s">
        <v>64</v>
      </c>
      <c r="B1716" s="16" t="s">
        <v>182</v>
      </c>
      <c r="C1716" s="15">
        <v>7</v>
      </c>
      <c r="D1716" s="17">
        <v>40719</v>
      </c>
      <c r="E1716" s="17">
        <v>25696</v>
      </c>
      <c r="F1716" s="17">
        <v>-15023</v>
      </c>
      <c r="G1716" s="18">
        <v>0.63105675483189672</v>
      </c>
      <c r="H1716" s="10">
        <v>2025</v>
      </c>
    </row>
    <row r="1717" spans="1:8" hidden="1" x14ac:dyDescent="0.3">
      <c r="A1717" s="16" t="s">
        <v>64</v>
      </c>
      <c r="B1717" s="16" t="s">
        <v>182</v>
      </c>
      <c r="C1717" s="15">
        <v>8</v>
      </c>
      <c r="D1717" s="17">
        <v>43238</v>
      </c>
      <c r="E1717" s="17">
        <v>20421</v>
      </c>
      <c r="F1717" s="17">
        <v>-22817</v>
      </c>
      <c r="G1717" s="18">
        <v>0.47229289051297474</v>
      </c>
      <c r="H1717" s="10">
        <v>2025</v>
      </c>
    </row>
    <row r="1718" spans="1:8" hidden="1" x14ac:dyDescent="0.3">
      <c r="A1718" s="16" t="s">
        <v>64</v>
      </c>
      <c r="B1718" s="16" t="s">
        <v>182</v>
      </c>
      <c r="C1718" s="15">
        <v>9</v>
      </c>
      <c r="D1718" s="17">
        <v>40668</v>
      </c>
      <c r="E1718" s="17">
        <v>19346</v>
      </c>
      <c r="F1718" s="17">
        <v>-21322</v>
      </c>
      <c r="G1718" s="18">
        <v>0.47570571456673549</v>
      </c>
      <c r="H1718" s="10">
        <v>2025</v>
      </c>
    </row>
    <row r="1719" spans="1:8" hidden="1" x14ac:dyDescent="0.3">
      <c r="A1719" s="16" t="s">
        <v>64</v>
      </c>
      <c r="B1719" s="16" t="s">
        <v>182</v>
      </c>
      <c r="C1719" s="15">
        <v>10</v>
      </c>
      <c r="D1719" s="17">
        <v>46629</v>
      </c>
      <c r="E1719" s="17">
        <v>33727</v>
      </c>
      <c r="F1719" s="17">
        <v>-12902</v>
      </c>
      <c r="G1719" s="18">
        <v>0.72330523922880618</v>
      </c>
      <c r="H1719" s="10">
        <v>2025</v>
      </c>
    </row>
    <row r="1720" spans="1:8" hidden="1" x14ac:dyDescent="0.3">
      <c r="A1720" s="16" t="s">
        <v>64</v>
      </c>
      <c r="B1720" s="16" t="s">
        <v>183</v>
      </c>
      <c r="C1720" s="15">
        <v>1</v>
      </c>
      <c r="D1720" s="17">
        <v>201388</v>
      </c>
      <c r="E1720" s="17">
        <v>197246</v>
      </c>
      <c r="F1720" s="17">
        <v>-4142</v>
      </c>
      <c r="G1720" s="18">
        <v>0.97943273680656251</v>
      </c>
      <c r="H1720" s="10">
        <v>2025</v>
      </c>
    </row>
    <row r="1721" spans="1:8" hidden="1" x14ac:dyDescent="0.3">
      <c r="A1721" s="16" t="s">
        <v>64</v>
      </c>
      <c r="B1721" s="16" t="s">
        <v>183</v>
      </c>
      <c r="C1721" s="15">
        <v>2</v>
      </c>
      <c r="D1721" s="17">
        <v>243314</v>
      </c>
      <c r="E1721" s="17">
        <v>244393</v>
      </c>
      <c r="F1721" s="17">
        <v>1079</v>
      </c>
      <c r="G1721" s="18">
        <v>1.0044345989133383</v>
      </c>
      <c r="H1721" s="10">
        <v>2025</v>
      </c>
    </row>
    <row r="1722" spans="1:8" hidden="1" x14ac:dyDescent="0.3">
      <c r="A1722" s="16" t="s">
        <v>64</v>
      </c>
      <c r="B1722" s="16" t="s">
        <v>183</v>
      </c>
      <c r="C1722" s="15">
        <v>3</v>
      </c>
      <c r="D1722" s="17">
        <v>613152</v>
      </c>
      <c r="E1722" s="17">
        <v>224910</v>
      </c>
      <c r="F1722" s="17">
        <v>-388242</v>
      </c>
      <c r="G1722" s="18">
        <v>0.36680953499295443</v>
      </c>
      <c r="H1722" s="10">
        <v>2025</v>
      </c>
    </row>
    <row r="1723" spans="1:8" hidden="1" x14ac:dyDescent="0.3">
      <c r="A1723" s="16" t="s">
        <v>64</v>
      </c>
      <c r="B1723" s="16" t="s">
        <v>183</v>
      </c>
      <c r="C1723" s="15">
        <v>4</v>
      </c>
      <c r="D1723" s="17">
        <v>319417</v>
      </c>
      <c r="E1723" s="17">
        <v>224910</v>
      </c>
      <c r="F1723" s="17">
        <v>-94507</v>
      </c>
      <c r="G1723" s="18">
        <v>0.70412658061405631</v>
      </c>
      <c r="H1723" s="10">
        <v>2025</v>
      </c>
    </row>
    <row r="1724" spans="1:8" hidden="1" x14ac:dyDescent="0.3">
      <c r="A1724" s="16" t="s">
        <v>64</v>
      </c>
      <c r="B1724" s="16" t="s">
        <v>183</v>
      </c>
      <c r="C1724" s="15">
        <v>5</v>
      </c>
      <c r="D1724" s="17">
        <v>333331</v>
      </c>
      <c r="E1724" s="17">
        <v>0</v>
      </c>
      <c r="F1724" s="17">
        <v>-333331</v>
      </c>
      <c r="G1724" s="18">
        <v>0</v>
      </c>
      <c r="H1724" s="10">
        <v>2025</v>
      </c>
    </row>
    <row r="1725" spans="1:8" hidden="1" x14ac:dyDescent="0.3">
      <c r="A1725" s="16" t="s">
        <v>64</v>
      </c>
      <c r="B1725" s="16" t="s">
        <v>183</v>
      </c>
      <c r="C1725" s="15">
        <v>6</v>
      </c>
      <c r="D1725" s="17">
        <v>360434</v>
      </c>
      <c r="E1725" s="17">
        <v>0</v>
      </c>
      <c r="F1725" s="17">
        <v>-360434</v>
      </c>
      <c r="G1725" s="18">
        <v>0</v>
      </c>
      <c r="H1725" s="10">
        <v>2025</v>
      </c>
    </row>
    <row r="1726" spans="1:8" hidden="1" x14ac:dyDescent="0.3">
      <c r="A1726" s="16" t="s">
        <v>64</v>
      </c>
      <c r="B1726" s="16" t="s">
        <v>183</v>
      </c>
      <c r="C1726" s="15">
        <v>7</v>
      </c>
      <c r="D1726" s="17">
        <v>339325</v>
      </c>
      <c r="E1726" s="17">
        <v>214051</v>
      </c>
      <c r="F1726" s="17">
        <v>-125274</v>
      </c>
      <c r="G1726" s="18">
        <v>0.63081411626022255</v>
      </c>
      <c r="H1726" s="10">
        <v>2025</v>
      </c>
    </row>
    <row r="1727" spans="1:8" hidden="1" x14ac:dyDescent="0.3">
      <c r="A1727" s="16" t="s">
        <v>64</v>
      </c>
      <c r="B1727" s="16" t="s">
        <v>183</v>
      </c>
      <c r="C1727" s="15">
        <v>8</v>
      </c>
      <c r="D1727" s="17">
        <v>360319</v>
      </c>
      <c r="E1727" s="17">
        <v>170106</v>
      </c>
      <c r="F1727" s="17">
        <v>-190213</v>
      </c>
      <c r="G1727" s="18">
        <v>0.47209833508640958</v>
      </c>
      <c r="H1727" s="10">
        <v>2025</v>
      </c>
    </row>
    <row r="1728" spans="1:8" hidden="1" x14ac:dyDescent="0.3">
      <c r="A1728" s="16" t="s">
        <v>64</v>
      </c>
      <c r="B1728" s="16" t="s">
        <v>183</v>
      </c>
      <c r="C1728" s="15">
        <v>9</v>
      </c>
      <c r="D1728" s="17">
        <v>338904</v>
      </c>
      <c r="E1728" s="17">
        <v>161152</v>
      </c>
      <c r="F1728" s="17">
        <v>-177752</v>
      </c>
      <c r="G1728" s="18">
        <v>0.47550928876614029</v>
      </c>
      <c r="H1728" s="10">
        <v>2025</v>
      </c>
    </row>
    <row r="1729" spans="1:8" hidden="1" x14ac:dyDescent="0.3">
      <c r="A1729" s="16" t="s">
        <v>64</v>
      </c>
      <c r="B1729" s="16" t="s">
        <v>183</v>
      </c>
      <c r="C1729" s="15">
        <v>10</v>
      </c>
      <c r="D1729" s="17">
        <v>388580</v>
      </c>
      <c r="E1729" s="17">
        <v>280940</v>
      </c>
      <c r="F1729" s="17">
        <v>-107640</v>
      </c>
      <c r="G1729" s="18">
        <v>0.72299140460136913</v>
      </c>
      <c r="H1729" s="10">
        <v>2025</v>
      </c>
    </row>
    <row r="1730" spans="1:8" hidden="1" x14ac:dyDescent="0.3">
      <c r="A1730" s="16" t="s">
        <v>64</v>
      </c>
      <c r="B1730" s="16" t="s">
        <v>184</v>
      </c>
      <c r="C1730" s="15">
        <v>1</v>
      </c>
      <c r="D1730" s="17">
        <v>92475</v>
      </c>
      <c r="E1730" s="17">
        <v>95128</v>
      </c>
      <c r="F1730" s="17">
        <v>2653</v>
      </c>
      <c r="G1730" s="18">
        <v>1.0286888348202217</v>
      </c>
      <c r="H1730" s="10">
        <v>2025</v>
      </c>
    </row>
    <row r="1731" spans="1:8" hidden="1" x14ac:dyDescent="0.3">
      <c r="A1731" s="16" t="s">
        <v>64</v>
      </c>
      <c r="B1731" s="16" t="s">
        <v>184</v>
      </c>
      <c r="C1731" s="15">
        <v>2</v>
      </c>
      <c r="D1731" s="17">
        <v>113463</v>
      </c>
      <c r="E1731" s="17">
        <v>113686</v>
      </c>
      <c r="F1731" s="17">
        <v>223</v>
      </c>
      <c r="G1731" s="18">
        <v>1.0019653984118171</v>
      </c>
      <c r="H1731" s="10">
        <v>2025</v>
      </c>
    </row>
    <row r="1732" spans="1:8" hidden="1" x14ac:dyDescent="0.3">
      <c r="A1732" s="16" t="s">
        <v>64</v>
      </c>
      <c r="B1732" s="16" t="s">
        <v>184</v>
      </c>
      <c r="C1732" s="15">
        <v>3</v>
      </c>
      <c r="D1732" s="17">
        <v>281924</v>
      </c>
      <c r="E1732" s="17">
        <v>104250</v>
      </c>
      <c r="F1732" s="17">
        <v>-177674</v>
      </c>
      <c r="G1732" s="18">
        <v>0.36978050822207403</v>
      </c>
      <c r="H1732" s="10">
        <v>2025</v>
      </c>
    </row>
    <row r="1733" spans="1:8" hidden="1" x14ac:dyDescent="0.3">
      <c r="A1733" s="16" t="s">
        <v>64</v>
      </c>
      <c r="B1733" s="16" t="s">
        <v>184</v>
      </c>
      <c r="C1733" s="15">
        <v>4</v>
      </c>
      <c r="D1733" s="17">
        <v>143220</v>
      </c>
      <c r="E1733" s="17">
        <v>104250</v>
      </c>
      <c r="F1733" s="17">
        <v>-38970</v>
      </c>
      <c r="G1733" s="18">
        <v>0.72790113112693766</v>
      </c>
      <c r="H1733" s="10">
        <v>2025</v>
      </c>
    </row>
    <row r="1734" spans="1:8" hidden="1" x14ac:dyDescent="0.3">
      <c r="A1734" s="16" t="s">
        <v>64</v>
      </c>
      <c r="B1734" s="16" t="s">
        <v>184</v>
      </c>
      <c r="C1734" s="15">
        <v>5</v>
      </c>
      <c r="D1734" s="17">
        <v>150185</v>
      </c>
      <c r="E1734" s="17">
        <v>0</v>
      </c>
      <c r="F1734" s="17">
        <v>-150185</v>
      </c>
      <c r="G1734" s="18">
        <v>0</v>
      </c>
      <c r="H1734" s="10">
        <v>2025</v>
      </c>
    </row>
    <row r="1735" spans="1:8" hidden="1" x14ac:dyDescent="0.3">
      <c r="A1735" s="16" t="s">
        <v>64</v>
      </c>
      <c r="B1735" s="16" t="s">
        <v>184</v>
      </c>
      <c r="C1735" s="15">
        <v>6</v>
      </c>
      <c r="D1735" s="17">
        <v>163753</v>
      </c>
      <c r="E1735" s="17">
        <v>0</v>
      </c>
      <c r="F1735" s="17">
        <v>-163753</v>
      </c>
      <c r="G1735" s="18">
        <v>0</v>
      </c>
      <c r="H1735" s="10">
        <v>2025</v>
      </c>
    </row>
    <row r="1736" spans="1:8" hidden="1" x14ac:dyDescent="0.3">
      <c r="A1736" s="16" t="s">
        <v>64</v>
      </c>
      <c r="B1736" s="16" t="s">
        <v>184</v>
      </c>
      <c r="C1736" s="15">
        <v>7</v>
      </c>
      <c r="D1736" s="17">
        <v>153186</v>
      </c>
      <c r="E1736" s="17">
        <v>98814</v>
      </c>
      <c r="F1736" s="17">
        <v>-54372</v>
      </c>
      <c r="G1736" s="18">
        <v>0.64505894794563479</v>
      </c>
      <c r="H1736" s="10">
        <v>2025</v>
      </c>
    </row>
    <row r="1737" spans="1:8" hidden="1" x14ac:dyDescent="0.3">
      <c r="A1737" s="16" t="s">
        <v>64</v>
      </c>
      <c r="B1737" s="16" t="s">
        <v>184</v>
      </c>
      <c r="C1737" s="15">
        <v>8</v>
      </c>
      <c r="D1737" s="17">
        <v>163696</v>
      </c>
      <c r="E1737" s="17">
        <v>76815</v>
      </c>
      <c r="F1737" s="17">
        <v>-86881</v>
      </c>
      <c r="G1737" s="18">
        <v>0.46925398299286486</v>
      </c>
      <c r="H1737" s="10">
        <v>2025</v>
      </c>
    </row>
    <row r="1738" spans="1:8" hidden="1" x14ac:dyDescent="0.3">
      <c r="A1738" s="16" t="s">
        <v>64</v>
      </c>
      <c r="B1738" s="16" t="s">
        <v>184</v>
      </c>
      <c r="C1738" s="15">
        <v>9</v>
      </c>
      <c r="D1738" s="17">
        <v>152975</v>
      </c>
      <c r="E1738" s="17">
        <v>72333</v>
      </c>
      <c r="F1738" s="17">
        <v>-80642</v>
      </c>
      <c r="G1738" s="18">
        <v>0.47284196764177155</v>
      </c>
      <c r="H1738" s="10">
        <v>2025</v>
      </c>
    </row>
    <row r="1739" spans="1:8" hidden="1" x14ac:dyDescent="0.3">
      <c r="A1739" s="16" t="s">
        <v>64</v>
      </c>
      <c r="B1739" s="16" t="s">
        <v>184</v>
      </c>
      <c r="C1739" s="15">
        <v>10</v>
      </c>
      <c r="D1739" s="17">
        <v>177843</v>
      </c>
      <c r="E1739" s="17">
        <v>132299</v>
      </c>
      <c r="F1739" s="17">
        <v>-45544</v>
      </c>
      <c r="G1739" s="18">
        <v>0.74390895340272045</v>
      </c>
      <c r="H1739" s="10">
        <v>2025</v>
      </c>
    </row>
    <row r="1740" spans="1:8" hidden="1" x14ac:dyDescent="0.3">
      <c r="A1740" s="16" t="s">
        <v>64</v>
      </c>
      <c r="B1740" s="16" t="s">
        <v>185</v>
      </c>
      <c r="C1740" s="15">
        <v>1</v>
      </c>
      <c r="D1740" s="17">
        <v>30603</v>
      </c>
      <c r="E1740" s="17">
        <v>31481</v>
      </c>
      <c r="F1740" s="17">
        <v>878</v>
      </c>
      <c r="G1740" s="18">
        <v>1.0286899977126427</v>
      </c>
      <c r="H1740" s="10">
        <v>2025</v>
      </c>
    </row>
    <row r="1741" spans="1:8" hidden="1" x14ac:dyDescent="0.3">
      <c r="A1741" s="16" t="s">
        <v>64</v>
      </c>
      <c r="B1741" s="16" t="s">
        <v>185</v>
      </c>
      <c r="C1741" s="15">
        <v>2</v>
      </c>
      <c r="D1741" s="17">
        <v>37548</v>
      </c>
      <c r="E1741" s="17">
        <v>37623</v>
      </c>
      <c r="F1741" s="17">
        <v>75</v>
      </c>
      <c r="G1741" s="18">
        <v>1.0019974432726111</v>
      </c>
      <c r="H1741" s="10">
        <v>2025</v>
      </c>
    </row>
    <row r="1742" spans="1:8" hidden="1" x14ac:dyDescent="0.3">
      <c r="A1742" s="16" t="s">
        <v>64</v>
      </c>
      <c r="B1742" s="16" t="s">
        <v>185</v>
      </c>
      <c r="C1742" s="15">
        <v>3</v>
      </c>
      <c r="D1742" s="17">
        <v>93298</v>
      </c>
      <c r="E1742" s="17">
        <v>34500</v>
      </c>
      <c r="F1742" s="17">
        <v>-58798</v>
      </c>
      <c r="G1742" s="18">
        <v>0.36978284636326608</v>
      </c>
      <c r="H1742" s="10">
        <v>2025</v>
      </c>
    </row>
    <row r="1743" spans="1:8" hidden="1" x14ac:dyDescent="0.3">
      <c r="A1743" s="16" t="s">
        <v>64</v>
      </c>
      <c r="B1743" s="16" t="s">
        <v>185</v>
      </c>
      <c r="C1743" s="15">
        <v>4</v>
      </c>
      <c r="D1743" s="17">
        <v>47396</v>
      </c>
      <c r="E1743" s="17">
        <v>34500</v>
      </c>
      <c r="F1743" s="17">
        <v>-12896</v>
      </c>
      <c r="G1743" s="18">
        <v>0.72790952823023047</v>
      </c>
      <c r="H1743" s="10">
        <v>2025</v>
      </c>
    </row>
    <row r="1744" spans="1:8" hidden="1" x14ac:dyDescent="0.3">
      <c r="A1744" s="16" t="s">
        <v>64</v>
      </c>
      <c r="B1744" s="16" t="s">
        <v>185</v>
      </c>
      <c r="C1744" s="15">
        <v>5</v>
      </c>
      <c r="D1744" s="17">
        <v>49701</v>
      </c>
      <c r="E1744" s="17">
        <v>0</v>
      </c>
      <c r="F1744" s="17">
        <v>-49701</v>
      </c>
      <c r="G1744" s="18">
        <v>0</v>
      </c>
      <c r="H1744" s="10">
        <v>2025</v>
      </c>
    </row>
    <row r="1745" spans="1:8" hidden="1" x14ac:dyDescent="0.3">
      <c r="A1745" s="16" t="s">
        <v>64</v>
      </c>
      <c r="B1745" s="16" t="s">
        <v>185</v>
      </c>
      <c r="C1745" s="15">
        <v>6</v>
      </c>
      <c r="D1745" s="17">
        <v>54191</v>
      </c>
      <c r="E1745" s="17">
        <v>0</v>
      </c>
      <c r="F1745" s="17">
        <v>-54191</v>
      </c>
      <c r="G1745" s="18">
        <v>0</v>
      </c>
      <c r="H1745" s="10">
        <v>2025</v>
      </c>
    </row>
    <row r="1746" spans="1:8" hidden="1" x14ac:dyDescent="0.3">
      <c r="A1746" s="16" t="s">
        <v>64</v>
      </c>
      <c r="B1746" s="16" t="s">
        <v>185</v>
      </c>
      <c r="C1746" s="15">
        <v>7</v>
      </c>
      <c r="D1746" s="17">
        <v>50694</v>
      </c>
      <c r="E1746" s="17">
        <v>32701</v>
      </c>
      <c r="F1746" s="17">
        <v>-17993</v>
      </c>
      <c r="G1746" s="18">
        <v>0.64506647729514344</v>
      </c>
      <c r="H1746" s="10">
        <v>2025</v>
      </c>
    </row>
    <row r="1747" spans="1:8" hidden="1" x14ac:dyDescent="0.3">
      <c r="A1747" s="16" t="s">
        <v>64</v>
      </c>
      <c r="B1747" s="16" t="s">
        <v>185</v>
      </c>
      <c r="C1747" s="15">
        <v>8</v>
      </c>
      <c r="D1747" s="17">
        <v>54172</v>
      </c>
      <c r="E1747" s="17">
        <v>25421</v>
      </c>
      <c r="F1747" s="17">
        <v>-28751</v>
      </c>
      <c r="G1747" s="18">
        <v>0.46926456471978145</v>
      </c>
      <c r="H1747" s="10">
        <v>2025</v>
      </c>
    </row>
    <row r="1748" spans="1:8" hidden="1" x14ac:dyDescent="0.3">
      <c r="A1748" s="4" t="s">
        <v>64</v>
      </c>
      <c r="B1748" s="16" t="s">
        <v>185</v>
      </c>
      <c r="C1748" s="15">
        <v>9</v>
      </c>
      <c r="D1748" s="17">
        <v>50624</v>
      </c>
      <c r="E1748" s="17">
        <v>23938</v>
      </c>
      <c r="F1748" s="17">
        <v>-26686</v>
      </c>
      <c r="G1748" s="18">
        <v>0.47285872313527183</v>
      </c>
      <c r="H1748" s="10">
        <v>2025</v>
      </c>
    </row>
    <row r="1749" spans="1:8" hidden="1" x14ac:dyDescent="0.3">
      <c r="A1749" s="4" t="s">
        <v>64</v>
      </c>
      <c r="B1749" s="16" t="s">
        <v>185</v>
      </c>
      <c r="C1749" s="15">
        <v>10</v>
      </c>
      <c r="D1749" s="17">
        <v>58854</v>
      </c>
      <c r="E1749" s="17">
        <v>43783</v>
      </c>
      <c r="F1749" s="17">
        <v>-15071</v>
      </c>
      <c r="G1749" s="18">
        <v>0.74392564651510518</v>
      </c>
      <c r="H1749" s="10">
        <v>2025</v>
      </c>
    </row>
    <row r="1750" spans="1:8" hidden="1" x14ac:dyDescent="0.3">
      <c r="A1750" s="4" t="s">
        <v>64</v>
      </c>
      <c r="B1750" s="16" t="s">
        <v>186</v>
      </c>
      <c r="C1750" s="15">
        <v>1</v>
      </c>
      <c r="D1750" s="17">
        <v>1090000</v>
      </c>
      <c r="E1750" s="17">
        <v>1090000</v>
      </c>
      <c r="F1750" s="17">
        <v>0</v>
      </c>
      <c r="G1750" s="18">
        <v>1</v>
      </c>
      <c r="H1750" s="10">
        <v>2025</v>
      </c>
    </row>
    <row r="1751" spans="1:8" hidden="1" x14ac:dyDescent="0.3">
      <c r="A1751" s="4" t="s">
        <v>64</v>
      </c>
      <c r="B1751" s="16" t="s">
        <v>186</v>
      </c>
      <c r="C1751" s="15">
        <v>2</v>
      </c>
      <c r="D1751" s="17">
        <v>341000</v>
      </c>
      <c r="E1751" s="17">
        <v>341000</v>
      </c>
      <c r="F1751" s="17">
        <v>0</v>
      </c>
      <c r="G1751" s="18">
        <v>1</v>
      </c>
      <c r="H1751" s="10">
        <v>2025</v>
      </c>
    </row>
    <row r="1752" spans="1:8" hidden="1" x14ac:dyDescent="0.3">
      <c r="A1752" s="4" t="s">
        <v>64</v>
      </c>
      <c r="B1752" s="16" t="s">
        <v>186</v>
      </c>
      <c r="C1752" s="15">
        <v>3</v>
      </c>
      <c r="D1752" s="17">
        <v>800940</v>
      </c>
      <c r="E1752" s="17">
        <v>341000</v>
      </c>
      <c r="F1752" s="17">
        <v>-459940</v>
      </c>
      <c r="G1752" s="18">
        <v>0.4257497440507404</v>
      </c>
      <c r="H1752" s="10">
        <v>2025</v>
      </c>
    </row>
    <row r="1753" spans="1:8" hidden="1" x14ac:dyDescent="0.3">
      <c r="A1753" s="16" t="s">
        <v>64</v>
      </c>
      <c r="B1753" s="16" t="s">
        <v>186</v>
      </c>
      <c r="C1753" s="15">
        <v>4</v>
      </c>
      <c r="D1753" s="17">
        <v>459940</v>
      </c>
      <c r="E1753" s="17">
        <v>341000</v>
      </c>
      <c r="F1753" s="17">
        <v>-118940</v>
      </c>
      <c r="G1753" s="18">
        <v>0.74140105231117104</v>
      </c>
      <c r="H1753" s="10">
        <v>2025</v>
      </c>
    </row>
    <row r="1754" spans="1:8" hidden="1" x14ac:dyDescent="0.3">
      <c r="A1754" s="16" t="s">
        <v>64</v>
      </c>
      <c r="B1754" s="16" t="s">
        <v>186</v>
      </c>
      <c r="C1754" s="15">
        <v>5</v>
      </c>
      <c r="D1754" s="17">
        <v>459940</v>
      </c>
      <c r="E1754" s="17">
        <v>0</v>
      </c>
      <c r="F1754" s="17">
        <v>-459940</v>
      </c>
      <c r="G1754" s="18">
        <v>0</v>
      </c>
      <c r="H1754" s="10">
        <v>2025</v>
      </c>
    </row>
    <row r="1755" spans="1:8" hidden="1" x14ac:dyDescent="0.3">
      <c r="A1755" s="16" t="s">
        <v>64</v>
      </c>
      <c r="B1755" s="16" t="s">
        <v>186</v>
      </c>
      <c r="C1755" s="15">
        <v>6</v>
      </c>
      <c r="D1755" s="17">
        <v>459940</v>
      </c>
      <c r="E1755" s="17">
        <v>0</v>
      </c>
      <c r="F1755" s="17">
        <v>-459940</v>
      </c>
      <c r="G1755" s="18">
        <v>0</v>
      </c>
      <c r="H1755" s="10">
        <v>2025</v>
      </c>
    </row>
    <row r="1756" spans="1:8" hidden="1" x14ac:dyDescent="0.3">
      <c r="A1756" s="16" t="s">
        <v>64</v>
      </c>
      <c r="B1756" s="16" t="s">
        <v>186</v>
      </c>
      <c r="C1756" s="15">
        <v>7</v>
      </c>
      <c r="D1756" s="17">
        <v>491040</v>
      </c>
      <c r="E1756" s="17">
        <v>231471</v>
      </c>
      <c r="F1756" s="17">
        <v>-259569</v>
      </c>
      <c r="G1756" s="18">
        <v>0.47138929618768333</v>
      </c>
      <c r="H1756" s="10">
        <v>2025</v>
      </c>
    </row>
    <row r="1757" spans="1:8" hidden="1" x14ac:dyDescent="0.3">
      <c r="A1757" s="16" t="s">
        <v>64</v>
      </c>
      <c r="B1757" s="16" t="s">
        <v>186</v>
      </c>
      <c r="C1757" s="15">
        <v>8</v>
      </c>
      <c r="D1757" s="17">
        <v>491040</v>
      </c>
      <c r="E1757" s="17">
        <v>231471</v>
      </c>
      <c r="F1757" s="17">
        <v>-259569</v>
      </c>
      <c r="G1757" s="18">
        <v>0.47138929618768333</v>
      </c>
      <c r="H1757" s="10">
        <v>2025</v>
      </c>
    </row>
    <row r="1758" spans="1:8" hidden="1" x14ac:dyDescent="0.3">
      <c r="A1758" s="16" t="s">
        <v>64</v>
      </c>
      <c r="B1758" s="16" t="s">
        <v>186</v>
      </c>
      <c r="C1758" s="15">
        <v>9</v>
      </c>
      <c r="D1758" s="17">
        <v>491040</v>
      </c>
      <c r="E1758" s="17">
        <v>231471</v>
      </c>
      <c r="F1758" s="17">
        <v>-259569</v>
      </c>
      <c r="G1758" s="18">
        <v>0.47138929618768333</v>
      </c>
      <c r="H1758" s="10">
        <v>2025</v>
      </c>
    </row>
    <row r="1759" spans="1:8" hidden="1" x14ac:dyDescent="0.3">
      <c r="A1759" s="16" t="s">
        <v>64</v>
      </c>
      <c r="B1759" s="16" t="s">
        <v>186</v>
      </c>
      <c r="C1759" s="15">
        <v>10</v>
      </c>
      <c r="D1759" s="17">
        <v>491040</v>
      </c>
      <c r="E1759" s="17">
        <v>231471</v>
      </c>
      <c r="F1759" s="17">
        <v>-259569</v>
      </c>
      <c r="G1759" s="18">
        <v>0.47138929618768333</v>
      </c>
      <c r="H1759" s="10">
        <v>2025</v>
      </c>
    </row>
    <row r="1760" spans="1:8" hidden="1" x14ac:dyDescent="0.3">
      <c r="A1760" s="16" t="s">
        <v>64</v>
      </c>
      <c r="B1760" s="16" t="s">
        <v>187</v>
      </c>
      <c r="C1760" s="15">
        <v>1</v>
      </c>
      <c r="D1760" s="17">
        <v>90906</v>
      </c>
      <c r="E1760" s="17">
        <v>93448</v>
      </c>
      <c r="F1760" s="17">
        <v>2542</v>
      </c>
      <c r="G1760" s="18">
        <v>1.0279629507403252</v>
      </c>
      <c r="H1760" s="10">
        <v>2025</v>
      </c>
    </row>
    <row r="1761" spans="1:8" hidden="1" x14ac:dyDescent="0.3">
      <c r="A1761" s="16" t="s">
        <v>64</v>
      </c>
      <c r="B1761" s="16" t="s">
        <v>187</v>
      </c>
      <c r="C1761" s="15">
        <v>2</v>
      </c>
      <c r="D1761" s="17">
        <v>104250</v>
      </c>
      <c r="E1761" s="17">
        <v>104250</v>
      </c>
      <c r="F1761" s="17">
        <v>0</v>
      </c>
      <c r="G1761" s="18">
        <v>1</v>
      </c>
      <c r="H1761" s="10">
        <v>2025</v>
      </c>
    </row>
    <row r="1762" spans="1:8" hidden="1" x14ac:dyDescent="0.3">
      <c r="A1762" s="16" t="s">
        <v>64</v>
      </c>
      <c r="B1762" s="16" t="s">
        <v>187</v>
      </c>
      <c r="C1762" s="15">
        <v>3</v>
      </c>
      <c r="D1762" s="17">
        <v>244862</v>
      </c>
      <c r="E1762" s="17">
        <v>104250</v>
      </c>
      <c r="F1762" s="17">
        <v>-140612</v>
      </c>
      <c r="G1762" s="18">
        <v>0.42575001429376547</v>
      </c>
      <c r="H1762" s="10">
        <v>2025</v>
      </c>
    </row>
    <row r="1763" spans="1:8" hidden="1" x14ac:dyDescent="0.3">
      <c r="A1763" s="16" t="s">
        <v>64</v>
      </c>
      <c r="B1763" s="16" t="s">
        <v>187</v>
      </c>
      <c r="C1763" s="15">
        <v>4</v>
      </c>
      <c r="D1763" s="17">
        <v>140612</v>
      </c>
      <c r="E1763" s="17">
        <v>104250</v>
      </c>
      <c r="F1763" s="17">
        <v>-36362</v>
      </c>
      <c r="G1763" s="18">
        <v>0.74140187181748363</v>
      </c>
      <c r="H1763" s="10">
        <v>2025</v>
      </c>
    </row>
    <row r="1764" spans="1:8" hidden="1" x14ac:dyDescent="0.3">
      <c r="A1764" s="16" t="s">
        <v>64</v>
      </c>
      <c r="B1764" s="16" t="s">
        <v>187</v>
      </c>
      <c r="C1764" s="15">
        <v>5</v>
      </c>
      <c r="D1764" s="17">
        <v>140612</v>
      </c>
      <c r="E1764" s="17">
        <v>0</v>
      </c>
      <c r="F1764" s="17">
        <v>-140612</v>
      </c>
      <c r="G1764" s="18">
        <v>0</v>
      </c>
      <c r="H1764" s="10">
        <v>2025</v>
      </c>
    </row>
    <row r="1765" spans="1:8" hidden="1" x14ac:dyDescent="0.3">
      <c r="A1765" s="16" t="s">
        <v>64</v>
      </c>
      <c r="B1765" s="16" t="s">
        <v>187</v>
      </c>
      <c r="C1765" s="15">
        <v>6</v>
      </c>
      <c r="D1765" s="17">
        <v>140612</v>
      </c>
      <c r="E1765" s="17">
        <v>0</v>
      </c>
      <c r="F1765" s="17">
        <v>-140612</v>
      </c>
      <c r="G1765" s="18">
        <v>0</v>
      </c>
      <c r="H1765" s="10">
        <v>2025</v>
      </c>
    </row>
    <row r="1766" spans="1:8" hidden="1" x14ac:dyDescent="0.3">
      <c r="A1766" s="16" t="s">
        <v>64</v>
      </c>
      <c r="B1766" s="16" t="s">
        <v>187</v>
      </c>
      <c r="C1766" s="15">
        <v>7</v>
      </c>
      <c r="D1766" s="17">
        <v>150120</v>
      </c>
      <c r="E1766" s="17">
        <v>70765</v>
      </c>
      <c r="F1766" s="17">
        <v>-79355</v>
      </c>
      <c r="G1766" s="18">
        <v>0.47138955502264857</v>
      </c>
      <c r="H1766" s="10">
        <v>2025</v>
      </c>
    </row>
    <row r="1767" spans="1:8" hidden="1" x14ac:dyDescent="0.3">
      <c r="A1767" s="16" t="s">
        <v>64</v>
      </c>
      <c r="B1767" s="16" t="s">
        <v>187</v>
      </c>
      <c r="C1767" s="15">
        <v>8</v>
      </c>
      <c r="D1767" s="17">
        <v>150120</v>
      </c>
      <c r="E1767" s="17">
        <v>70765</v>
      </c>
      <c r="F1767" s="17">
        <v>-79355</v>
      </c>
      <c r="G1767" s="18">
        <v>0.47138955502264857</v>
      </c>
      <c r="H1767" s="10">
        <v>2025</v>
      </c>
    </row>
    <row r="1768" spans="1:8" hidden="1" x14ac:dyDescent="0.3">
      <c r="A1768" s="16" t="s">
        <v>64</v>
      </c>
      <c r="B1768" s="16" t="s">
        <v>187</v>
      </c>
      <c r="C1768" s="15">
        <v>9</v>
      </c>
      <c r="D1768" s="17">
        <v>150120</v>
      </c>
      <c r="E1768" s="17">
        <v>70765</v>
      </c>
      <c r="F1768" s="17">
        <v>-79355</v>
      </c>
      <c r="G1768" s="18">
        <v>0.47138955502264857</v>
      </c>
      <c r="H1768" s="10">
        <v>2025</v>
      </c>
    </row>
    <row r="1769" spans="1:8" hidden="1" x14ac:dyDescent="0.3">
      <c r="A1769" s="16" t="s">
        <v>64</v>
      </c>
      <c r="B1769" s="16" t="s">
        <v>187</v>
      </c>
      <c r="C1769" s="15">
        <v>10</v>
      </c>
      <c r="D1769" s="17">
        <v>150120</v>
      </c>
      <c r="E1769" s="17">
        <v>70765</v>
      </c>
      <c r="F1769" s="17">
        <v>-79355</v>
      </c>
      <c r="G1769" s="18">
        <v>0.47138955502264857</v>
      </c>
      <c r="H1769" s="10">
        <v>2025</v>
      </c>
    </row>
    <row r="1770" spans="1:8" hidden="1" x14ac:dyDescent="0.3">
      <c r="A1770" s="16" t="s">
        <v>64</v>
      </c>
      <c r="B1770" s="16" t="s">
        <v>188</v>
      </c>
      <c r="C1770" s="15">
        <v>4</v>
      </c>
      <c r="D1770" s="17">
        <v>142298</v>
      </c>
      <c r="E1770" s="17">
        <v>0</v>
      </c>
      <c r="F1770" s="17">
        <v>-142298</v>
      </c>
      <c r="G1770" s="18">
        <v>0</v>
      </c>
      <c r="H1770" s="10">
        <v>2025</v>
      </c>
    </row>
    <row r="1771" spans="1:8" hidden="1" x14ac:dyDescent="0.3">
      <c r="A1771" s="16" t="s">
        <v>64</v>
      </c>
      <c r="B1771" s="16" t="s">
        <v>188</v>
      </c>
      <c r="C1771" s="15">
        <v>5</v>
      </c>
      <c r="D1771" s="17">
        <v>0</v>
      </c>
      <c r="E1771" s="17">
        <v>133264</v>
      </c>
      <c r="F1771" s="17">
        <v>133264</v>
      </c>
      <c r="G1771" s="18">
        <v>0</v>
      </c>
      <c r="H1771" s="10">
        <v>2025</v>
      </c>
    </row>
    <row r="1772" spans="1:8" hidden="1" x14ac:dyDescent="0.3">
      <c r="A1772" s="16" t="s">
        <v>64</v>
      </c>
      <c r="B1772" s="16" t="s">
        <v>188</v>
      </c>
      <c r="C1772" s="15">
        <v>8</v>
      </c>
      <c r="D1772" s="17">
        <v>58263</v>
      </c>
      <c r="E1772" s="17">
        <v>0</v>
      </c>
      <c r="F1772" s="17">
        <v>-58263</v>
      </c>
      <c r="G1772" s="18">
        <v>0</v>
      </c>
      <c r="H1772" s="10">
        <v>2025</v>
      </c>
    </row>
    <row r="1773" spans="1:8" hidden="1" x14ac:dyDescent="0.3">
      <c r="A1773" s="16" t="s">
        <v>64</v>
      </c>
      <c r="B1773" s="16" t="s">
        <v>189</v>
      </c>
      <c r="C1773" s="15">
        <v>1</v>
      </c>
      <c r="D1773" s="17">
        <v>33542</v>
      </c>
      <c r="E1773" s="17">
        <v>0</v>
      </c>
      <c r="F1773" s="17">
        <v>-33542</v>
      </c>
      <c r="G1773" s="18">
        <v>0</v>
      </c>
      <c r="H1773" s="10">
        <v>2025</v>
      </c>
    </row>
    <row r="1774" spans="1:8" hidden="1" x14ac:dyDescent="0.3">
      <c r="A1774" s="16" t="s">
        <v>64</v>
      </c>
      <c r="B1774" s="16" t="s">
        <v>189</v>
      </c>
      <c r="C1774" s="15">
        <v>2</v>
      </c>
      <c r="D1774" s="17">
        <v>33542</v>
      </c>
      <c r="E1774" s="17">
        <v>0</v>
      </c>
      <c r="F1774" s="17">
        <v>-33542</v>
      </c>
      <c r="G1774" s="18">
        <v>0</v>
      </c>
      <c r="H1774" s="10">
        <v>2025</v>
      </c>
    </row>
    <row r="1775" spans="1:8" hidden="1" x14ac:dyDescent="0.3">
      <c r="A1775" s="16" t="s">
        <v>64</v>
      </c>
      <c r="B1775" s="16" t="s">
        <v>189</v>
      </c>
      <c r="C1775" s="15">
        <v>3</v>
      </c>
      <c r="D1775" s="17">
        <v>33542</v>
      </c>
      <c r="E1775" s="17">
        <v>0</v>
      </c>
      <c r="F1775" s="17">
        <v>-33542</v>
      </c>
      <c r="G1775" s="18">
        <v>0</v>
      </c>
      <c r="H1775" s="10">
        <v>2025</v>
      </c>
    </row>
    <row r="1776" spans="1:8" hidden="1" x14ac:dyDescent="0.3">
      <c r="A1776" s="16" t="s">
        <v>64</v>
      </c>
      <c r="B1776" s="16" t="s">
        <v>189</v>
      </c>
      <c r="C1776" s="15">
        <v>4</v>
      </c>
      <c r="D1776" s="17">
        <v>33542</v>
      </c>
      <c r="E1776" s="17">
        <v>0</v>
      </c>
      <c r="F1776" s="17">
        <v>-33542</v>
      </c>
      <c r="G1776" s="18">
        <v>0</v>
      </c>
      <c r="H1776" s="10">
        <v>2025</v>
      </c>
    </row>
    <row r="1777" spans="1:8" hidden="1" x14ac:dyDescent="0.3">
      <c r="A1777" s="16" t="s">
        <v>64</v>
      </c>
      <c r="B1777" s="16" t="s">
        <v>189</v>
      </c>
      <c r="C1777" s="15">
        <v>5</v>
      </c>
      <c r="D1777" s="17">
        <v>33542</v>
      </c>
      <c r="E1777" s="17">
        <v>0</v>
      </c>
      <c r="F1777" s="17">
        <v>-33542</v>
      </c>
      <c r="G1777" s="18">
        <v>0</v>
      </c>
      <c r="H1777" s="10">
        <v>2025</v>
      </c>
    </row>
    <row r="1778" spans="1:8" hidden="1" x14ac:dyDescent="0.3">
      <c r="A1778" s="16" t="s">
        <v>64</v>
      </c>
      <c r="B1778" s="16" t="s">
        <v>189</v>
      </c>
      <c r="C1778" s="15">
        <v>6</v>
      </c>
      <c r="D1778" s="17">
        <v>33542</v>
      </c>
      <c r="E1778" s="17">
        <v>0</v>
      </c>
      <c r="F1778" s="17">
        <v>-33542</v>
      </c>
      <c r="G1778" s="18">
        <v>0</v>
      </c>
      <c r="H1778" s="10">
        <v>2025</v>
      </c>
    </row>
    <row r="1779" spans="1:8" hidden="1" x14ac:dyDescent="0.3">
      <c r="A1779" s="16" t="s">
        <v>64</v>
      </c>
      <c r="B1779" s="16" t="s">
        <v>189</v>
      </c>
      <c r="C1779" s="15">
        <v>7</v>
      </c>
      <c r="D1779" s="17">
        <v>33542</v>
      </c>
      <c r="E1779" s="17">
        <v>0</v>
      </c>
      <c r="F1779" s="17">
        <v>-33542</v>
      </c>
      <c r="G1779" s="18">
        <v>0</v>
      </c>
      <c r="H1779" s="10">
        <v>2025</v>
      </c>
    </row>
    <row r="1780" spans="1:8" hidden="1" x14ac:dyDescent="0.3">
      <c r="A1780" s="16" t="s">
        <v>64</v>
      </c>
      <c r="B1780" s="16" t="s">
        <v>189</v>
      </c>
      <c r="C1780" s="15">
        <v>8</v>
      </c>
      <c r="D1780" s="17">
        <v>33542</v>
      </c>
      <c r="E1780" s="17">
        <v>0</v>
      </c>
      <c r="F1780" s="17">
        <v>-33542</v>
      </c>
      <c r="G1780" s="18">
        <v>0</v>
      </c>
      <c r="H1780" s="10">
        <v>2025</v>
      </c>
    </row>
    <row r="1781" spans="1:8" hidden="1" x14ac:dyDescent="0.3">
      <c r="A1781" s="16" t="s">
        <v>64</v>
      </c>
      <c r="B1781" s="16" t="s">
        <v>189</v>
      </c>
      <c r="C1781" s="15">
        <v>9</v>
      </c>
      <c r="D1781" s="17">
        <v>33542</v>
      </c>
      <c r="E1781" s="17">
        <v>0</v>
      </c>
      <c r="F1781" s="17">
        <v>-33542</v>
      </c>
      <c r="G1781" s="18">
        <v>0</v>
      </c>
      <c r="H1781" s="10">
        <v>2025</v>
      </c>
    </row>
    <row r="1782" spans="1:8" hidden="1" x14ac:dyDescent="0.3">
      <c r="A1782" s="16" t="s">
        <v>64</v>
      </c>
      <c r="B1782" s="16" t="s">
        <v>189</v>
      </c>
      <c r="C1782" s="15">
        <v>10</v>
      </c>
      <c r="D1782" s="17">
        <v>33542</v>
      </c>
      <c r="E1782" s="17">
        <v>0</v>
      </c>
      <c r="F1782" s="17">
        <v>-33542</v>
      </c>
      <c r="G1782" s="18">
        <v>0</v>
      </c>
      <c r="H1782" s="10">
        <v>2025</v>
      </c>
    </row>
    <row r="1783" spans="1:8" hidden="1" x14ac:dyDescent="0.3">
      <c r="A1783" s="16" t="s">
        <v>64</v>
      </c>
      <c r="B1783" s="16" t="s">
        <v>192</v>
      </c>
      <c r="C1783" s="15">
        <v>1</v>
      </c>
      <c r="D1783" s="17">
        <v>54110</v>
      </c>
      <c r="E1783" s="17">
        <v>24000</v>
      </c>
      <c r="F1783" s="17">
        <v>-30110</v>
      </c>
      <c r="G1783" s="18">
        <v>0.44354093513213827</v>
      </c>
      <c r="H1783" s="10">
        <v>2025</v>
      </c>
    </row>
    <row r="1784" spans="1:8" hidden="1" x14ac:dyDescent="0.3">
      <c r="A1784" s="16" t="s">
        <v>64</v>
      </c>
      <c r="B1784" s="16" t="s">
        <v>192</v>
      </c>
      <c r="C1784" s="15">
        <v>2</v>
      </c>
      <c r="D1784" s="17">
        <v>66390</v>
      </c>
      <c r="E1784" s="17">
        <v>66500</v>
      </c>
      <c r="F1784" s="17">
        <v>110</v>
      </c>
      <c r="G1784" s="18">
        <v>1.0016568760355475</v>
      </c>
      <c r="H1784" s="10">
        <v>2025</v>
      </c>
    </row>
    <row r="1785" spans="1:8" hidden="1" x14ac:dyDescent="0.3">
      <c r="A1785" s="16" t="s">
        <v>64</v>
      </c>
      <c r="B1785" s="16" t="s">
        <v>192</v>
      </c>
      <c r="C1785" s="15">
        <v>3</v>
      </c>
      <c r="D1785" s="17">
        <v>164962</v>
      </c>
      <c r="E1785" s="17">
        <v>60900</v>
      </c>
      <c r="F1785" s="17">
        <v>-104062</v>
      </c>
      <c r="G1785" s="18">
        <v>0.36917593142663158</v>
      </c>
      <c r="H1785" s="10">
        <v>2025</v>
      </c>
    </row>
    <row r="1786" spans="1:8" hidden="1" x14ac:dyDescent="0.3">
      <c r="A1786" s="16" t="s">
        <v>64</v>
      </c>
      <c r="B1786" s="16" t="s">
        <v>192</v>
      </c>
      <c r="C1786" s="15">
        <v>4</v>
      </c>
      <c r="D1786" s="17">
        <v>83802</v>
      </c>
      <c r="E1786" s="17">
        <v>60900</v>
      </c>
      <c r="F1786" s="17">
        <v>-22902</v>
      </c>
      <c r="G1786" s="18">
        <v>0.72671296627765447</v>
      </c>
      <c r="H1786" s="10">
        <v>2025</v>
      </c>
    </row>
    <row r="1787" spans="1:8" hidden="1" x14ac:dyDescent="0.3">
      <c r="A1787" s="16" t="s">
        <v>64</v>
      </c>
      <c r="B1787" s="16" t="s">
        <v>192</v>
      </c>
      <c r="C1787" s="15">
        <v>5</v>
      </c>
      <c r="D1787" s="17">
        <v>87878</v>
      </c>
      <c r="E1787" s="17">
        <v>0</v>
      </c>
      <c r="F1787" s="17">
        <v>-87878</v>
      </c>
      <c r="G1787" s="18">
        <v>0</v>
      </c>
      <c r="H1787" s="10">
        <v>2025</v>
      </c>
    </row>
    <row r="1788" spans="1:8" hidden="1" x14ac:dyDescent="0.3">
      <c r="A1788" s="16" t="s">
        <v>64</v>
      </c>
      <c r="B1788" s="16" t="s">
        <v>192</v>
      </c>
      <c r="C1788" s="15">
        <v>6</v>
      </c>
      <c r="D1788" s="17">
        <v>95817</v>
      </c>
      <c r="E1788" s="17">
        <v>0</v>
      </c>
      <c r="F1788" s="17">
        <v>-95817</v>
      </c>
      <c r="G1788" s="18">
        <v>0</v>
      </c>
      <c r="H1788" s="10">
        <v>2025</v>
      </c>
    </row>
    <row r="1789" spans="1:8" hidden="1" x14ac:dyDescent="0.3">
      <c r="A1789" s="16" t="s">
        <v>64</v>
      </c>
      <c r="B1789" s="16" t="s">
        <v>192</v>
      </c>
      <c r="C1789" s="15">
        <v>7</v>
      </c>
      <c r="D1789" s="17">
        <v>89634</v>
      </c>
      <c r="E1789" s="17">
        <v>57800</v>
      </c>
      <c r="F1789" s="17">
        <v>-31834</v>
      </c>
      <c r="G1789" s="18">
        <v>0.64484459022246021</v>
      </c>
      <c r="H1789" s="10">
        <v>2025</v>
      </c>
    </row>
    <row r="1790" spans="1:8" hidden="1" x14ac:dyDescent="0.3">
      <c r="A1790" s="16" t="s">
        <v>64</v>
      </c>
      <c r="B1790" s="16" t="s">
        <v>192</v>
      </c>
      <c r="C1790" s="15">
        <v>8</v>
      </c>
      <c r="D1790" s="17">
        <v>95783</v>
      </c>
      <c r="E1790" s="17">
        <v>44900</v>
      </c>
      <c r="F1790" s="17">
        <v>-50883</v>
      </c>
      <c r="G1790" s="18">
        <v>0.4687679442072184</v>
      </c>
      <c r="H1790" s="10">
        <v>2025</v>
      </c>
    </row>
    <row r="1791" spans="1:8" hidden="1" x14ac:dyDescent="0.3">
      <c r="A1791" s="16" t="s">
        <v>64</v>
      </c>
      <c r="B1791" s="16" t="s">
        <v>192</v>
      </c>
      <c r="C1791" s="15">
        <v>9</v>
      </c>
      <c r="D1791" s="17">
        <v>89510</v>
      </c>
      <c r="E1791" s="17">
        <v>42400</v>
      </c>
      <c r="F1791" s="17">
        <v>-47110</v>
      </c>
      <c r="G1791" s="18">
        <v>0.4736900904926824</v>
      </c>
      <c r="H1791" s="10">
        <v>2025</v>
      </c>
    </row>
    <row r="1792" spans="1:8" hidden="1" x14ac:dyDescent="0.3">
      <c r="A1792" s="16" t="s">
        <v>64</v>
      </c>
      <c r="B1792" s="16" t="s">
        <v>192</v>
      </c>
      <c r="C1792" s="15">
        <v>10</v>
      </c>
      <c r="D1792" s="17">
        <v>104061</v>
      </c>
      <c r="E1792" s="17">
        <v>64300</v>
      </c>
      <c r="F1792" s="17">
        <v>-39761</v>
      </c>
      <c r="G1792" s="18">
        <v>0.6179068046626498</v>
      </c>
      <c r="H1792" s="10">
        <v>2025</v>
      </c>
    </row>
    <row r="1793" spans="1:8" hidden="1" x14ac:dyDescent="0.3">
      <c r="A1793" s="16" t="s">
        <v>64</v>
      </c>
      <c r="B1793" s="16" t="s">
        <v>193</v>
      </c>
      <c r="C1793" s="15">
        <v>1</v>
      </c>
      <c r="D1793" s="17">
        <v>0</v>
      </c>
      <c r="E1793" s="17">
        <v>151</v>
      </c>
      <c r="F1793" s="17">
        <v>151</v>
      </c>
      <c r="G1793" s="18">
        <v>0</v>
      </c>
      <c r="H1793" s="10">
        <v>2025</v>
      </c>
    </row>
    <row r="1794" spans="1:8" hidden="1" x14ac:dyDescent="0.3">
      <c r="A1794" s="16" t="s">
        <v>64</v>
      </c>
      <c r="B1794" s="16" t="s">
        <v>193</v>
      </c>
      <c r="C1794" s="15">
        <v>2</v>
      </c>
      <c r="D1794" s="17">
        <v>0</v>
      </c>
      <c r="E1794" s="17">
        <v>48</v>
      </c>
      <c r="F1794" s="17">
        <v>48</v>
      </c>
      <c r="G1794" s="18">
        <v>0</v>
      </c>
      <c r="H1794" s="10">
        <v>2025</v>
      </c>
    </row>
    <row r="1795" spans="1:8" hidden="1" x14ac:dyDescent="0.3">
      <c r="A1795" s="16" t="s">
        <v>64</v>
      </c>
      <c r="B1795" s="16" t="s">
        <v>193</v>
      </c>
      <c r="C1795" s="15">
        <v>7</v>
      </c>
      <c r="D1795" s="17">
        <v>0</v>
      </c>
      <c r="E1795" s="17">
        <v>15</v>
      </c>
      <c r="F1795" s="17">
        <v>15</v>
      </c>
      <c r="G1795" s="18">
        <v>0</v>
      </c>
      <c r="H1795" s="10">
        <v>2025</v>
      </c>
    </row>
    <row r="1796" spans="1:8" hidden="1" x14ac:dyDescent="0.3">
      <c r="A1796" s="16" t="s">
        <v>64</v>
      </c>
      <c r="B1796" s="16" t="s">
        <v>193</v>
      </c>
      <c r="C1796" s="15">
        <v>8</v>
      </c>
      <c r="D1796" s="17">
        <v>0</v>
      </c>
      <c r="E1796" s="17">
        <v>16</v>
      </c>
      <c r="F1796" s="17">
        <v>16</v>
      </c>
      <c r="G1796" s="18">
        <v>0</v>
      </c>
      <c r="H1796" s="10">
        <v>2025</v>
      </c>
    </row>
    <row r="1797" spans="1:8" hidden="1" x14ac:dyDescent="0.3">
      <c r="A1797" s="16" t="s">
        <v>64</v>
      </c>
      <c r="B1797" s="16" t="s">
        <v>194</v>
      </c>
      <c r="C1797" s="15">
        <v>1</v>
      </c>
      <c r="D1797" s="17">
        <v>266115</v>
      </c>
      <c r="E1797" s="17">
        <v>273951</v>
      </c>
      <c r="F1797" s="17">
        <v>7836</v>
      </c>
      <c r="G1797" s="18">
        <v>1.02944591623922</v>
      </c>
      <c r="H1797" s="10">
        <v>2025</v>
      </c>
    </row>
    <row r="1798" spans="1:8" hidden="1" x14ac:dyDescent="0.3">
      <c r="A1798" s="16" t="s">
        <v>64</v>
      </c>
      <c r="B1798" s="16" t="s">
        <v>194</v>
      </c>
      <c r="C1798" s="15">
        <v>2</v>
      </c>
      <c r="D1798" s="17">
        <v>326512</v>
      </c>
      <c r="E1798" s="17">
        <v>327248</v>
      </c>
      <c r="F1798" s="17">
        <v>736</v>
      </c>
      <c r="G1798" s="18">
        <v>1.0022541284853237</v>
      </c>
      <c r="H1798" s="10">
        <v>2025</v>
      </c>
    </row>
    <row r="1799" spans="1:8" hidden="1" x14ac:dyDescent="0.3">
      <c r="A1799" s="16" t="s">
        <v>64</v>
      </c>
      <c r="B1799" s="16" t="s">
        <v>194</v>
      </c>
      <c r="C1799" s="15">
        <v>3</v>
      </c>
      <c r="D1799" s="17">
        <v>811293</v>
      </c>
      <c r="E1799" s="17">
        <v>300000</v>
      </c>
      <c r="F1799" s="17">
        <v>-511293</v>
      </c>
      <c r="G1799" s="18">
        <v>0.36978009177941878</v>
      </c>
      <c r="H1799" s="10">
        <v>2025</v>
      </c>
    </row>
    <row r="1800" spans="1:8" hidden="1" x14ac:dyDescent="0.3">
      <c r="A1800" s="16" t="s">
        <v>64</v>
      </c>
      <c r="B1800" s="16" t="s">
        <v>194</v>
      </c>
      <c r="C1800" s="15">
        <v>4</v>
      </c>
      <c r="D1800" s="17">
        <v>412144</v>
      </c>
      <c r="E1800" s="17">
        <v>300000</v>
      </c>
      <c r="F1800" s="17">
        <v>-112144</v>
      </c>
      <c r="G1800" s="18">
        <v>0.72790092783104943</v>
      </c>
      <c r="H1800" s="10">
        <v>2025</v>
      </c>
    </row>
    <row r="1801" spans="1:8" hidden="1" x14ac:dyDescent="0.3">
      <c r="A1801" s="16" t="s">
        <v>64</v>
      </c>
      <c r="B1801" s="16" t="s">
        <v>194</v>
      </c>
      <c r="C1801" s="15">
        <v>5</v>
      </c>
      <c r="D1801" s="17">
        <v>432189</v>
      </c>
      <c r="E1801" s="17">
        <v>0</v>
      </c>
      <c r="F1801" s="17">
        <v>-432189</v>
      </c>
      <c r="G1801" s="18">
        <v>0</v>
      </c>
      <c r="H1801" s="10">
        <v>2025</v>
      </c>
    </row>
    <row r="1802" spans="1:8" hidden="1" x14ac:dyDescent="0.3">
      <c r="A1802" s="16" t="s">
        <v>64</v>
      </c>
      <c r="B1802" s="16" t="s">
        <v>194</v>
      </c>
      <c r="C1802" s="15">
        <v>6</v>
      </c>
      <c r="D1802" s="17">
        <v>471233</v>
      </c>
      <c r="E1802" s="17">
        <v>0</v>
      </c>
      <c r="F1802" s="17">
        <v>-471233</v>
      </c>
      <c r="G1802" s="18">
        <v>0</v>
      </c>
      <c r="H1802" s="10">
        <v>2025</v>
      </c>
    </row>
    <row r="1803" spans="1:8" hidden="1" x14ac:dyDescent="0.3">
      <c r="A1803" s="16" t="s">
        <v>64</v>
      </c>
      <c r="B1803" s="16" t="s">
        <v>194</v>
      </c>
      <c r="C1803" s="15">
        <v>7</v>
      </c>
      <c r="D1803" s="17">
        <v>440824</v>
      </c>
      <c r="E1803" s="17">
        <v>284415</v>
      </c>
      <c r="F1803" s="17">
        <v>-156409</v>
      </c>
      <c r="G1803" s="18">
        <v>0.64518946336860061</v>
      </c>
      <c r="H1803" s="10">
        <v>2025</v>
      </c>
    </row>
    <row r="1804" spans="1:8" hidden="1" x14ac:dyDescent="0.3">
      <c r="A1804" s="16" t="s">
        <v>64</v>
      </c>
      <c r="B1804" s="16" t="s">
        <v>194</v>
      </c>
      <c r="C1804" s="15">
        <v>8</v>
      </c>
      <c r="D1804" s="17">
        <v>471067</v>
      </c>
      <c r="E1804" s="17">
        <v>221116</v>
      </c>
      <c r="F1804" s="17">
        <v>-249951</v>
      </c>
      <c r="G1804" s="18">
        <v>0.4693939503297832</v>
      </c>
      <c r="H1804" s="10">
        <v>2025</v>
      </c>
    </row>
    <row r="1805" spans="1:8" hidden="1" x14ac:dyDescent="0.3">
      <c r="A1805" s="16" t="s">
        <v>64</v>
      </c>
      <c r="B1805" s="16" t="s">
        <v>194</v>
      </c>
      <c r="C1805" s="15">
        <v>9</v>
      </c>
      <c r="D1805" s="17">
        <v>440217</v>
      </c>
      <c r="E1805" s="17">
        <v>208200</v>
      </c>
      <c r="F1805" s="17">
        <v>-232017</v>
      </c>
      <c r="G1805" s="18">
        <v>0.47294856854687578</v>
      </c>
      <c r="H1805" s="10">
        <v>2025</v>
      </c>
    </row>
    <row r="1806" spans="1:8" hidden="1" x14ac:dyDescent="0.3">
      <c r="A1806" s="16" t="s">
        <v>64</v>
      </c>
      <c r="B1806" s="16" t="s">
        <v>200</v>
      </c>
      <c r="C1806" s="15">
        <v>10</v>
      </c>
      <c r="D1806" s="17">
        <v>0</v>
      </c>
      <c r="E1806" s="17">
        <v>3793352</v>
      </c>
      <c r="F1806" s="17">
        <v>3793352</v>
      </c>
      <c r="G1806" s="18">
        <v>0</v>
      </c>
      <c r="H1806" s="10">
        <v>2025</v>
      </c>
    </row>
    <row r="1807" spans="1:8" hidden="1" x14ac:dyDescent="0.3">
      <c r="A1807" s="16" t="s">
        <v>64</v>
      </c>
      <c r="B1807" s="16" t="s">
        <v>201</v>
      </c>
      <c r="C1807" s="15">
        <v>10</v>
      </c>
      <c r="D1807" s="17">
        <v>0</v>
      </c>
      <c r="E1807" s="17">
        <v>117250</v>
      </c>
      <c r="F1807" s="17">
        <v>117250</v>
      </c>
      <c r="G1807" s="18">
        <v>0</v>
      </c>
      <c r="H1807" s="10">
        <v>2025</v>
      </c>
    </row>
    <row r="1808" spans="1:8" hidden="1" x14ac:dyDescent="0.3">
      <c r="A1808" s="16" t="s">
        <v>64</v>
      </c>
      <c r="B1808" s="16" t="s">
        <v>202</v>
      </c>
      <c r="C1808" s="15">
        <v>10</v>
      </c>
      <c r="D1808" s="17">
        <v>0</v>
      </c>
      <c r="E1808" s="17">
        <v>34924</v>
      </c>
      <c r="F1808" s="17">
        <v>34924</v>
      </c>
      <c r="G1808" s="18">
        <v>0</v>
      </c>
      <c r="H1808" s="10">
        <v>2025</v>
      </c>
    </row>
    <row r="1809" spans="1:8" hidden="1" x14ac:dyDescent="0.3">
      <c r="A1809" s="16" t="s">
        <v>64</v>
      </c>
      <c r="B1809" s="16" t="s">
        <v>194</v>
      </c>
      <c r="C1809" s="15">
        <v>10</v>
      </c>
      <c r="D1809" s="17">
        <v>511779</v>
      </c>
      <c r="E1809" s="17">
        <v>316100</v>
      </c>
      <c r="F1809" s="17">
        <v>-195679</v>
      </c>
      <c r="G1809" s="18">
        <v>0.61764941507955584</v>
      </c>
      <c r="H1809" s="10">
        <v>2025</v>
      </c>
    </row>
    <row r="1810" spans="1:8" hidden="1" x14ac:dyDescent="0.3">
      <c r="A1810" s="16" t="s">
        <v>64</v>
      </c>
      <c r="B1810" s="16" t="s">
        <v>195</v>
      </c>
      <c r="C1810" s="15">
        <v>1</v>
      </c>
      <c r="D1810" s="17">
        <v>88705</v>
      </c>
      <c r="E1810" s="17">
        <v>91400</v>
      </c>
      <c r="F1810" s="17">
        <v>2695</v>
      </c>
      <c r="G1810" s="18">
        <v>1.0303816019390113</v>
      </c>
      <c r="H1810" s="10">
        <v>2025</v>
      </c>
    </row>
    <row r="1811" spans="1:8" hidden="1" x14ac:dyDescent="0.3">
      <c r="A1811" s="16" t="s">
        <v>64</v>
      </c>
      <c r="B1811" s="16" t="s">
        <v>195</v>
      </c>
      <c r="C1811" s="15">
        <v>2</v>
      </c>
      <c r="D1811" s="17">
        <v>108837</v>
      </c>
      <c r="E1811" s="17">
        <v>109100</v>
      </c>
      <c r="F1811" s="17">
        <v>263</v>
      </c>
      <c r="G1811" s="18">
        <v>1.0024164576384869</v>
      </c>
      <c r="H1811" s="10">
        <v>2025</v>
      </c>
    </row>
    <row r="1812" spans="1:8" hidden="1" x14ac:dyDescent="0.3">
      <c r="A1812" s="16" t="s">
        <v>64</v>
      </c>
      <c r="B1812" s="16" t="s">
        <v>195</v>
      </c>
      <c r="C1812" s="15">
        <v>3</v>
      </c>
      <c r="D1812" s="17">
        <v>270431</v>
      </c>
      <c r="E1812" s="17">
        <v>100000</v>
      </c>
      <c r="F1812" s="17">
        <v>-170431</v>
      </c>
      <c r="G1812" s="18">
        <v>0.36978009177941878</v>
      </c>
      <c r="H1812" s="10">
        <v>2025</v>
      </c>
    </row>
    <row r="1813" spans="1:8" hidden="1" x14ac:dyDescent="0.3">
      <c r="A1813" s="16" t="s">
        <v>64</v>
      </c>
      <c r="B1813" s="16" t="s">
        <v>195</v>
      </c>
      <c r="C1813" s="15">
        <v>4</v>
      </c>
      <c r="D1813" s="17">
        <v>137381</v>
      </c>
      <c r="E1813" s="17">
        <v>100000</v>
      </c>
      <c r="F1813" s="17">
        <v>-37381</v>
      </c>
      <c r="G1813" s="18">
        <v>0.72790269396787044</v>
      </c>
      <c r="H1813" s="10">
        <v>2025</v>
      </c>
    </row>
    <row r="1814" spans="1:8" hidden="1" x14ac:dyDescent="0.3">
      <c r="A1814" s="16" t="s">
        <v>64</v>
      </c>
      <c r="B1814" s="16" t="s">
        <v>195</v>
      </c>
      <c r="C1814" s="15">
        <v>5</v>
      </c>
      <c r="D1814" s="17">
        <v>144063</v>
      </c>
      <c r="E1814" s="17">
        <v>0</v>
      </c>
      <c r="F1814" s="17">
        <v>-144063</v>
      </c>
      <c r="G1814" s="18">
        <v>0</v>
      </c>
      <c r="H1814" s="10">
        <v>2025</v>
      </c>
    </row>
    <row r="1815" spans="1:8" hidden="1" x14ac:dyDescent="0.3">
      <c r="A1815" s="16" t="s">
        <v>64</v>
      </c>
      <c r="B1815" s="16" t="s">
        <v>195</v>
      </c>
      <c r="C1815" s="15">
        <v>6</v>
      </c>
      <c r="D1815" s="17">
        <v>157077</v>
      </c>
      <c r="E1815" s="17">
        <v>0</v>
      </c>
      <c r="F1815" s="17">
        <v>-157077</v>
      </c>
      <c r="G1815" s="18">
        <v>0</v>
      </c>
      <c r="H1815" s="10">
        <v>2025</v>
      </c>
    </row>
    <row r="1816" spans="1:8" hidden="1" x14ac:dyDescent="0.3">
      <c r="A1816" s="16" t="s">
        <v>64</v>
      </c>
      <c r="B1816" s="16" t="s">
        <v>195</v>
      </c>
      <c r="C1816" s="15">
        <v>7</v>
      </c>
      <c r="D1816" s="17">
        <v>146941</v>
      </c>
      <c r="E1816" s="17">
        <v>94800</v>
      </c>
      <c r="F1816" s="17">
        <v>-52141</v>
      </c>
      <c r="G1816" s="18">
        <v>0.64515689970804613</v>
      </c>
      <c r="H1816" s="10">
        <v>2025</v>
      </c>
    </row>
    <row r="1817" spans="1:8" hidden="1" x14ac:dyDescent="0.3">
      <c r="A1817" s="16" t="s">
        <v>64</v>
      </c>
      <c r="B1817" s="16" t="s">
        <v>195</v>
      </c>
      <c r="C1817" s="15">
        <v>8</v>
      </c>
      <c r="D1817" s="17">
        <v>157022</v>
      </c>
      <c r="E1817" s="17">
        <v>73700</v>
      </c>
      <c r="F1817" s="17">
        <v>-83322</v>
      </c>
      <c r="G1817" s="18">
        <v>0.46936098126377196</v>
      </c>
      <c r="H1817" s="10">
        <v>2025</v>
      </c>
    </row>
    <row r="1818" spans="1:8" hidden="1" x14ac:dyDescent="0.3">
      <c r="A1818" s="16" t="s">
        <v>64</v>
      </c>
      <c r="B1818" s="16" t="s">
        <v>195</v>
      </c>
      <c r="C1818" s="15">
        <v>9</v>
      </c>
      <c r="D1818" s="17">
        <v>146739</v>
      </c>
      <c r="E1818" s="17">
        <v>69400</v>
      </c>
      <c r="F1818" s="17">
        <v>-77339</v>
      </c>
      <c r="G1818" s="18">
        <v>0.47294856854687578</v>
      </c>
      <c r="H1818" s="10">
        <v>2025</v>
      </c>
    </row>
    <row r="1819" spans="1:8" hidden="1" x14ac:dyDescent="0.3">
      <c r="A1819" s="16" t="s">
        <v>64</v>
      </c>
      <c r="B1819" s="16" t="s">
        <v>195</v>
      </c>
      <c r="C1819" s="15">
        <v>10</v>
      </c>
      <c r="D1819" s="17">
        <v>170593</v>
      </c>
      <c r="E1819" s="17">
        <v>105400</v>
      </c>
      <c r="F1819" s="17">
        <v>-65193</v>
      </c>
      <c r="G1819" s="18">
        <v>0.61784481192077056</v>
      </c>
      <c r="H1819" s="10">
        <v>2025</v>
      </c>
    </row>
    <row r="1820" spans="1:8" hidden="1" x14ac:dyDescent="0.3">
      <c r="A1820" s="16" t="s">
        <v>64</v>
      </c>
      <c r="B1820" s="16" t="s">
        <v>199</v>
      </c>
      <c r="C1820" s="15">
        <v>1</v>
      </c>
      <c r="D1820" s="17">
        <v>14056</v>
      </c>
      <c r="E1820" s="17">
        <v>0</v>
      </c>
      <c r="F1820" s="17">
        <v>-14056</v>
      </c>
      <c r="G1820" s="18">
        <v>0</v>
      </c>
      <c r="H1820" s="10">
        <v>2025</v>
      </c>
    </row>
    <row r="1821" spans="1:8" hidden="1" x14ac:dyDescent="0.3">
      <c r="A1821" s="16" t="s">
        <v>64</v>
      </c>
      <c r="B1821" s="16" t="s">
        <v>199</v>
      </c>
      <c r="C1821" s="15">
        <v>2</v>
      </c>
      <c r="D1821" s="17">
        <v>14056</v>
      </c>
      <c r="E1821" s="17">
        <v>0</v>
      </c>
      <c r="F1821" s="17">
        <v>-14056</v>
      </c>
      <c r="G1821" s="18">
        <v>0</v>
      </c>
      <c r="H1821" s="10">
        <v>2025</v>
      </c>
    </row>
    <row r="1822" spans="1:8" hidden="1" x14ac:dyDescent="0.3">
      <c r="A1822" s="16" t="s">
        <v>64</v>
      </c>
      <c r="B1822" s="16" t="s">
        <v>199</v>
      </c>
      <c r="C1822" s="15">
        <v>3</v>
      </c>
      <c r="D1822" s="17">
        <v>14056</v>
      </c>
      <c r="E1822" s="17">
        <v>0</v>
      </c>
      <c r="F1822" s="17">
        <v>-14056</v>
      </c>
      <c r="G1822" s="18">
        <v>0</v>
      </c>
      <c r="H1822" s="10">
        <v>2025</v>
      </c>
    </row>
    <row r="1823" spans="1:8" hidden="1" x14ac:dyDescent="0.3">
      <c r="A1823" s="16" t="s">
        <v>64</v>
      </c>
      <c r="B1823" s="16" t="s">
        <v>199</v>
      </c>
      <c r="C1823" s="15">
        <v>4</v>
      </c>
      <c r="D1823" s="17">
        <v>14056</v>
      </c>
      <c r="E1823" s="17">
        <v>0</v>
      </c>
      <c r="F1823" s="17">
        <v>-14056</v>
      </c>
      <c r="G1823" s="18">
        <v>0</v>
      </c>
      <c r="H1823" s="10">
        <v>2025</v>
      </c>
    </row>
    <row r="1824" spans="1:8" hidden="1" x14ac:dyDescent="0.3">
      <c r="A1824" s="16" t="s">
        <v>64</v>
      </c>
      <c r="B1824" s="16" t="s">
        <v>199</v>
      </c>
      <c r="C1824" s="15">
        <v>5</v>
      </c>
      <c r="D1824" s="17">
        <v>14056</v>
      </c>
      <c r="E1824" s="17">
        <v>0</v>
      </c>
      <c r="F1824" s="17">
        <v>-14056</v>
      </c>
      <c r="G1824" s="18">
        <v>0</v>
      </c>
      <c r="H1824" s="10">
        <v>2025</v>
      </c>
    </row>
    <row r="1825" spans="1:8" hidden="1" x14ac:dyDescent="0.3">
      <c r="A1825" s="16" t="s">
        <v>64</v>
      </c>
      <c r="B1825" s="16" t="s">
        <v>199</v>
      </c>
      <c r="C1825" s="15">
        <v>6</v>
      </c>
      <c r="D1825" s="17">
        <v>49056</v>
      </c>
      <c r="E1825" s="17">
        <v>0</v>
      </c>
      <c r="F1825" s="17">
        <v>-49056</v>
      </c>
      <c r="G1825" s="18">
        <v>0</v>
      </c>
      <c r="H1825" s="10">
        <v>2025</v>
      </c>
    </row>
    <row r="1826" spans="1:8" hidden="1" x14ac:dyDescent="0.3">
      <c r="A1826" s="16" t="s">
        <v>64</v>
      </c>
      <c r="B1826" s="16" t="s">
        <v>199</v>
      </c>
      <c r="C1826" s="15">
        <v>7</v>
      </c>
      <c r="D1826" s="17">
        <v>14056</v>
      </c>
      <c r="E1826" s="17">
        <v>0</v>
      </c>
      <c r="F1826" s="17">
        <v>-14056</v>
      </c>
      <c r="G1826" s="18">
        <v>0</v>
      </c>
      <c r="H1826" s="10">
        <v>2025</v>
      </c>
    </row>
    <row r="1827" spans="1:8" hidden="1" x14ac:dyDescent="0.3">
      <c r="A1827" s="16" t="s">
        <v>64</v>
      </c>
      <c r="B1827" s="16" t="s">
        <v>199</v>
      </c>
      <c r="C1827" s="15">
        <v>8</v>
      </c>
      <c r="D1827" s="17">
        <v>14056</v>
      </c>
      <c r="E1827" s="17">
        <v>0</v>
      </c>
      <c r="F1827" s="17">
        <v>-14056</v>
      </c>
      <c r="G1827" s="18">
        <v>0</v>
      </c>
      <c r="H1827" s="10">
        <v>2025</v>
      </c>
    </row>
    <row r="1828" spans="1:8" hidden="1" x14ac:dyDescent="0.3">
      <c r="A1828" s="16" t="s">
        <v>64</v>
      </c>
      <c r="B1828" s="16" t="s">
        <v>199</v>
      </c>
      <c r="C1828" s="15">
        <v>9</v>
      </c>
      <c r="D1828" s="17">
        <v>14056</v>
      </c>
      <c r="E1828" s="17">
        <v>0</v>
      </c>
      <c r="F1828" s="17">
        <v>-14056</v>
      </c>
      <c r="G1828" s="18">
        <v>0</v>
      </c>
      <c r="H1828" s="10">
        <v>2025</v>
      </c>
    </row>
    <row r="1829" spans="1:8" hidden="1" x14ac:dyDescent="0.3">
      <c r="A1829" s="16" t="s">
        <v>64</v>
      </c>
      <c r="B1829" s="16" t="s">
        <v>199</v>
      </c>
      <c r="C1829" s="15">
        <v>10</v>
      </c>
      <c r="D1829" s="17">
        <v>14056</v>
      </c>
      <c r="E1829" s="17">
        <v>0</v>
      </c>
      <c r="F1829" s="17">
        <v>-14056</v>
      </c>
      <c r="G1829" s="18">
        <v>0</v>
      </c>
      <c r="H1829" s="10">
        <v>2025</v>
      </c>
    </row>
    <row r="1830" spans="1:8" hidden="1" x14ac:dyDescent="0.3">
      <c r="A1830" s="16" t="s">
        <v>64</v>
      </c>
      <c r="B1830" s="16" t="s">
        <v>200</v>
      </c>
      <c r="C1830" s="15">
        <v>7</v>
      </c>
      <c r="D1830" s="17">
        <v>0</v>
      </c>
      <c r="E1830" s="17">
        <v>3164406</v>
      </c>
      <c r="F1830" s="17">
        <v>3164406</v>
      </c>
      <c r="G1830" s="18">
        <v>0</v>
      </c>
      <c r="H1830" s="10">
        <v>2025</v>
      </c>
    </row>
    <row r="1831" spans="1:8" hidden="1" x14ac:dyDescent="0.3">
      <c r="A1831" s="16" t="s">
        <v>64</v>
      </c>
      <c r="B1831" s="16" t="s">
        <v>200</v>
      </c>
      <c r="C1831" s="15">
        <v>8</v>
      </c>
      <c r="D1831" s="17">
        <v>0</v>
      </c>
      <c r="E1831" s="17">
        <v>2949396</v>
      </c>
      <c r="F1831" s="17">
        <v>2949396</v>
      </c>
      <c r="G1831" s="18">
        <v>0</v>
      </c>
      <c r="H1831" s="10">
        <v>2025</v>
      </c>
    </row>
    <row r="1832" spans="1:8" hidden="1" x14ac:dyDescent="0.3">
      <c r="A1832" s="16" t="s">
        <v>64</v>
      </c>
      <c r="B1832" s="16" t="s">
        <v>200</v>
      </c>
      <c r="C1832" s="15">
        <v>9</v>
      </c>
      <c r="D1832" s="17">
        <v>0</v>
      </c>
      <c r="E1832" s="17">
        <v>2940964</v>
      </c>
      <c r="F1832" s="17">
        <v>2940964</v>
      </c>
      <c r="G1832" s="18">
        <v>0</v>
      </c>
      <c r="H1832" s="10">
        <v>2025</v>
      </c>
    </row>
    <row r="1833" spans="1:8" hidden="1" x14ac:dyDescent="0.3">
      <c r="A1833" s="16" t="s">
        <v>64</v>
      </c>
      <c r="B1833" s="16" t="s">
        <v>201</v>
      </c>
      <c r="C1833" s="15">
        <v>7</v>
      </c>
      <c r="D1833" s="17">
        <v>0</v>
      </c>
      <c r="E1833" s="17">
        <v>114235</v>
      </c>
      <c r="F1833" s="17">
        <v>114235</v>
      </c>
      <c r="G1833" s="18">
        <v>0</v>
      </c>
      <c r="H1833" s="10">
        <v>2025</v>
      </c>
    </row>
    <row r="1834" spans="1:8" hidden="1" x14ac:dyDescent="0.3">
      <c r="A1834" s="16" t="s">
        <v>64</v>
      </c>
      <c r="B1834" s="16" t="s">
        <v>201</v>
      </c>
      <c r="C1834" s="15">
        <v>8</v>
      </c>
      <c r="D1834" s="17">
        <v>0</v>
      </c>
      <c r="E1834" s="17">
        <v>220854</v>
      </c>
      <c r="F1834" s="17">
        <v>220854</v>
      </c>
      <c r="G1834" s="18">
        <v>0</v>
      </c>
      <c r="H1834" s="10">
        <v>2025</v>
      </c>
    </row>
    <row r="1835" spans="1:8" hidden="1" x14ac:dyDescent="0.3">
      <c r="A1835" s="16" t="s">
        <v>64</v>
      </c>
      <c r="B1835" s="16" t="s">
        <v>201</v>
      </c>
      <c r="C1835" s="15">
        <v>9</v>
      </c>
      <c r="D1835" s="17">
        <v>0</v>
      </c>
      <c r="E1835" s="17">
        <v>228470</v>
      </c>
      <c r="F1835" s="17">
        <v>228470</v>
      </c>
      <c r="G1835" s="18">
        <v>0</v>
      </c>
      <c r="H1835" s="10">
        <v>2025</v>
      </c>
    </row>
    <row r="1836" spans="1:8" hidden="1" x14ac:dyDescent="0.3">
      <c r="A1836" s="16" t="s">
        <v>64</v>
      </c>
      <c r="B1836" s="16" t="s">
        <v>202</v>
      </c>
      <c r="C1836" s="15">
        <v>7</v>
      </c>
      <c r="D1836" s="17">
        <v>0</v>
      </c>
      <c r="E1836" s="17">
        <v>34924</v>
      </c>
      <c r="F1836" s="17">
        <v>34924</v>
      </c>
      <c r="G1836" s="18">
        <v>0</v>
      </c>
      <c r="H1836" s="10">
        <v>2025</v>
      </c>
    </row>
    <row r="1837" spans="1:8" hidden="1" x14ac:dyDescent="0.3">
      <c r="A1837" s="16" t="s">
        <v>64</v>
      </c>
      <c r="B1837" s="16" t="s">
        <v>202</v>
      </c>
      <c r="C1837" s="15">
        <v>8</v>
      </c>
      <c r="D1837" s="17">
        <v>0</v>
      </c>
      <c r="E1837" s="17">
        <v>67520</v>
      </c>
      <c r="F1837" s="17">
        <v>67520</v>
      </c>
      <c r="G1837" s="18">
        <v>0</v>
      </c>
      <c r="H1837" s="10">
        <v>2025</v>
      </c>
    </row>
    <row r="1838" spans="1:8" hidden="1" x14ac:dyDescent="0.3">
      <c r="A1838" s="16" t="s">
        <v>64</v>
      </c>
      <c r="B1838" s="16" t="s">
        <v>202</v>
      </c>
      <c r="C1838" s="15">
        <v>9</v>
      </c>
      <c r="D1838" s="17">
        <v>0</v>
      </c>
      <c r="E1838" s="17">
        <v>69848</v>
      </c>
      <c r="F1838" s="17">
        <v>69848</v>
      </c>
      <c r="G1838" s="18">
        <v>0</v>
      </c>
      <c r="H1838" s="10">
        <v>2025</v>
      </c>
    </row>
    <row r="1839" spans="1:8" hidden="1" x14ac:dyDescent="0.3">
      <c r="A1839" s="16" t="s">
        <v>64</v>
      </c>
      <c r="B1839" s="16" t="s">
        <v>208</v>
      </c>
      <c r="C1839" s="15">
        <v>9</v>
      </c>
      <c r="D1839" s="17">
        <v>0</v>
      </c>
      <c r="E1839" s="17">
        <v>82893</v>
      </c>
      <c r="F1839" s="17">
        <v>82893</v>
      </c>
      <c r="G1839" s="18">
        <v>0</v>
      </c>
      <c r="H1839" s="10">
        <v>2025</v>
      </c>
    </row>
    <row r="1840" spans="1:8" hidden="1" x14ac:dyDescent="0.3">
      <c r="A1840" s="16" t="s">
        <v>64</v>
      </c>
      <c r="B1840" s="16" t="s">
        <v>184</v>
      </c>
      <c r="C1840" s="15">
        <v>11</v>
      </c>
      <c r="D1840" s="17">
        <v>180078</v>
      </c>
      <c r="E1840" s="17">
        <v>90893</v>
      </c>
      <c r="F1840" s="17">
        <v>-89185</v>
      </c>
      <c r="G1840" s="18">
        <v>0.50474238940903393</v>
      </c>
      <c r="H1840" s="10">
        <v>2025</v>
      </c>
    </row>
    <row r="1841" spans="1:8" hidden="1" x14ac:dyDescent="0.3">
      <c r="A1841" s="16" t="s">
        <v>64</v>
      </c>
      <c r="B1841" s="16" t="s">
        <v>177</v>
      </c>
      <c r="C1841" s="15">
        <v>12</v>
      </c>
      <c r="D1841" s="17">
        <v>3600000</v>
      </c>
      <c r="E1841" s="17">
        <v>3258866</v>
      </c>
      <c r="F1841" s="17">
        <v>-341134</v>
      </c>
      <c r="G1841" s="18">
        <v>0.9052405555555556</v>
      </c>
      <c r="H1841" s="10">
        <v>2025</v>
      </c>
    </row>
    <row r="1842" spans="1:8" hidden="1" x14ac:dyDescent="0.3">
      <c r="A1842" s="16" t="s">
        <v>64</v>
      </c>
      <c r="B1842" s="16" t="s">
        <v>205</v>
      </c>
      <c r="C1842" s="15">
        <v>12</v>
      </c>
      <c r="D1842" s="17">
        <v>353793</v>
      </c>
      <c r="E1842" s="17">
        <v>722784</v>
      </c>
      <c r="F1842" s="17">
        <v>368991</v>
      </c>
      <c r="G1842" s="18">
        <v>2.0429573225021413</v>
      </c>
      <c r="H1842" s="10">
        <v>2025</v>
      </c>
    </row>
    <row r="1843" spans="1:8" hidden="1" x14ac:dyDescent="0.3">
      <c r="A1843" s="16" t="s">
        <v>64</v>
      </c>
      <c r="B1843" s="16" t="s">
        <v>206</v>
      </c>
      <c r="C1843" s="15">
        <v>12</v>
      </c>
      <c r="D1843" s="17">
        <v>400000</v>
      </c>
      <c r="E1843" s="17">
        <v>360000</v>
      </c>
      <c r="F1843" s="17">
        <v>-40000</v>
      </c>
      <c r="G1843" s="18">
        <v>0.9</v>
      </c>
      <c r="H1843" s="10">
        <v>2025</v>
      </c>
    </row>
    <row r="1844" spans="1:8" hidden="1" x14ac:dyDescent="0.3">
      <c r="A1844" s="16" t="s">
        <v>64</v>
      </c>
      <c r="B1844" s="16" t="s">
        <v>181</v>
      </c>
      <c r="C1844" s="15">
        <v>12</v>
      </c>
      <c r="D1844" s="17">
        <v>362670</v>
      </c>
      <c r="E1844" s="17">
        <v>362839</v>
      </c>
      <c r="F1844" s="17">
        <v>169</v>
      </c>
      <c r="G1844" s="18">
        <v>1.0004659883640776</v>
      </c>
      <c r="H1844" s="10">
        <v>2025</v>
      </c>
    </row>
    <row r="1845" spans="1:8" hidden="1" x14ac:dyDescent="0.3">
      <c r="A1845" s="16" t="s">
        <v>64</v>
      </c>
      <c r="B1845" s="16" t="s">
        <v>182</v>
      </c>
      <c r="C1845" s="15">
        <v>12</v>
      </c>
      <c r="D1845" s="17">
        <v>43520</v>
      </c>
      <c r="E1845" s="17">
        <v>24648</v>
      </c>
      <c r="F1845" s="17">
        <v>-18872</v>
      </c>
      <c r="G1845" s="18">
        <v>0.5663602941176471</v>
      </c>
      <c r="H1845" s="10">
        <v>2025</v>
      </c>
    </row>
    <row r="1846" spans="1:8" hidden="1" x14ac:dyDescent="0.3">
      <c r="A1846" s="16" t="s">
        <v>64</v>
      </c>
      <c r="B1846" s="16" t="s">
        <v>183</v>
      </c>
      <c r="C1846" s="15">
        <v>12</v>
      </c>
      <c r="D1846" s="17">
        <v>362670</v>
      </c>
      <c r="E1846" s="17">
        <v>357667</v>
      </c>
      <c r="F1846" s="17">
        <v>-5003</v>
      </c>
      <c r="G1846" s="18">
        <v>0.98620509002674617</v>
      </c>
      <c r="H1846" s="10">
        <v>2025</v>
      </c>
    </row>
    <row r="1847" spans="1:8" hidden="1" x14ac:dyDescent="0.3">
      <c r="A1847" s="16" t="s">
        <v>64</v>
      </c>
      <c r="B1847" s="16" t="s">
        <v>184</v>
      </c>
      <c r="C1847" s="15">
        <v>12</v>
      </c>
      <c r="D1847" s="17">
        <v>164873</v>
      </c>
      <c r="E1847" s="17">
        <v>62695</v>
      </c>
      <c r="F1847" s="17">
        <v>-102178</v>
      </c>
      <c r="G1847" s="18">
        <v>0.3802623837741777</v>
      </c>
      <c r="H1847" s="10">
        <v>2025</v>
      </c>
    </row>
    <row r="1848" spans="1:8" hidden="1" x14ac:dyDescent="0.3">
      <c r="A1848" s="16" t="s">
        <v>64</v>
      </c>
      <c r="B1848" s="16" t="s">
        <v>185</v>
      </c>
      <c r="C1848" s="15">
        <v>12</v>
      </c>
      <c r="D1848" s="17">
        <v>54562</v>
      </c>
      <c r="E1848" s="17">
        <v>54945</v>
      </c>
      <c r="F1848" s="17">
        <v>383</v>
      </c>
      <c r="G1848" s="18">
        <v>1.0070195374069866</v>
      </c>
      <c r="H1848" s="10">
        <v>2025</v>
      </c>
    </row>
    <row r="1849" spans="1:8" hidden="1" x14ac:dyDescent="0.3">
      <c r="A1849" s="16" t="s">
        <v>64</v>
      </c>
      <c r="B1849" s="16" t="s">
        <v>186</v>
      </c>
      <c r="C1849" s="15">
        <v>12</v>
      </c>
      <c r="D1849" s="17">
        <v>491040</v>
      </c>
      <c r="E1849" s="17">
        <v>1053539</v>
      </c>
      <c r="F1849" s="17">
        <v>562499</v>
      </c>
      <c r="G1849" s="18">
        <v>2.145525822743565</v>
      </c>
      <c r="H1849" s="10">
        <v>2025</v>
      </c>
    </row>
    <row r="1850" spans="1:8" hidden="1" x14ac:dyDescent="0.3">
      <c r="A1850" s="16" t="s">
        <v>64</v>
      </c>
      <c r="B1850" s="16" t="s">
        <v>187</v>
      </c>
      <c r="C1850" s="15">
        <v>12</v>
      </c>
      <c r="D1850" s="17">
        <v>150120</v>
      </c>
      <c r="E1850" s="17">
        <v>66047</v>
      </c>
      <c r="F1850" s="17">
        <v>-84073</v>
      </c>
      <c r="G1850" s="18">
        <v>0.43996136424193982</v>
      </c>
      <c r="H1850" s="10">
        <v>2025</v>
      </c>
    </row>
    <row r="1851" spans="1:8" hidden="1" x14ac:dyDescent="0.3">
      <c r="A1851" s="16" t="s">
        <v>64</v>
      </c>
      <c r="B1851" s="16" t="s">
        <v>188</v>
      </c>
      <c r="C1851" s="15">
        <v>12</v>
      </c>
      <c r="D1851" s="17">
        <v>58263</v>
      </c>
      <c r="E1851" s="17">
        <v>0</v>
      </c>
      <c r="F1851" s="17">
        <v>-58263</v>
      </c>
      <c r="G1851" s="18">
        <v>0</v>
      </c>
      <c r="H1851" s="10">
        <v>2025</v>
      </c>
    </row>
    <row r="1852" spans="1:8" hidden="1" x14ac:dyDescent="0.3">
      <c r="A1852" s="16" t="s">
        <v>64</v>
      </c>
      <c r="B1852" s="16" t="s">
        <v>189</v>
      </c>
      <c r="C1852" s="15">
        <v>12</v>
      </c>
      <c r="D1852" s="17">
        <v>33542</v>
      </c>
      <c r="E1852" s="17">
        <v>0</v>
      </c>
      <c r="F1852" s="17">
        <v>-33542</v>
      </c>
      <c r="G1852" s="18">
        <v>0</v>
      </c>
      <c r="H1852" s="10">
        <v>2025</v>
      </c>
    </row>
    <row r="1853" spans="1:8" hidden="1" x14ac:dyDescent="0.3">
      <c r="A1853" s="16" t="s">
        <v>64</v>
      </c>
      <c r="B1853" s="16" t="s">
        <v>192</v>
      </c>
      <c r="C1853" s="15">
        <v>12</v>
      </c>
      <c r="D1853" s="17">
        <v>96472</v>
      </c>
      <c r="E1853" s="17">
        <v>85000</v>
      </c>
      <c r="F1853" s="17">
        <v>-11472</v>
      </c>
      <c r="G1853" s="18">
        <v>0.88108466705365296</v>
      </c>
      <c r="H1853" s="10">
        <v>2025</v>
      </c>
    </row>
    <row r="1854" spans="1:8" hidden="1" x14ac:dyDescent="0.3">
      <c r="A1854" s="16" t="s">
        <v>64</v>
      </c>
      <c r="B1854" s="16" t="s">
        <v>194</v>
      </c>
      <c r="C1854" s="15">
        <v>12</v>
      </c>
      <c r="D1854" s="17">
        <v>474455</v>
      </c>
      <c r="E1854" s="17">
        <v>464000</v>
      </c>
      <c r="F1854" s="17">
        <v>-10455</v>
      </c>
      <c r="G1854" s="18">
        <v>0.97796419049224903</v>
      </c>
      <c r="H1854" s="10">
        <v>2025</v>
      </c>
    </row>
    <row r="1855" spans="1:8" hidden="1" x14ac:dyDescent="0.3">
      <c r="A1855" s="16" t="s">
        <v>64</v>
      </c>
      <c r="B1855" s="16" t="s">
        <v>195</v>
      </c>
      <c r="C1855" s="15">
        <v>12</v>
      </c>
      <c r="D1855" s="17">
        <v>158151</v>
      </c>
      <c r="E1855" s="17">
        <v>148400</v>
      </c>
      <c r="F1855" s="17">
        <v>-9751</v>
      </c>
      <c r="G1855" s="18">
        <v>0.93834373478511046</v>
      </c>
      <c r="H1855" s="10">
        <v>2025</v>
      </c>
    </row>
    <row r="1856" spans="1:8" hidden="1" x14ac:dyDescent="0.3">
      <c r="A1856" s="16" t="s">
        <v>64</v>
      </c>
      <c r="B1856" s="16" t="s">
        <v>199</v>
      </c>
      <c r="C1856" s="15">
        <v>12</v>
      </c>
      <c r="D1856" s="17">
        <v>14056</v>
      </c>
      <c r="E1856" s="17">
        <v>0</v>
      </c>
      <c r="F1856" s="17">
        <v>-14056</v>
      </c>
      <c r="G1856" s="18">
        <v>0</v>
      </c>
      <c r="H1856" s="10">
        <v>2025</v>
      </c>
    </row>
    <row r="1857" spans="1:8" hidden="1" x14ac:dyDescent="0.3">
      <c r="A1857" s="16" t="s">
        <v>64</v>
      </c>
      <c r="B1857" s="16" t="s">
        <v>201</v>
      </c>
      <c r="C1857" s="15">
        <v>12</v>
      </c>
      <c r="D1857" s="17">
        <v>0</v>
      </c>
      <c r="E1857" s="17">
        <v>8759436</v>
      </c>
      <c r="F1857" s="17">
        <v>8759436</v>
      </c>
      <c r="G1857" s="18">
        <v>0</v>
      </c>
      <c r="H1857" s="10">
        <v>2025</v>
      </c>
    </row>
    <row r="1858" spans="1:8" hidden="1" x14ac:dyDescent="0.3">
      <c r="A1858" s="16" t="s">
        <v>64</v>
      </c>
      <c r="B1858" s="16" t="s">
        <v>202</v>
      </c>
      <c r="C1858" s="15">
        <v>12</v>
      </c>
      <c r="D1858" s="17">
        <v>0</v>
      </c>
      <c r="E1858" s="17">
        <v>348879</v>
      </c>
      <c r="F1858" s="17">
        <v>348879</v>
      </c>
      <c r="G1858" s="18">
        <v>0</v>
      </c>
      <c r="H1858" s="10">
        <v>2025</v>
      </c>
    </row>
    <row r="1859" spans="1:8" hidden="1" x14ac:dyDescent="0.3">
      <c r="A1859" s="16" t="s">
        <v>67</v>
      </c>
      <c r="B1859" s="16" t="s">
        <v>181</v>
      </c>
      <c r="C1859" s="15">
        <v>11</v>
      </c>
      <c r="D1859" s="17">
        <v>955617</v>
      </c>
      <c r="E1859" s="17">
        <v>955618</v>
      </c>
      <c r="F1859" s="17">
        <v>1</v>
      </c>
      <c r="G1859" s="18">
        <v>1.0000010464443392</v>
      </c>
      <c r="H1859" s="10">
        <v>2025</v>
      </c>
    </row>
    <row r="1860" spans="1:8" hidden="1" x14ac:dyDescent="0.3">
      <c r="A1860" s="16" t="s">
        <v>67</v>
      </c>
      <c r="B1860" s="16" t="s">
        <v>208</v>
      </c>
      <c r="C1860" s="15">
        <v>11</v>
      </c>
      <c r="D1860" s="17">
        <v>0</v>
      </c>
      <c r="E1860" s="17">
        <v>164334</v>
      </c>
      <c r="F1860" s="17">
        <v>164334</v>
      </c>
      <c r="G1860" s="18">
        <v>0</v>
      </c>
      <c r="H1860" s="10">
        <v>2025</v>
      </c>
    </row>
    <row r="1861" spans="1:8" hidden="1" x14ac:dyDescent="0.3">
      <c r="A1861" s="16" t="s">
        <v>67</v>
      </c>
      <c r="B1861" s="16" t="s">
        <v>189</v>
      </c>
      <c r="C1861" s="15">
        <v>11</v>
      </c>
      <c r="D1861" s="17">
        <v>503123</v>
      </c>
      <c r="E1861" s="17">
        <v>161356</v>
      </c>
      <c r="F1861" s="17">
        <v>-341767</v>
      </c>
      <c r="G1861" s="18">
        <v>0.32070885250723979</v>
      </c>
      <c r="H1861" s="10">
        <v>2025</v>
      </c>
    </row>
    <row r="1862" spans="1:8" hidden="1" x14ac:dyDescent="0.3">
      <c r="A1862" s="16" t="s">
        <v>67</v>
      </c>
      <c r="B1862" s="16" t="s">
        <v>199</v>
      </c>
      <c r="C1862" s="15">
        <v>11</v>
      </c>
      <c r="D1862" s="17">
        <v>77309</v>
      </c>
      <c r="E1862" s="17">
        <v>0</v>
      </c>
      <c r="F1862" s="17">
        <v>-77309</v>
      </c>
      <c r="G1862" s="18">
        <v>0</v>
      </c>
      <c r="H1862" s="10">
        <v>2025</v>
      </c>
    </row>
    <row r="1863" spans="1:8" hidden="1" x14ac:dyDescent="0.3">
      <c r="A1863" s="16" t="s">
        <v>67</v>
      </c>
      <c r="B1863" s="16" t="s">
        <v>182</v>
      </c>
      <c r="C1863" s="15">
        <v>11</v>
      </c>
      <c r="D1863" s="17">
        <v>114674</v>
      </c>
      <c r="E1863" s="17">
        <v>114720</v>
      </c>
      <c r="F1863" s="17">
        <v>46</v>
      </c>
      <c r="G1863" s="18">
        <v>1.0004011371365784</v>
      </c>
      <c r="H1863" s="10">
        <v>2025</v>
      </c>
    </row>
    <row r="1864" spans="1:8" hidden="1" x14ac:dyDescent="0.3">
      <c r="A1864" s="16" t="s">
        <v>67</v>
      </c>
      <c r="B1864" s="16" t="s">
        <v>187</v>
      </c>
      <c r="C1864" s="15">
        <v>11</v>
      </c>
      <c r="D1864" s="17">
        <v>470042</v>
      </c>
      <c r="E1864" s="17">
        <v>470043</v>
      </c>
      <c r="F1864" s="17">
        <v>1</v>
      </c>
      <c r="G1864" s="18">
        <v>1.0000021274694602</v>
      </c>
      <c r="H1864" s="10">
        <v>2025</v>
      </c>
    </row>
    <row r="1865" spans="1:8" hidden="1" x14ac:dyDescent="0.3">
      <c r="A1865" s="16" t="s">
        <v>67</v>
      </c>
      <c r="B1865" s="16" t="s">
        <v>202</v>
      </c>
      <c r="C1865" s="15">
        <v>11</v>
      </c>
      <c r="D1865" s="17">
        <v>533217</v>
      </c>
      <c r="E1865" s="17">
        <v>553493</v>
      </c>
      <c r="F1865" s="17">
        <v>20276</v>
      </c>
      <c r="G1865" s="18">
        <v>1.0380257943763984</v>
      </c>
      <c r="H1865" s="10">
        <v>2025</v>
      </c>
    </row>
    <row r="1866" spans="1:8" hidden="1" x14ac:dyDescent="0.3">
      <c r="A1866" s="16" t="s">
        <v>67</v>
      </c>
      <c r="B1866" s="16" t="s">
        <v>177</v>
      </c>
      <c r="C1866" s="15">
        <v>1</v>
      </c>
      <c r="D1866" s="17">
        <v>11167000</v>
      </c>
      <c r="E1866" s="17">
        <v>8550400</v>
      </c>
      <c r="F1866" s="17">
        <v>-2616600</v>
      </c>
      <c r="G1866" s="18">
        <v>0.76568460642965885</v>
      </c>
      <c r="H1866" s="10">
        <v>2025</v>
      </c>
    </row>
    <row r="1867" spans="1:8" hidden="1" x14ac:dyDescent="0.3">
      <c r="A1867" s="16" t="s">
        <v>67</v>
      </c>
      <c r="B1867" s="16" t="s">
        <v>177</v>
      </c>
      <c r="C1867" s="15">
        <v>2</v>
      </c>
      <c r="D1867" s="17">
        <v>11272000</v>
      </c>
      <c r="E1867" s="17">
        <v>11272000</v>
      </c>
      <c r="F1867" s="17">
        <v>0</v>
      </c>
      <c r="G1867" s="18">
        <v>1</v>
      </c>
      <c r="H1867" s="10">
        <v>2025</v>
      </c>
    </row>
    <row r="1868" spans="1:8" hidden="1" x14ac:dyDescent="0.3">
      <c r="A1868" s="16" t="s">
        <v>67</v>
      </c>
      <c r="B1868" s="16" t="s">
        <v>177</v>
      </c>
      <c r="C1868" s="15">
        <v>3</v>
      </c>
      <c r="D1868" s="17">
        <v>11272000</v>
      </c>
      <c r="E1868" s="17">
        <v>11272000</v>
      </c>
      <c r="F1868" s="17">
        <v>0</v>
      </c>
      <c r="G1868" s="18">
        <v>1</v>
      </c>
      <c r="H1868" s="10">
        <v>2025</v>
      </c>
    </row>
    <row r="1869" spans="1:8" hidden="1" x14ac:dyDescent="0.3">
      <c r="A1869" s="16" t="s">
        <v>67</v>
      </c>
      <c r="B1869" s="16" t="s">
        <v>177</v>
      </c>
      <c r="C1869" s="15">
        <v>4</v>
      </c>
      <c r="D1869" s="17">
        <v>11272000</v>
      </c>
      <c r="E1869" s="17">
        <v>10838667</v>
      </c>
      <c r="F1869" s="17">
        <v>-433333</v>
      </c>
      <c r="G1869" s="18">
        <v>0.96155668914123493</v>
      </c>
      <c r="H1869" s="10">
        <v>2025</v>
      </c>
    </row>
    <row r="1870" spans="1:8" hidden="1" x14ac:dyDescent="0.3">
      <c r="A1870" s="16" t="s">
        <v>67</v>
      </c>
      <c r="B1870" s="16" t="s">
        <v>177</v>
      </c>
      <c r="C1870" s="15">
        <v>5</v>
      </c>
      <c r="D1870" s="17">
        <v>11272000</v>
      </c>
      <c r="E1870" s="17">
        <v>10576200</v>
      </c>
      <c r="F1870" s="17">
        <v>-695800</v>
      </c>
      <c r="G1870" s="18">
        <v>0.9382718239886445</v>
      </c>
      <c r="H1870" s="10">
        <v>2025</v>
      </c>
    </row>
    <row r="1871" spans="1:8" hidden="1" x14ac:dyDescent="0.3">
      <c r="A1871" s="16" t="s">
        <v>67</v>
      </c>
      <c r="B1871" s="16" t="s">
        <v>177</v>
      </c>
      <c r="C1871" s="15">
        <v>6</v>
      </c>
      <c r="D1871" s="17">
        <v>11272000</v>
      </c>
      <c r="E1871" s="17">
        <v>11272000</v>
      </c>
      <c r="F1871" s="17">
        <v>0</v>
      </c>
      <c r="G1871" s="18">
        <v>1</v>
      </c>
      <c r="H1871" s="10">
        <v>2025</v>
      </c>
    </row>
    <row r="1872" spans="1:8" hidden="1" x14ac:dyDescent="0.3">
      <c r="A1872" s="16" t="s">
        <v>67</v>
      </c>
      <c r="B1872" s="16" t="s">
        <v>177</v>
      </c>
      <c r="C1872" s="15">
        <v>7</v>
      </c>
      <c r="D1872" s="17">
        <v>11272000</v>
      </c>
      <c r="E1872" s="17">
        <v>11272000</v>
      </c>
      <c r="F1872" s="17">
        <v>0</v>
      </c>
      <c r="G1872" s="18">
        <v>1</v>
      </c>
      <c r="H1872" s="10">
        <v>2025</v>
      </c>
    </row>
    <row r="1873" spans="1:8" hidden="1" x14ac:dyDescent="0.3">
      <c r="A1873" s="16" t="s">
        <v>67</v>
      </c>
      <c r="B1873" s="16" t="s">
        <v>177</v>
      </c>
      <c r="C1873" s="15">
        <v>8</v>
      </c>
      <c r="D1873" s="17">
        <v>11272000</v>
      </c>
      <c r="E1873" s="17">
        <v>11004600</v>
      </c>
      <c r="F1873" s="17">
        <v>-267400</v>
      </c>
      <c r="G1873" s="18">
        <v>0.97627750177430805</v>
      </c>
      <c r="H1873" s="10">
        <v>2025</v>
      </c>
    </row>
    <row r="1874" spans="1:8" hidden="1" x14ac:dyDescent="0.3">
      <c r="A1874" s="16" t="s">
        <v>67</v>
      </c>
      <c r="B1874" s="16" t="s">
        <v>177</v>
      </c>
      <c r="C1874" s="15">
        <v>9</v>
      </c>
      <c r="D1874" s="17">
        <v>11272000</v>
      </c>
      <c r="E1874" s="17">
        <v>10225300</v>
      </c>
      <c r="F1874" s="17">
        <v>-1046700</v>
      </c>
      <c r="G1874" s="18">
        <v>0.90714158977998582</v>
      </c>
      <c r="H1874" s="10">
        <v>2025</v>
      </c>
    </row>
    <row r="1875" spans="1:8" hidden="1" x14ac:dyDescent="0.3">
      <c r="A1875" s="16" t="s">
        <v>67</v>
      </c>
      <c r="B1875" s="16" t="s">
        <v>177</v>
      </c>
      <c r="C1875" s="15">
        <v>10</v>
      </c>
      <c r="D1875" s="17">
        <v>11272000</v>
      </c>
      <c r="E1875" s="17">
        <v>11272000</v>
      </c>
      <c r="F1875" s="17">
        <v>0</v>
      </c>
      <c r="G1875" s="18">
        <v>1</v>
      </c>
      <c r="H1875" s="10">
        <v>2025</v>
      </c>
    </row>
    <row r="1876" spans="1:8" hidden="1" x14ac:dyDescent="0.3">
      <c r="A1876" s="16" t="s">
        <v>67</v>
      </c>
      <c r="B1876" s="16" t="s">
        <v>205</v>
      </c>
      <c r="C1876" s="15">
        <v>1</v>
      </c>
      <c r="D1876" s="17">
        <v>57978</v>
      </c>
      <c r="E1876" s="17">
        <v>0</v>
      </c>
      <c r="F1876" s="17">
        <v>-57978</v>
      </c>
      <c r="G1876" s="18">
        <v>0</v>
      </c>
      <c r="H1876" s="10">
        <v>2025</v>
      </c>
    </row>
    <row r="1877" spans="1:8" hidden="1" x14ac:dyDescent="0.3">
      <c r="A1877" s="16" t="s">
        <v>67</v>
      </c>
      <c r="B1877" s="16" t="s">
        <v>205</v>
      </c>
      <c r="C1877" s="15">
        <v>2</v>
      </c>
      <c r="D1877" s="17">
        <v>294913</v>
      </c>
      <c r="E1877" s="17">
        <v>0</v>
      </c>
      <c r="F1877" s="17">
        <v>-294913</v>
      </c>
      <c r="G1877" s="18">
        <v>0</v>
      </c>
      <c r="H1877" s="10">
        <v>2025</v>
      </c>
    </row>
    <row r="1878" spans="1:8" hidden="1" x14ac:dyDescent="0.3">
      <c r="A1878" s="16" t="s">
        <v>67</v>
      </c>
      <c r="B1878" s="16" t="s">
        <v>205</v>
      </c>
      <c r="C1878" s="15">
        <v>3</v>
      </c>
      <c r="D1878" s="17">
        <v>263379</v>
      </c>
      <c r="E1878" s="17">
        <v>0</v>
      </c>
      <c r="F1878" s="17">
        <v>-263379</v>
      </c>
      <c r="G1878" s="18">
        <v>0</v>
      </c>
      <c r="H1878" s="10">
        <v>2025</v>
      </c>
    </row>
    <row r="1879" spans="1:8" hidden="1" x14ac:dyDescent="0.3">
      <c r="A1879" s="16" t="s">
        <v>67</v>
      </c>
      <c r="B1879" s="16" t="s">
        <v>205</v>
      </c>
      <c r="C1879" s="15">
        <v>4</v>
      </c>
      <c r="D1879" s="17">
        <v>50774</v>
      </c>
      <c r="E1879" s="17">
        <v>0</v>
      </c>
      <c r="F1879" s="17">
        <v>-50774</v>
      </c>
      <c r="G1879" s="18">
        <v>0</v>
      </c>
      <c r="H1879" s="10">
        <v>2025</v>
      </c>
    </row>
    <row r="1880" spans="1:8" hidden="1" x14ac:dyDescent="0.3">
      <c r="A1880" s="16" t="s">
        <v>67</v>
      </c>
      <c r="B1880" s="16" t="s">
        <v>205</v>
      </c>
      <c r="C1880" s="15">
        <v>5</v>
      </c>
      <c r="D1880" s="17">
        <v>53156</v>
      </c>
      <c r="E1880" s="17">
        <v>0</v>
      </c>
      <c r="F1880" s="17">
        <v>-53156</v>
      </c>
      <c r="G1880" s="18">
        <v>0</v>
      </c>
      <c r="H1880" s="10">
        <v>2025</v>
      </c>
    </row>
    <row r="1881" spans="1:8" hidden="1" x14ac:dyDescent="0.3">
      <c r="A1881" s="16" t="s">
        <v>67</v>
      </c>
      <c r="B1881" s="16" t="s">
        <v>205</v>
      </c>
      <c r="C1881" s="15">
        <v>6</v>
      </c>
      <c r="D1881" s="17">
        <v>239792</v>
      </c>
      <c r="E1881" s="17">
        <v>0</v>
      </c>
      <c r="F1881" s="17">
        <v>-239792</v>
      </c>
      <c r="G1881" s="18">
        <v>0</v>
      </c>
      <c r="H1881" s="10">
        <v>2025</v>
      </c>
    </row>
    <row r="1882" spans="1:8" hidden="1" x14ac:dyDescent="0.3">
      <c r="A1882" s="16" t="s">
        <v>67</v>
      </c>
      <c r="B1882" s="16" t="s">
        <v>205</v>
      </c>
      <c r="C1882" s="15">
        <v>7</v>
      </c>
      <c r="D1882" s="17">
        <v>85473</v>
      </c>
      <c r="E1882" s="17">
        <v>0</v>
      </c>
      <c r="F1882" s="17">
        <v>-85473</v>
      </c>
      <c r="G1882" s="18">
        <v>0</v>
      </c>
      <c r="H1882" s="10">
        <v>2025</v>
      </c>
    </row>
    <row r="1883" spans="1:8" hidden="1" x14ac:dyDescent="0.3">
      <c r="A1883" s="16" t="s">
        <v>67</v>
      </c>
      <c r="B1883" s="16" t="s">
        <v>179</v>
      </c>
      <c r="C1883" s="15">
        <v>9</v>
      </c>
      <c r="D1883" s="17">
        <v>0</v>
      </c>
      <c r="E1883" s="17">
        <v>324017</v>
      </c>
      <c r="F1883" s="17">
        <v>324017</v>
      </c>
      <c r="G1883" s="18">
        <v>0</v>
      </c>
      <c r="H1883" s="10">
        <v>2025</v>
      </c>
    </row>
    <row r="1884" spans="1:8" hidden="1" x14ac:dyDescent="0.3">
      <c r="A1884" s="16" t="s">
        <v>67</v>
      </c>
      <c r="B1884" s="16" t="s">
        <v>206</v>
      </c>
      <c r="C1884" s="15">
        <v>1</v>
      </c>
      <c r="D1884" s="17">
        <v>200000</v>
      </c>
      <c r="E1884" s="17">
        <v>200000</v>
      </c>
      <c r="F1884" s="17">
        <v>0</v>
      </c>
      <c r="G1884" s="18">
        <v>1</v>
      </c>
      <c r="H1884" s="10">
        <v>2025</v>
      </c>
    </row>
    <row r="1885" spans="1:8" hidden="1" x14ac:dyDescent="0.3">
      <c r="A1885" s="16" t="s">
        <v>67</v>
      </c>
      <c r="B1885" s="16" t="s">
        <v>206</v>
      </c>
      <c r="C1885" s="15">
        <v>2</v>
      </c>
      <c r="D1885" s="17">
        <v>200000</v>
      </c>
      <c r="E1885" s="17">
        <v>200000</v>
      </c>
      <c r="F1885" s="17">
        <v>0</v>
      </c>
      <c r="G1885" s="18">
        <v>1</v>
      </c>
      <c r="H1885" s="10">
        <v>2025</v>
      </c>
    </row>
    <row r="1886" spans="1:8" hidden="1" x14ac:dyDescent="0.3">
      <c r="A1886" s="16" t="s">
        <v>67</v>
      </c>
      <c r="B1886" s="16" t="s">
        <v>206</v>
      </c>
      <c r="C1886" s="15">
        <v>3</v>
      </c>
      <c r="D1886" s="17">
        <v>200000</v>
      </c>
      <c r="E1886" s="17">
        <v>200000</v>
      </c>
      <c r="F1886" s="17">
        <v>0</v>
      </c>
      <c r="G1886" s="18">
        <v>1</v>
      </c>
      <c r="H1886" s="10">
        <v>2025</v>
      </c>
    </row>
    <row r="1887" spans="1:8" hidden="1" x14ac:dyDescent="0.3">
      <c r="A1887" s="16" t="s">
        <v>67</v>
      </c>
      <c r="B1887" s="16" t="s">
        <v>206</v>
      </c>
      <c r="C1887" s="15">
        <v>4</v>
      </c>
      <c r="D1887" s="17">
        <v>200000</v>
      </c>
      <c r="E1887" s="17">
        <v>200000</v>
      </c>
      <c r="F1887" s="17">
        <v>0</v>
      </c>
      <c r="G1887" s="18">
        <v>1</v>
      </c>
      <c r="H1887" s="10">
        <v>2025</v>
      </c>
    </row>
    <row r="1888" spans="1:8" hidden="1" x14ac:dyDescent="0.3">
      <c r="A1888" s="16" t="s">
        <v>67</v>
      </c>
      <c r="B1888" s="16" t="s">
        <v>206</v>
      </c>
      <c r="C1888" s="15">
        <v>5</v>
      </c>
      <c r="D1888" s="17">
        <v>200000</v>
      </c>
      <c r="E1888" s="17">
        <v>173333</v>
      </c>
      <c r="F1888" s="17">
        <v>-26667</v>
      </c>
      <c r="G1888" s="18">
        <v>0.86666500000000002</v>
      </c>
      <c r="H1888" s="10">
        <v>2025</v>
      </c>
    </row>
    <row r="1889" spans="1:8" hidden="1" x14ac:dyDescent="0.3">
      <c r="A1889" s="16" t="s">
        <v>67</v>
      </c>
      <c r="B1889" s="16" t="s">
        <v>206</v>
      </c>
      <c r="C1889" s="15">
        <v>6</v>
      </c>
      <c r="D1889" s="17">
        <v>200000</v>
      </c>
      <c r="E1889" s="17">
        <v>200000</v>
      </c>
      <c r="F1889" s="17">
        <v>0</v>
      </c>
      <c r="G1889" s="18">
        <v>1</v>
      </c>
      <c r="H1889" s="10">
        <v>2025</v>
      </c>
    </row>
    <row r="1890" spans="1:8" hidden="1" x14ac:dyDescent="0.3">
      <c r="A1890" s="16" t="s">
        <v>67</v>
      </c>
      <c r="B1890" s="16" t="s">
        <v>206</v>
      </c>
      <c r="C1890" s="15">
        <v>7</v>
      </c>
      <c r="D1890" s="17">
        <v>200000</v>
      </c>
      <c r="E1890" s="17">
        <v>133333</v>
      </c>
      <c r="F1890" s="17">
        <v>-66667</v>
      </c>
      <c r="G1890" s="18">
        <v>0.66666499999999995</v>
      </c>
      <c r="H1890" s="10">
        <v>2025</v>
      </c>
    </row>
    <row r="1891" spans="1:8" hidden="1" x14ac:dyDescent="0.3">
      <c r="A1891" s="16" t="s">
        <v>67</v>
      </c>
      <c r="B1891" s="16" t="s">
        <v>206</v>
      </c>
      <c r="C1891" s="15">
        <v>8</v>
      </c>
      <c r="D1891" s="17">
        <v>200000</v>
      </c>
      <c r="E1891" s="17">
        <v>193333</v>
      </c>
      <c r="F1891" s="17">
        <v>-6667</v>
      </c>
      <c r="G1891" s="18">
        <v>0.966665</v>
      </c>
      <c r="H1891" s="10">
        <v>2025</v>
      </c>
    </row>
    <row r="1892" spans="1:8" hidden="1" x14ac:dyDescent="0.3">
      <c r="A1892" s="16" t="s">
        <v>67</v>
      </c>
      <c r="B1892" s="16" t="s">
        <v>206</v>
      </c>
      <c r="C1892" s="15">
        <v>9</v>
      </c>
      <c r="D1892" s="17">
        <v>200000</v>
      </c>
      <c r="E1892" s="17">
        <v>186667</v>
      </c>
      <c r="F1892" s="17">
        <v>-13333</v>
      </c>
      <c r="G1892" s="18">
        <v>0.93333500000000003</v>
      </c>
      <c r="H1892" s="10">
        <v>2025</v>
      </c>
    </row>
    <row r="1893" spans="1:8" hidden="1" x14ac:dyDescent="0.3">
      <c r="A1893" s="16" t="s">
        <v>67</v>
      </c>
      <c r="B1893" s="16" t="s">
        <v>206</v>
      </c>
      <c r="C1893" s="15">
        <v>10</v>
      </c>
      <c r="D1893" s="17">
        <v>200000</v>
      </c>
      <c r="E1893" s="17">
        <v>200000</v>
      </c>
      <c r="F1893" s="17">
        <v>0</v>
      </c>
      <c r="G1893" s="18">
        <v>1</v>
      </c>
      <c r="H1893" s="10">
        <v>2025</v>
      </c>
    </row>
    <row r="1894" spans="1:8" hidden="1" x14ac:dyDescent="0.3">
      <c r="A1894" s="16" t="s">
        <v>67</v>
      </c>
      <c r="B1894" s="16" t="s">
        <v>181</v>
      </c>
      <c r="C1894" s="15">
        <v>1</v>
      </c>
      <c r="D1894" s="17">
        <v>951700</v>
      </c>
      <c r="E1894" s="17">
        <v>946871</v>
      </c>
      <c r="F1894" s="17">
        <v>-4829</v>
      </c>
      <c r="G1894" s="18">
        <v>0.99492592203425456</v>
      </c>
      <c r="H1894" s="10">
        <v>2025</v>
      </c>
    </row>
    <row r="1895" spans="1:8" hidden="1" x14ac:dyDescent="0.3">
      <c r="A1895" s="16" t="s">
        <v>67</v>
      </c>
      <c r="B1895" s="16" t="s">
        <v>181</v>
      </c>
      <c r="C1895" s="15">
        <v>2</v>
      </c>
      <c r="D1895" s="17">
        <v>980183</v>
      </c>
      <c r="E1895" s="17">
        <v>955618</v>
      </c>
      <c r="F1895" s="17">
        <v>-24565</v>
      </c>
      <c r="G1895" s="18">
        <v>0.97493835334830337</v>
      </c>
      <c r="H1895" s="10">
        <v>2025</v>
      </c>
    </row>
    <row r="1896" spans="1:8" hidden="1" x14ac:dyDescent="0.3">
      <c r="A1896" s="16" t="s">
        <v>67</v>
      </c>
      <c r="B1896" s="16" t="s">
        <v>181</v>
      </c>
      <c r="C1896" s="15">
        <v>3</v>
      </c>
      <c r="D1896" s="17">
        <v>977557</v>
      </c>
      <c r="E1896" s="17">
        <v>955618</v>
      </c>
      <c r="F1896" s="17">
        <v>-21939</v>
      </c>
      <c r="G1896" s="18">
        <v>0.97755731890825803</v>
      </c>
      <c r="H1896" s="10">
        <v>2025</v>
      </c>
    </row>
    <row r="1897" spans="1:8" hidden="1" x14ac:dyDescent="0.3">
      <c r="A1897" s="16" t="s">
        <v>67</v>
      </c>
      <c r="B1897" s="16" t="s">
        <v>181</v>
      </c>
      <c r="C1897" s="15">
        <v>4</v>
      </c>
      <c r="D1897" s="17">
        <v>959847</v>
      </c>
      <c r="E1897" s="17">
        <v>955618</v>
      </c>
      <c r="F1897" s="17">
        <v>-4229</v>
      </c>
      <c r="G1897" s="18">
        <v>0.99559408947467676</v>
      </c>
      <c r="H1897" s="10">
        <v>2025</v>
      </c>
    </row>
    <row r="1898" spans="1:8" hidden="1" x14ac:dyDescent="0.3">
      <c r="A1898" s="16" t="s">
        <v>67</v>
      </c>
      <c r="B1898" s="16" t="s">
        <v>181</v>
      </c>
      <c r="C1898" s="15">
        <v>5</v>
      </c>
      <c r="D1898" s="17">
        <v>960045</v>
      </c>
      <c r="E1898" s="17">
        <v>953398</v>
      </c>
      <c r="F1898" s="17">
        <v>-6647</v>
      </c>
      <c r="G1898" s="18">
        <v>0.99307636621200046</v>
      </c>
      <c r="H1898" s="10">
        <v>2025</v>
      </c>
    </row>
    <row r="1899" spans="1:8" hidden="1" x14ac:dyDescent="0.3">
      <c r="A1899" s="16" t="s">
        <v>67</v>
      </c>
      <c r="B1899" s="16" t="s">
        <v>181</v>
      </c>
      <c r="C1899" s="15">
        <v>6</v>
      </c>
      <c r="D1899" s="17">
        <v>975592</v>
      </c>
      <c r="E1899" s="17">
        <v>955618</v>
      </c>
      <c r="F1899" s="17">
        <v>-19974</v>
      </c>
      <c r="G1899" s="18">
        <v>0.97952627737824838</v>
      </c>
      <c r="H1899" s="10">
        <v>2025</v>
      </c>
    </row>
    <row r="1900" spans="1:8" hidden="1" x14ac:dyDescent="0.3">
      <c r="A1900" s="16" t="s">
        <v>67</v>
      </c>
      <c r="B1900" s="16" t="s">
        <v>181</v>
      </c>
      <c r="C1900" s="15">
        <v>7</v>
      </c>
      <c r="D1900" s="17">
        <v>962737</v>
      </c>
      <c r="E1900" s="17">
        <v>950065</v>
      </c>
      <c r="F1900" s="17">
        <v>-12672</v>
      </c>
      <c r="G1900" s="18">
        <v>0.98683752675964465</v>
      </c>
      <c r="H1900" s="10">
        <v>2025</v>
      </c>
    </row>
    <row r="1901" spans="1:8" hidden="1" x14ac:dyDescent="0.3">
      <c r="A1901" s="16" t="s">
        <v>67</v>
      </c>
      <c r="B1901" s="16" t="s">
        <v>181</v>
      </c>
      <c r="C1901" s="15">
        <v>8</v>
      </c>
      <c r="D1901" s="17">
        <v>955617</v>
      </c>
      <c r="E1901" s="17">
        <v>955063</v>
      </c>
      <c r="F1901" s="17">
        <v>-554</v>
      </c>
      <c r="G1901" s="18">
        <v>0.9994202698361373</v>
      </c>
      <c r="H1901" s="10">
        <v>2025</v>
      </c>
    </row>
    <row r="1902" spans="1:8" hidden="1" x14ac:dyDescent="0.3">
      <c r="A1902" s="16" t="s">
        <v>67</v>
      </c>
      <c r="B1902" s="16" t="s">
        <v>181</v>
      </c>
      <c r="C1902" s="15">
        <v>9</v>
      </c>
      <c r="D1902" s="17">
        <v>955617</v>
      </c>
      <c r="E1902" s="17">
        <v>1001364</v>
      </c>
      <c r="F1902" s="17">
        <v>45747</v>
      </c>
      <c r="G1902" s="18">
        <v>1.0478716891809168</v>
      </c>
      <c r="H1902" s="10">
        <v>2025</v>
      </c>
    </row>
    <row r="1903" spans="1:8" hidden="1" x14ac:dyDescent="0.3">
      <c r="A1903" s="16" t="s">
        <v>67</v>
      </c>
      <c r="B1903" s="16" t="s">
        <v>181</v>
      </c>
      <c r="C1903" s="15">
        <v>10</v>
      </c>
      <c r="D1903" s="17">
        <v>955617</v>
      </c>
      <c r="E1903" s="17">
        <v>955618</v>
      </c>
      <c r="F1903" s="17">
        <v>1</v>
      </c>
      <c r="G1903" s="18">
        <v>1.0000010464443392</v>
      </c>
      <c r="H1903" s="10">
        <v>2025</v>
      </c>
    </row>
    <row r="1904" spans="1:8" hidden="1" x14ac:dyDescent="0.3">
      <c r="A1904" s="16" t="s">
        <v>67</v>
      </c>
      <c r="B1904" s="16" t="s">
        <v>182</v>
      </c>
      <c r="C1904" s="15">
        <v>1</v>
      </c>
      <c r="D1904" s="17">
        <v>114204</v>
      </c>
      <c r="E1904" s="17">
        <v>113670</v>
      </c>
      <c r="F1904" s="17">
        <v>-534</v>
      </c>
      <c r="G1904" s="18">
        <v>0.99532415677209207</v>
      </c>
      <c r="H1904" s="10">
        <v>2025</v>
      </c>
    </row>
    <row r="1905" spans="1:8" hidden="1" x14ac:dyDescent="0.3">
      <c r="A1905" s="16" t="s">
        <v>67</v>
      </c>
      <c r="B1905" s="16" t="s">
        <v>182</v>
      </c>
      <c r="C1905" s="15">
        <v>2</v>
      </c>
      <c r="D1905" s="17">
        <v>117621</v>
      </c>
      <c r="E1905" s="17">
        <v>114720</v>
      </c>
      <c r="F1905" s="17">
        <v>-2901</v>
      </c>
      <c r="G1905" s="18">
        <v>0.97533603693218052</v>
      </c>
      <c r="H1905" s="10">
        <v>2025</v>
      </c>
    </row>
    <row r="1906" spans="1:8" hidden="1" x14ac:dyDescent="0.3">
      <c r="A1906" s="16" t="s">
        <v>67</v>
      </c>
      <c r="B1906" s="16" t="s">
        <v>182</v>
      </c>
      <c r="C1906" s="15">
        <v>3</v>
      </c>
      <c r="D1906" s="17">
        <v>117306</v>
      </c>
      <c r="E1906" s="17">
        <v>114720</v>
      </c>
      <c r="F1906" s="17">
        <v>-2586</v>
      </c>
      <c r="G1906" s="18">
        <v>0.97795509181116058</v>
      </c>
      <c r="H1906" s="10">
        <v>2025</v>
      </c>
    </row>
    <row r="1907" spans="1:8" hidden="1" x14ac:dyDescent="0.3">
      <c r="A1907" s="16" t="s">
        <v>67</v>
      </c>
      <c r="B1907" s="16" t="s">
        <v>182</v>
      </c>
      <c r="C1907" s="15">
        <v>4</v>
      </c>
      <c r="D1907" s="17">
        <v>115181</v>
      </c>
      <c r="E1907" s="17">
        <v>114720</v>
      </c>
      <c r="F1907" s="17">
        <v>-461</v>
      </c>
      <c r="G1907" s="18">
        <v>0.99599760377145541</v>
      </c>
      <c r="H1907" s="10">
        <v>2025</v>
      </c>
    </row>
    <row r="1908" spans="1:8" hidden="1" x14ac:dyDescent="0.3">
      <c r="A1908" s="16" t="s">
        <v>67</v>
      </c>
      <c r="B1908" s="16" t="s">
        <v>182</v>
      </c>
      <c r="C1908" s="15">
        <v>5</v>
      </c>
      <c r="D1908" s="17">
        <v>115205</v>
      </c>
      <c r="E1908" s="17">
        <v>114453</v>
      </c>
      <c r="F1908" s="17">
        <v>-752</v>
      </c>
      <c r="G1908" s="18">
        <v>0.99347250553361399</v>
      </c>
      <c r="H1908" s="10">
        <v>2025</v>
      </c>
    </row>
    <row r="1909" spans="1:8" hidden="1" x14ac:dyDescent="0.3">
      <c r="A1909" s="16" t="s">
        <v>67</v>
      </c>
      <c r="B1909" s="16" t="s">
        <v>182</v>
      </c>
      <c r="C1909" s="15">
        <v>6</v>
      </c>
      <c r="D1909" s="17">
        <v>117071</v>
      </c>
      <c r="E1909" s="17">
        <v>114720</v>
      </c>
      <c r="F1909" s="17">
        <v>-2351</v>
      </c>
      <c r="G1909" s="18">
        <v>0.97991816931605613</v>
      </c>
      <c r="H1909" s="10">
        <v>2025</v>
      </c>
    </row>
    <row r="1910" spans="1:8" hidden="1" x14ac:dyDescent="0.3">
      <c r="A1910" s="16" t="s">
        <v>67</v>
      </c>
      <c r="B1910" s="16" t="s">
        <v>182</v>
      </c>
      <c r="C1910" s="15">
        <v>7</v>
      </c>
      <c r="D1910" s="17">
        <v>115528</v>
      </c>
      <c r="E1910" s="17">
        <v>114053</v>
      </c>
      <c r="F1910" s="17">
        <v>-1475</v>
      </c>
      <c r="G1910" s="18">
        <v>0.98723253237310438</v>
      </c>
      <c r="H1910" s="10">
        <v>2025</v>
      </c>
    </row>
    <row r="1911" spans="1:8" hidden="1" x14ac:dyDescent="0.3">
      <c r="A1911" s="16" t="s">
        <v>67</v>
      </c>
      <c r="B1911" s="16" t="s">
        <v>182</v>
      </c>
      <c r="C1911" s="15">
        <v>8</v>
      </c>
      <c r="D1911" s="17">
        <v>114674</v>
      </c>
      <c r="E1911" s="17">
        <v>114653</v>
      </c>
      <c r="F1911" s="17">
        <v>-21</v>
      </c>
      <c r="G1911" s="18">
        <v>0.99981687217677939</v>
      </c>
      <c r="H1911" s="10">
        <v>2025</v>
      </c>
    </row>
    <row r="1912" spans="1:8" hidden="1" x14ac:dyDescent="0.3">
      <c r="A1912" s="16" t="s">
        <v>67</v>
      </c>
      <c r="B1912" s="16" t="s">
        <v>182</v>
      </c>
      <c r="C1912" s="15">
        <v>9</v>
      </c>
      <c r="D1912" s="17">
        <v>114674</v>
      </c>
      <c r="E1912" s="17">
        <v>120212</v>
      </c>
      <c r="F1912" s="17">
        <v>5538</v>
      </c>
      <c r="G1912" s="18">
        <v>1.0482934230950347</v>
      </c>
      <c r="H1912" s="10">
        <v>2025</v>
      </c>
    </row>
    <row r="1913" spans="1:8" hidden="1" x14ac:dyDescent="0.3">
      <c r="A1913" s="16" t="s">
        <v>67</v>
      </c>
      <c r="B1913" s="16" t="s">
        <v>182</v>
      </c>
      <c r="C1913" s="15">
        <v>10</v>
      </c>
      <c r="D1913" s="17">
        <v>114674</v>
      </c>
      <c r="E1913" s="17">
        <v>114720</v>
      </c>
      <c r="F1913" s="17">
        <v>46</v>
      </c>
      <c r="G1913" s="18">
        <v>1.0004011371365784</v>
      </c>
      <c r="H1913" s="10">
        <v>2025</v>
      </c>
    </row>
    <row r="1914" spans="1:8" hidden="1" x14ac:dyDescent="0.3">
      <c r="A1914" s="16" t="s">
        <v>67</v>
      </c>
      <c r="B1914" s="16" t="s">
        <v>183</v>
      </c>
      <c r="C1914" s="15">
        <v>1</v>
      </c>
      <c r="D1914" s="17">
        <v>951700</v>
      </c>
      <c r="E1914" s="17">
        <v>946871</v>
      </c>
      <c r="F1914" s="17">
        <v>-4829</v>
      </c>
      <c r="G1914" s="18">
        <v>0.99492592203425456</v>
      </c>
      <c r="H1914" s="10">
        <v>2025</v>
      </c>
    </row>
    <row r="1915" spans="1:8" hidden="1" x14ac:dyDescent="0.3">
      <c r="A1915" s="16" t="s">
        <v>67</v>
      </c>
      <c r="B1915" s="16" t="s">
        <v>183</v>
      </c>
      <c r="C1915" s="15">
        <v>2</v>
      </c>
      <c r="D1915" s="17">
        <v>980183</v>
      </c>
      <c r="E1915" s="17">
        <v>955618</v>
      </c>
      <c r="F1915" s="17">
        <v>-24565</v>
      </c>
      <c r="G1915" s="18">
        <v>0.97493835334830337</v>
      </c>
      <c r="H1915" s="10">
        <v>2025</v>
      </c>
    </row>
    <row r="1916" spans="1:8" hidden="1" x14ac:dyDescent="0.3">
      <c r="A1916" s="16" t="s">
        <v>67</v>
      </c>
      <c r="B1916" s="16" t="s">
        <v>183</v>
      </c>
      <c r="C1916" s="15">
        <v>3</v>
      </c>
      <c r="D1916" s="17">
        <v>977557</v>
      </c>
      <c r="E1916" s="17">
        <v>955618</v>
      </c>
      <c r="F1916" s="17">
        <v>-21939</v>
      </c>
      <c r="G1916" s="18">
        <v>0.97755731890825803</v>
      </c>
      <c r="H1916" s="10">
        <v>2025</v>
      </c>
    </row>
    <row r="1917" spans="1:8" hidden="1" x14ac:dyDescent="0.3">
      <c r="A1917" s="16" t="s">
        <v>67</v>
      </c>
      <c r="B1917" s="16" t="s">
        <v>183</v>
      </c>
      <c r="C1917" s="15">
        <v>4</v>
      </c>
      <c r="D1917" s="17">
        <v>959847</v>
      </c>
      <c r="E1917" s="17">
        <v>955618</v>
      </c>
      <c r="F1917" s="17">
        <v>-4229</v>
      </c>
      <c r="G1917" s="18">
        <v>0.99559408947467676</v>
      </c>
      <c r="H1917" s="10">
        <v>2025</v>
      </c>
    </row>
    <row r="1918" spans="1:8" hidden="1" x14ac:dyDescent="0.3">
      <c r="A1918" s="16" t="s">
        <v>67</v>
      </c>
      <c r="B1918" s="16" t="s">
        <v>183</v>
      </c>
      <c r="C1918" s="15">
        <v>5</v>
      </c>
      <c r="D1918" s="17">
        <v>960045</v>
      </c>
      <c r="E1918" s="17">
        <v>953398</v>
      </c>
      <c r="F1918" s="17">
        <v>-6647</v>
      </c>
      <c r="G1918" s="18">
        <v>0.99307636621200046</v>
      </c>
      <c r="H1918" s="10">
        <v>2025</v>
      </c>
    </row>
    <row r="1919" spans="1:8" hidden="1" x14ac:dyDescent="0.3">
      <c r="A1919" s="16" t="s">
        <v>67</v>
      </c>
      <c r="B1919" s="16" t="s">
        <v>183</v>
      </c>
      <c r="C1919" s="15">
        <v>6</v>
      </c>
      <c r="D1919" s="17">
        <v>975592</v>
      </c>
      <c r="E1919" s="17">
        <v>955618</v>
      </c>
      <c r="F1919" s="17">
        <v>-19974</v>
      </c>
      <c r="G1919" s="18">
        <v>0.97952627737824838</v>
      </c>
      <c r="H1919" s="10">
        <v>2025</v>
      </c>
    </row>
    <row r="1920" spans="1:8" hidden="1" x14ac:dyDescent="0.3">
      <c r="A1920" s="16" t="s">
        <v>67</v>
      </c>
      <c r="B1920" s="16" t="s">
        <v>183</v>
      </c>
      <c r="C1920" s="15">
        <v>7</v>
      </c>
      <c r="D1920" s="17">
        <v>962737</v>
      </c>
      <c r="E1920" s="17">
        <v>950065</v>
      </c>
      <c r="F1920" s="17">
        <v>-12672</v>
      </c>
      <c r="G1920" s="18">
        <v>0.98683752675964465</v>
      </c>
      <c r="H1920" s="10">
        <v>2025</v>
      </c>
    </row>
    <row r="1921" spans="1:8" hidden="1" x14ac:dyDescent="0.3">
      <c r="A1921" s="16" t="s">
        <v>67</v>
      </c>
      <c r="B1921" s="16" t="s">
        <v>183</v>
      </c>
      <c r="C1921" s="15">
        <v>8</v>
      </c>
      <c r="D1921" s="17">
        <v>955617</v>
      </c>
      <c r="E1921" s="17">
        <v>955063</v>
      </c>
      <c r="F1921" s="17">
        <v>-554</v>
      </c>
      <c r="G1921" s="18">
        <v>0.9994202698361373</v>
      </c>
      <c r="H1921" s="10">
        <v>2025</v>
      </c>
    </row>
    <row r="1922" spans="1:8" hidden="1" x14ac:dyDescent="0.3">
      <c r="A1922" s="16" t="s">
        <v>67</v>
      </c>
      <c r="B1922" s="16" t="s">
        <v>183</v>
      </c>
      <c r="C1922" s="15">
        <v>9</v>
      </c>
      <c r="D1922" s="17">
        <v>955617</v>
      </c>
      <c r="E1922" s="17">
        <v>1001364</v>
      </c>
      <c r="F1922" s="17">
        <v>45747</v>
      </c>
      <c r="G1922" s="18">
        <v>1.0478716891809168</v>
      </c>
      <c r="H1922" s="10">
        <v>2025</v>
      </c>
    </row>
    <row r="1923" spans="1:8" hidden="1" x14ac:dyDescent="0.3">
      <c r="A1923" s="16" t="s">
        <v>67</v>
      </c>
      <c r="B1923" s="16" t="s">
        <v>183</v>
      </c>
      <c r="C1923" s="15">
        <v>10</v>
      </c>
      <c r="D1923" s="17">
        <v>955617</v>
      </c>
      <c r="E1923" s="17">
        <v>955618</v>
      </c>
      <c r="F1923" s="17">
        <v>1</v>
      </c>
      <c r="G1923" s="18">
        <v>1.0000010464443392</v>
      </c>
      <c r="H1923" s="10">
        <v>2025</v>
      </c>
    </row>
    <row r="1924" spans="1:8" hidden="1" x14ac:dyDescent="0.3">
      <c r="A1924" s="16" t="s">
        <v>67</v>
      </c>
      <c r="B1924" s="16" t="s">
        <v>184</v>
      </c>
      <c r="C1924" s="15">
        <v>1</v>
      </c>
      <c r="D1924" s="17">
        <v>468081</v>
      </c>
      <c r="E1924" s="17">
        <v>465664</v>
      </c>
      <c r="F1924" s="17">
        <v>-2417</v>
      </c>
      <c r="G1924" s="18">
        <v>0.9948363637917369</v>
      </c>
      <c r="H1924" s="10">
        <v>2025</v>
      </c>
    </row>
    <row r="1925" spans="1:8" hidden="1" x14ac:dyDescent="0.3">
      <c r="A1925" s="16" t="s">
        <v>67</v>
      </c>
      <c r="B1925" s="16" t="s">
        <v>184</v>
      </c>
      <c r="C1925" s="15">
        <v>2</v>
      </c>
      <c r="D1925" s="17">
        <v>482340</v>
      </c>
      <c r="E1925" s="17">
        <v>470043</v>
      </c>
      <c r="F1925" s="17">
        <v>-12297</v>
      </c>
      <c r="G1925" s="18">
        <v>0.97450553551436747</v>
      </c>
      <c r="H1925" s="10">
        <v>2025</v>
      </c>
    </row>
    <row r="1926" spans="1:8" hidden="1" x14ac:dyDescent="0.3">
      <c r="A1926" s="16" t="s">
        <v>67</v>
      </c>
      <c r="B1926" s="16" t="s">
        <v>184</v>
      </c>
      <c r="C1926" s="15">
        <v>3</v>
      </c>
      <c r="D1926" s="17">
        <v>481025</v>
      </c>
      <c r="E1926" s="17">
        <v>470043</v>
      </c>
      <c r="F1926" s="17">
        <v>-10982</v>
      </c>
      <c r="G1926" s="18">
        <v>0.97716958578036484</v>
      </c>
      <c r="H1926" s="10">
        <v>2025</v>
      </c>
    </row>
    <row r="1927" spans="1:8" hidden="1" x14ac:dyDescent="0.3">
      <c r="A1927" s="16" t="s">
        <v>67</v>
      </c>
      <c r="B1927" s="16" t="s">
        <v>184</v>
      </c>
      <c r="C1927" s="15">
        <v>4</v>
      </c>
      <c r="D1927" s="17">
        <v>472159</v>
      </c>
      <c r="E1927" s="17">
        <v>470043</v>
      </c>
      <c r="F1927" s="17">
        <v>-2116</v>
      </c>
      <c r="G1927" s="18">
        <v>0.99551845882425205</v>
      </c>
      <c r="H1927" s="10">
        <v>2025</v>
      </c>
    </row>
    <row r="1928" spans="1:8" hidden="1" x14ac:dyDescent="0.3">
      <c r="A1928" s="16" t="s">
        <v>67</v>
      </c>
      <c r="B1928" s="16" t="s">
        <v>184</v>
      </c>
      <c r="C1928" s="15">
        <v>5</v>
      </c>
      <c r="D1928" s="17">
        <v>472259</v>
      </c>
      <c r="E1928" s="17">
        <v>470041</v>
      </c>
      <c r="F1928" s="17">
        <v>-2218</v>
      </c>
      <c r="G1928" s="18">
        <v>0.99530342460387211</v>
      </c>
      <c r="H1928" s="10">
        <v>2025</v>
      </c>
    </row>
    <row r="1929" spans="1:8" hidden="1" x14ac:dyDescent="0.3">
      <c r="A1929" s="16" t="s">
        <v>67</v>
      </c>
      <c r="B1929" s="16" t="s">
        <v>184</v>
      </c>
      <c r="C1929" s="15">
        <v>6</v>
      </c>
      <c r="D1929" s="17">
        <v>480041</v>
      </c>
      <c r="E1929" s="17">
        <v>470043</v>
      </c>
      <c r="F1929" s="17">
        <v>-9998</v>
      </c>
      <c r="G1929" s="18">
        <v>0.9791726123393627</v>
      </c>
      <c r="H1929" s="10">
        <v>2025</v>
      </c>
    </row>
    <row r="1930" spans="1:8" hidden="1" x14ac:dyDescent="0.3">
      <c r="A1930" s="16" t="s">
        <v>67</v>
      </c>
      <c r="B1930" s="16" t="s">
        <v>184</v>
      </c>
      <c r="C1930" s="15">
        <v>7</v>
      </c>
      <c r="D1930" s="17">
        <v>473606</v>
      </c>
      <c r="E1930" s="17">
        <v>470043</v>
      </c>
      <c r="F1930" s="17">
        <v>-3563</v>
      </c>
      <c r="G1930" s="18">
        <v>0.99247686895858578</v>
      </c>
      <c r="H1930" s="10">
        <v>2025</v>
      </c>
    </row>
    <row r="1931" spans="1:8" hidden="1" x14ac:dyDescent="0.3">
      <c r="A1931" s="16" t="s">
        <v>67</v>
      </c>
      <c r="B1931" s="16" t="s">
        <v>184</v>
      </c>
      <c r="C1931" s="15">
        <v>8</v>
      </c>
      <c r="D1931" s="17">
        <v>470042</v>
      </c>
      <c r="E1931" s="17">
        <v>470043</v>
      </c>
      <c r="F1931" s="17">
        <v>1</v>
      </c>
      <c r="G1931" s="18">
        <v>1.0000021274694602</v>
      </c>
      <c r="H1931" s="10">
        <v>2025</v>
      </c>
    </row>
    <row r="1932" spans="1:8" hidden="1" x14ac:dyDescent="0.3">
      <c r="A1932" s="16" t="s">
        <v>67</v>
      </c>
      <c r="B1932" s="16" t="s">
        <v>184</v>
      </c>
      <c r="C1932" s="15">
        <v>9</v>
      </c>
      <c r="D1932" s="17">
        <v>470042</v>
      </c>
      <c r="E1932" s="17">
        <v>493500</v>
      </c>
      <c r="F1932" s="17">
        <v>23458</v>
      </c>
      <c r="G1932" s="18">
        <v>1.0499061785968062</v>
      </c>
      <c r="H1932" s="10">
        <v>2025</v>
      </c>
    </row>
    <row r="1933" spans="1:8" hidden="1" x14ac:dyDescent="0.3">
      <c r="A1933" s="16" t="s">
        <v>67</v>
      </c>
      <c r="B1933" s="16" t="s">
        <v>184</v>
      </c>
      <c r="C1933" s="15">
        <v>10</v>
      </c>
      <c r="D1933" s="17">
        <v>470042</v>
      </c>
      <c r="E1933" s="17">
        <v>470043</v>
      </c>
      <c r="F1933" s="17">
        <v>1</v>
      </c>
      <c r="G1933" s="18">
        <v>1.0000021274694602</v>
      </c>
      <c r="H1933" s="10">
        <v>2025</v>
      </c>
    </row>
    <row r="1934" spans="1:8" hidden="1" x14ac:dyDescent="0.3">
      <c r="A1934" s="16" t="s">
        <v>67</v>
      </c>
      <c r="B1934" s="16" t="s">
        <v>185</v>
      </c>
      <c r="C1934" s="15">
        <v>1</v>
      </c>
      <c r="D1934" s="17">
        <v>154904</v>
      </c>
      <c r="E1934" s="17">
        <v>154105</v>
      </c>
      <c r="F1934" s="17">
        <v>-799</v>
      </c>
      <c r="G1934" s="18">
        <v>0.99484196663740132</v>
      </c>
      <c r="H1934" s="10">
        <v>2025</v>
      </c>
    </row>
    <row r="1935" spans="1:8" hidden="1" x14ac:dyDescent="0.3">
      <c r="A1935" s="16" t="s">
        <v>67</v>
      </c>
      <c r="B1935" s="16" t="s">
        <v>185</v>
      </c>
      <c r="C1935" s="15">
        <v>2</v>
      </c>
      <c r="D1935" s="17">
        <v>159623</v>
      </c>
      <c r="E1935" s="17">
        <v>155554</v>
      </c>
      <c r="F1935" s="17">
        <v>-4069</v>
      </c>
      <c r="G1935" s="18">
        <v>0.97450868609160335</v>
      </c>
      <c r="H1935" s="10">
        <v>2025</v>
      </c>
    </row>
    <row r="1936" spans="1:8" hidden="1" x14ac:dyDescent="0.3">
      <c r="A1936" s="16" t="s">
        <v>67</v>
      </c>
      <c r="B1936" s="16" t="s">
        <v>185</v>
      </c>
      <c r="C1936" s="15">
        <v>3</v>
      </c>
      <c r="D1936" s="17">
        <v>159188</v>
      </c>
      <c r="E1936" s="17">
        <v>155554</v>
      </c>
      <c r="F1936" s="17">
        <v>-3634</v>
      </c>
      <c r="G1936" s="18">
        <v>0.97717164610397766</v>
      </c>
      <c r="H1936" s="10">
        <v>2025</v>
      </c>
    </row>
    <row r="1937" spans="1:8" hidden="1" x14ac:dyDescent="0.3">
      <c r="A1937" s="16" t="s">
        <v>67</v>
      </c>
      <c r="B1937" s="16" t="s">
        <v>185</v>
      </c>
      <c r="C1937" s="15">
        <v>4</v>
      </c>
      <c r="D1937" s="17">
        <v>156254</v>
      </c>
      <c r="E1937" s="17">
        <v>155554</v>
      </c>
      <c r="F1937" s="17">
        <v>-700</v>
      </c>
      <c r="G1937" s="18">
        <v>0.99552011468506407</v>
      </c>
      <c r="H1937" s="10">
        <v>2025</v>
      </c>
    </row>
    <row r="1938" spans="1:8" hidden="1" x14ac:dyDescent="0.3">
      <c r="A1938" s="16" t="s">
        <v>67</v>
      </c>
      <c r="B1938" s="16" t="s">
        <v>185</v>
      </c>
      <c r="C1938" s="15">
        <v>5</v>
      </c>
      <c r="D1938" s="17">
        <v>156287</v>
      </c>
      <c r="E1938" s="17">
        <v>155553</v>
      </c>
      <c r="F1938" s="17">
        <v>-734</v>
      </c>
      <c r="G1938" s="18">
        <v>0.99530351212832802</v>
      </c>
      <c r="H1938" s="10">
        <v>2025</v>
      </c>
    </row>
    <row r="1939" spans="1:8" hidden="1" x14ac:dyDescent="0.3">
      <c r="A1939" s="16" t="s">
        <v>67</v>
      </c>
      <c r="B1939" s="16" t="s">
        <v>185</v>
      </c>
      <c r="C1939" s="15">
        <v>6</v>
      </c>
      <c r="D1939" s="17">
        <v>158862</v>
      </c>
      <c r="E1939" s="17">
        <v>155554</v>
      </c>
      <c r="F1939" s="17">
        <v>-3308</v>
      </c>
      <c r="G1939" s="18">
        <v>0.97917689567045618</v>
      </c>
      <c r="H1939" s="10">
        <v>2025</v>
      </c>
    </row>
    <row r="1940" spans="1:8" hidden="1" x14ac:dyDescent="0.3">
      <c r="A1940" s="16" t="s">
        <v>67</v>
      </c>
      <c r="B1940" s="16" t="s">
        <v>185</v>
      </c>
      <c r="C1940" s="15">
        <v>7</v>
      </c>
      <c r="D1940" s="17">
        <v>156733</v>
      </c>
      <c r="E1940" s="17">
        <v>155554</v>
      </c>
      <c r="F1940" s="17">
        <v>-1179</v>
      </c>
      <c r="G1940" s="18">
        <v>0.99247765307880287</v>
      </c>
      <c r="H1940" s="10">
        <v>2025</v>
      </c>
    </row>
    <row r="1941" spans="1:8" hidden="1" x14ac:dyDescent="0.3">
      <c r="A1941" s="16" t="s">
        <v>67</v>
      </c>
      <c r="B1941" s="16" t="s">
        <v>185</v>
      </c>
      <c r="C1941" s="15">
        <v>8</v>
      </c>
      <c r="D1941" s="17">
        <v>155553</v>
      </c>
      <c r="E1941" s="17">
        <v>155553</v>
      </c>
      <c r="F1941" s="17">
        <v>0</v>
      </c>
      <c r="G1941" s="18">
        <v>1</v>
      </c>
      <c r="H1941" s="10">
        <v>2025</v>
      </c>
    </row>
    <row r="1942" spans="1:8" hidden="1" x14ac:dyDescent="0.3">
      <c r="A1942" s="16" t="s">
        <v>67</v>
      </c>
      <c r="B1942" s="16" t="s">
        <v>185</v>
      </c>
      <c r="C1942" s="15">
        <v>9</v>
      </c>
      <c r="D1942" s="17">
        <v>155553</v>
      </c>
      <c r="E1942" s="17">
        <v>163316</v>
      </c>
      <c r="F1942" s="17">
        <v>7763</v>
      </c>
      <c r="G1942" s="18">
        <v>1.0499058198813267</v>
      </c>
      <c r="H1942" s="10">
        <v>2025</v>
      </c>
    </row>
    <row r="1943" spans="1:8" hidden="1" x14ac:dyDescent="0.3">
      <c r="A1943" s="16" t="s">
        <v>67</v>
      </c>
      <c r="B1943" s="16" t="s">
        <v>185</v>
      </c>
      <c r="C1943" s="15">
        <v>10</v>
      </c>
      <c r="D1943" s="17">
        <v>155553</v>
      </c>
      <c r="E1943" s="17">
        <v>155554</v>
      </c>
      <c r="F1943" s="17">
        <v>1</v>
      </c>
      <c r="G1943" s="18">
        <v>1.0000064286770427</v>
      </c>
      <c r="H1943" s="10">
        <v>2025</v>
      </c>
    </row>
    <row r="1944" spans="1:8" hidden="1" x14ac:dyDescent="0.3">
      <c r="A1944" s="16" t="s">
        <v>67</v>
      </c>
      <c r="B1944" s="16" t="s">
        <v>186</v>
      </c>
      <c r="C1944" s="15">
        <v>1</v>
      </c>
      <c r="D1944" s="17">
        <v>998750</v>
      </c>
      <c r="E1944" s="17">
        <v>998750</v>
      </c>
      <c r="F1944" s="17">
        <v>0</v>
      </c>
      <c r="G1944" s="18">
        <v>1</v>
      </c>
      <c r="H1944" s="10">
        <v>2025</v>
      </c>
    </row>
    <row r="1945" spans="1:8" hidden="1" x14ac:dyDescent="0.3">
      <c r="A1945" s="16" t="s">
        <v>67</v>
      </c>
      <c r="B1945" s="16" t="s">
        <v>186</v>
      </c>
      <c r="C1945" s="15">
        <v>2</v>
      </c>
      <c r="D1945" s="17">
        <v>1537500</v>
      </c>
      <c r="E1945" s="17">
        <v>4341001</v>
      </c>
      <c r="F1945" s="17">
        <v>2803501</v>
      </c>
      <c r="G1945" s="18">
        <v>2.8234152845528455</v>
      </c>
      <c r="H1945" s="10">
        <v>2025</v>
      </c>
    </row>
    <row r="1946" spans="1:8" hidden="1" x14ac:dyDescent="0.3">
      <c r="A1946" s="16" t="s">
        <v>67</v>
      </c>
      <c r="B1946" s="16" t="s">
        <v>186</v>
      </c>
      <c r="C1946" s="15">
        <v>3</v>
      </c>
      <c r="D1946" s="17">
        <v>1537500</v>
      </c>
      <c r="E1946" s="17">
        <v>1537501</v>
      </c>
      <c r="F1946" s="17">
        <v>1</v>
      </c>
      <c r="G1946" s="18">
        <v>1.0000006504065042</v>
      </c>
      <c r="H1946" s="10">
        <v>2025</v>
      </c>
    </row>
    <row r="1947" spans="1:8" hidden="1" x14ac:dyDescent="0.3">
      <c r="A1947" s="16" t="s">
        <v>67</v>
      </c>
      <c r="B1947" s="16" t="s">
        <v>186</v>
      </c>
      <c r="C1947" s="15">
        <v>4</v>
      </c>
      <c r="D1947" s="17">
        <v>1537500</v>
      </c>
      <c r="E1947" s="17">
        <v>1537501</v>
      </c>
      <c r="F1947" s="17">
        <v>1</v>
      </c>
      <c r="G1947" s="18">
        <v>1.0000006504065042</v>
      </c>
      <c r="H1947" s="10">
        <v>2025</v>
      </c>
    </row>
    <row r="1948" spans="1:8" hidden="1" x14ac:dyDescent="0.3">
      <c r="A1948" s="16" t="s">
        <v>67</v>
      </c>
      <c r="B1948" s="16" t="s">
        <v>186</v>
      </c>
      <c r="C1948" s="15">
        <v>5</v>
      </c>
      <c r="D1948" s="17">
        <v>1537500</v>
      </c>
      <c r="E1948" s="17">
        <v>1537500</v>
      </c>
      <c r="F1948" s="17">
        <v>0</v>
      </c>
      <c r="G1948" s="18">
        <v>1</v>
      </c>
      <c r="H1948" s="10">
        <v>2025</v>
      </c>
    </row>
    <row r="1949" spans="1:8" hidden="1" x14ac:dyDescent="0.3">
      <c r="A1949" s="16" t="s">
        <v>67</v>
      </c>
      <c r="B1949" s="16" t="s">
        <v>186</v>
      </c>
      <c r="C1949" s="15">
        <v>6</v>
      </c>
      <c r="D1949" s="17">
        <v>1537500</v>
      </c>
      <c r="E1949" s="17">
        <v>1537501</v>
      </c>
      <c r="F1949" s="17">
        <v>1</v>
      </c>
      <c r="G1949" s="18">
        <v>1.0000006504065042</v>
      </c>
      <c r="H1949" s="10">
        <v>2025</v>
      </c>
    </row>
    <row r="1950" spans="1:8" hidden="1" x14ac:dyDescent="0.3">
      <c r="A1950" s="16" t="s">
        <v>67</v>
      </c>
      <c r="B1950" s="16" t="s">
        <v>186</v>
      </c>
      <c r="C1950" s="15">
        <v>7</v>
      </c>
      <c r="D1950" s="17">
        <v>1537500</v>
      </c>
      <c r="E1950" s="17">
        <v>1537501</v>
      </c>
      <c r="F1950" s="17">
        <v>1</v>
      </c>
      <c r="G1950" s="18">
        <v>1.0000006504065042</v>
      </c>
      <c r="H1950" s="10">
        <v>2025</v>
      </c>
    </row>
    <row r="1951" spans="1:8" hidden="1" x14ac:dyDescent="0.3">
      <c r="A1951" s="16" t="s">
        <v>67</v>
      </c>
      <c r="B1951" s="16" t="s">
        <v>186</v>
      </c>
      <c r="C1951" s="15">
        <v>8</v>
      </c>
      <c r="D1951" s="17">
        <v>1537500</v>
      </c>
      <c r="E1951" s="17">
        <v>1537501</v>
      </c>
      <c r="F1951" s="17">
        <v>1</v>
      </c>
      <c r="G1951" s="18">
        <v>1.0000006504065042</v>
      </c>
      <c r="H1951" s="10">
        <v>2025</v>
      </c>
    </row>
    <row r="1952" spans="1:8" hidden="1" x14ac:dyDescent="0.3">
      <c r="A1952" s="16" t="s">
        <v>67</v>
      </c>
      <c r="B1952" s="16" t="s">
        <v>186</v>
      </c>
      <c r="C1952" s="15">
        <v>9</v>
      </c>
      <c r="D1952" s="17">
        <v>1537500</v>
      </c>
      <c r="E1952" s="17">
        <v>1614228</v>
      </c>
      <c r="F1952" s="17">
        <v>76728</v>
      </c>
      <c r="G1952" s="18">
        <v>1.0499043902439025</v>
      </c>
      <c r="H1952" s="10">
        <v>2025</v>
      </c>
    </row>
    <row r="1953" spans="1:8" hidden="1" x14ac:dyDescent="0.3">
      <c r="A1953" s="16" t="s">
        <v>67</v>
      </c>
      <c r="B1953" s="16" t="s">
        <v>186</v>
      </c>
      <c r="C1953" s="15">
        <v>10</v>
      </c>
      <c r="D1953" s="17">
        <v>1537500</v>
      </c>
      <c r="E1953" s="17">
        <v>1537501</v>
      </c>
      <c r="F1953" s="17">
        <v>1</v>
      </c>
      <c r="G1953" s="18">
        <v>1.0000006504065042</v>
      </c>
      <c r="H1953" s="10">
        <v>2025</v>
      </c>
    </row>
    <row r="1954" spans="1:8" hidden="1" x14ac:dyDescent="0.3">
      <c r="A1954" s="16" t="s">
        <v>67</v>
      </c>
      <c r="B1954" s="16" t="s">
        <v>187</v>
      </c>
      <c r="C1954" s="15">
        <v>1</v>
      </c>
      <c r="D1954" s="17">
        <v>465663</v>
      </c>
      <c r="E1954" s="17">
        <v>465664</v>
      </c>
      <c r="F1954" s="17">
        <v>1</v>
      </c>
      <c r="G1954" s="18">
        <v>1.0000021474757497</v>
      </c>
      <c r="H1954" s="10">
        <v>2025</v>
      </c>
    </row>
    <row r="1955" spans="1:8" hidden="1" x14ac:dyDescent="0.3">
      <c r="A1955" s="16" t="s">
        <v>67</v>
      </c>
      <c r="B1955" s="16" t="s">
        <v>187</v>
      </c>
      <c r="C1955" s="15">
        <v>2</v>
      </c>
      <c r="D1955" s="17">
        <v>470042</v>
      </c>
      <c r="E1955" s="17">
        <v>470043</v>
      </c>
      <c r="F1955" s="17">
        <v>1</v>
      </c>
      <c r="G1955" s="18">
        <v>1.0000021274694602</v>
      </c>
      <c r="H1955" s="10">
        <v>2025</v>
      </c>
    </row>
    <row r="1956" spans="1:8" hidden="1" x14ac:dyDescent="0.3">
      <c r="A1956" s="16" t="s">
        <v>67</v>
      </c>
      <c r="B1956" s="16" t="s">
        <v>187</v>
      </c>
      <c r="C1956" s="15">
        <v>3</v>
      </c>
      <c r="D1956" s="17">
        <v>470042</v>
      </c>
      <c r="E1956" s="17">
        <v>470043</v>
      </c>
      <c r="F1956" s="17">
        <v>1</v>
      </c>
      <c r="G1956" s="18">
        <v>1.0000021274694602</v>
      </c>
      <c r="H1956" s="10">
        <v>2025</v>
      </c>
    </row>
    <row r="1957" spans="1:8" hidden="1" x14ac:dyDescent="0.3">
      <c r="A1957" s="16" t="s">
        <v>67</v>
      </c>
      <c r="B1957" s="16" t="s">
        <v>187</v>
      </c>
      <c r="C1957" s="15">
        <v>4</v>
      </c>
      <c r="D1957" s="17">
        <v>470042</v>
      </c>
      <c r="E1957" s="17">
        <v>470043</v>
      </c>
      <c r="F1957" s="17">
        <v>1</v>
      </c>
      <c r="G1957" s="18">
        <v>1.0000021274694602</v>
      </c>
      <c r="H1957" s="10">
        <v>2025</v>
      </c>
    </row>
    <row r="1958" spans="1:8" hidden="1" x14ac:dyDescent="0.3">
      <c r="A1958" s="16" t="s">
        <v>67</v>
      </c>
      <c r="B1958" s="16" t="s">
        <v>187</v>
      </c>
      <c r="C1958" s="15">
        <v>5</v>
      </c>
      <c r="D1958" s="17">
        <v>470042</v>
      </c>
      <c r="E1958" s="17">
        <v>470041</v>
      </c>
      <c r="F1958" s="17">
        <v>-1</v>
      </c>
      <c r="G1958" s="18">
        <v>0.99999787253053984</v>
      </c>
      <c r="H1958" s="10">
        <v>2025</v>
      </c>
    </row>
    <row r="1959" spans="1:8" hidden="1" x14ac:dyDescent="0.3">
      <c r="A1959" s="16" t="s">
        <v>67</v>
      </c>
      <c r="B1959" s="16" t="s">
        <v>187</v>
      </c>
      <c r="C1959" s="15">
        <v>6</v>
      </c>
      <c r="D1959" s="17">
        <v>470042</v>
      </c>
      <c r="E1959" s="17">
        <v>470043</v>
      </c>
      <c r="F1959" s="17">
        <v>1</v>
      </c>
      <c r="G1959" s="18">
        <v>1.0000021274694602</v>
      </c>
      <c r="H1959" s="10">
        <v>2025</v>
      </c>
    </row>
    <row r="1960" spans="1:8" hidden="1" x14ac:dyDescent="0.3">
      <c r="A1960" s="16" t="s">
        <v>67</v>
      </c>
      <c r="B1960" s="16" t="s">
        <v>187</v>
      </c>
      <c r="C1960" s="15">
        <v>7</v>
      </c>
      <c r="D1960" s="17">
        <v>470042</v>
      </c>
      <c r="E1960" s="17">
        <v>470043</v>
      </c>
      <c r="F1960" s="17">
        <v>1</v>
      </c>
      <c r="G1960" s="18">
        <v>1.0000021274694602</v>
      </c>
      <c r="H1960" s="10">
        <v>2025</v>
      </c>
    </row>
    <row r="1961" spans="1:8" hidden="1" x14ac:dyDescent="0.3">
      <c r="A1961" s="16" t="s">
        <v>67</v>
      </c>
      <c r="B1961" s="16" t="s">
        <v>187</v>
      </c>
      <c r="C1961" s="15">
        <v>8</v>
      </c>
      <c r="D1961" s="17">
        <v>470042</v>
      </c>
      <c r="E1961" s="17">
        <v>470043</v>
      </c>
      <c r="F1961" s="17">
        <v>1</v>
      </c>
      <c r="G1961" s="18">
        <v>1.0000021274694602</v>
      </c>
      <c r="H1961" s="10">
        <v>2025</v>
      </c>
    </row>
    <row r="1962" spans="1:8" hidden="1" x14ac:dyDescent="0.3">
      <c r="A1962" s="16" t="s">
        <v>67</v>
      </c>
      <c r="B1962" s="16" t="s">
        <v>187</v>
      </c>
      <c r="C1962" s="15">
        <v>9</v>
      </c>
      <c r="D1962" s="17">
        <v>470042</v>
      </c>
      <c r="E1962" s="17">
        <v>493500</v>
      </c>
      <c r="F1962" s="17">
        <v>23458</v>
      </c>
      <c r="G1962" s="18">
        <v>1.0499061785968062</v>
      </c>
      <c r="H1962" s="10">
        <v>2025</v>
      </c>
    </row>
    <row r="1963" spans="1:8" hidden="1" x14ac:dyDescent="0.3">
      <c r="A1963" s="16" t="s">
        <v>67</v>
      </c>
      <c r="B1963" s="16" t="s">
        <v>187</v>
      </c>
      <c r="C1963" s="15">
        <v>10</v>
      </c>
      <c r="D1963" s="17">
        <v>470042</v>
      </c>
      <c r="E1963" s="17">
        <v>470043</v>
      </c>
      <c r="F1963" s="17">
        <v>1</v>
      </c>
      <c r="G1963" s="18">
        <v>1.0000021274694602</v>
      </c>
      <c r="H1963" s="10">
        <v>2025</v>
      </c>
    </row>
    <row r="1964" spans="1:8" hidden="1" x14ac:dyDescent="0.3">
      <c r="A1964" s="16" t="s">
        <v>67</v>
      </c>
      <c r="B1964" s="16" t="s">
        <v>212</v>
      </c>
      <c r="C1964" s="15">
        <v>2</v>
      </c>
      <c r="D1964" s="17">
        <v>0</v>
      </c>
      <c r="E1964" s="17">
        <v>200000</v>
      </c>
      <c r="F1964" s="17">
        <v>200000</v>
      </c>
      <c r="G1964" s="18">
        <v>0</v>
      </c>
      <c r="H1964" s="10">
        <v>2025</v>
      </c>
    </row>
    <row r="1965" spans="1:8" hidden="1" x14ac:dyDescent="0.3">
      <c r="A1965" s="16" t="s">
        <v>67</v>
      </c>
      <c r="B1965" s="16" t="s">
        <v>188</v>
      </c>
      <c r="C1965" s="15">
        <v>1</v>
      </c>
      <c r="D1965" s="17">
        <v>0</v>
      </c>
      <c r="E1965" s="17">
        <v>74182</v>
      </c>
      <c r="F1965" s="17">
        <v>74182</v>
      </c>
      <c r="G1965" s="18">
        <v>0</v>
      </c>
      <c r="H1965" s="10">
        <v>2025</v>
      </c>
    </row>
    <row r="1966" spans="1:8" hidden="1" x14ac:dyDescent="0.3">
      <c r="A1966" s="16" t="s">
        <v>67</v>
      </c>
      <c r="B1966" s="16" t="s">
        <v>188</v>
      </c>
      <c r="C1966" s="15">
        <v>2</v>
      </c>
      <c r="D1966" s="17">
        <v>0</v>
      </c>
      <c r="E1966" s="17">
        <v>118487</v>
      </c>
      <c r="F1966" s="17">
        <v>118487</v>
      </c>
      <c r="G1966" s="18">
        <v>0</v>
      </c>
      <c r="H1966" s="10">
        <v>2025</v>
      </c>
    </row>
    <row r="1967" spans="1:8" hidden="1" x14ac:dyDescent="0.3">
      <c r="A1967" s="16" t="s">
        <v>67</v>
      </c>
      <c r="B1967" s="16" t="s">
        <v>188</v>
      </c>
      <c r="C1967" s="15">
        <v>4</v>
      </c>
      <c r="D1967" s="17">
        <v>1179567</v>
      </c>
      <c r="E1967" s="17">
        <v>27414</v>
      </c>
      <c r="F1967" s="17">
        <v>-1152153</v>
      </c>
      <c r="G1967" s="18">
        <v>2.3240731556579661E-2</v>
      </c>
      <c r="H1967" s="10">
        <v>2025</v>
      </c>
    </row>
    <row r="1968" spans="1:8" hidden="1" x14ac:dyDescent="0.3">
      <c r="A1968" s="16" t="s">
        <v>67</v>
      </c>
      <c r="B1968" s="16" t="s">
        <v>188</v>
      </c>
      <c r="C1968" s="15">
        <v>5</v>
      </c>
      <c r="D1968" s="17">
        <v>0</v>
      </c>
      <c r="E1968" s="17">
        <v>1232710</v>
      </c>
      <c r="F1968" s="17">
        <v>1232710</v>
      </c>
      <c r="G1968" s="18">
        <v>0</v>
      </c>
      <c r="H1968" s="10">
        <v>2025</v>
      </c>
    </row>
    <row r="1969" spans="1:8" hidden="1" x14ac:dyDescent="0.3">
      <c r="A1969" s="16" t="s">
        <v>67</v>
      </c>
      <c r="B1969" s="16" t="s">
        <v>188</v>
      </c>
      <c r="C1969" s="15">
        <v>8</v>
      </c>
      <c r="D1969" s="17">
        <v>480060</v>
      </c>
      <c r="E1969" s="17">
        <v>822407</v>
      </c>
      <c r="F1969" s="17">
        <v>342347</v>
      </c>
      <c r="G1969" s="18">
        <v>1.7131337749447986</v>
      </c>
      <c r="H1969" s="10">
        <v>2025</v>
      </c>
    </row>
    <row r="1970" spans="1:8" hidden="1" x14ac:dyDescent="0.3">
      <c r="A1970" s="16" t="s">
        <v>67</v>
      </c>
      <c r="B1970" s="16" t="s">
        <v>189</v>
      </c>
      <c r="C1970" s="15">
        <v>1</v>
      </c>
      <c r="D1970" s="17">
        <v>503123</v>
      </c>
      <c r="E1970" s="17">
        <v>77017</v>
      </c>
      <c r="F1970" s="17">
        <v>-426106</v>
      </c>
      <c r="G1970" s="18">
        <v>0.15307787558907068</v>
      </c>
      <c r="H1970" s="10">
        <v>2025</v>
      </c>
    </row>
    <row r="1971" spans="1:8" hidden="1" x14ac:dyDescent="0.3">
      <c r="A1971" s="16" t="s">
        <v>67</v>
      </c>
      <c r="B1971" s="16" t="s">
        <v>189</v>
      </c>
      <c r="C1971" s="15">
        <v>2</v>
      </c>
      <c r="D1971" s="17">
        <v>503123</v>
      </c>
      <c r="E1971" s="17">
        <v>102410</v>
      </c>
      <c r="F1971" s="17">
        <v>-400713</v>
      </c>
      <c r="G1971" s="18">
        <v>0.20354863522438849</v>
      </c>
      <c r="H1971" s="10">
        <v>2025</v>
      </c>
    </row>
    <row r="1972" spans="1:8" hidden="1" x14ac:dyDescent="0.3">
      <c r="A1972" s="16" t="s">
        <v>67</v>
      </c>
      <c r="B1972" s="16" t="s">
        <v>189</v>
      </c>
      <c r="C1972" s="15">
        <v>3</v>
      </c>
      <c r="D1972" s="17">
        <v>503123</v>
      </c>
      <c r="E1972" s="17">
        <v>252081</v>
      </c>
      <c r="F1972" s="17">
        <v>-251042</v>
      </c>
      <c r="G1972" s="18">
        <v>0.50103255068840025</v>
      </c>
      <c r="H1972" s="10">
        <v>2025</v>
      </c>
    </row>
    <row r="1973" spans="1:8" hidden="1" x14ac:dyDescent="0.3">
      <c r="A1973" s="16" t="s">
        <v>67</v>
      </c>
      <c r="B1973" s="16" t="s">
        <v>189</v>
      </c>
      <c r="C1973" s="15">
        <v>4</v>
      </c>
      <c r="D1973" s="17">
        <v>503123</v>
      </c>
      <c r="E1973" s="17">
        <v>163340</v>
      </c>
      <c r="F1973" s="17">
        <v>-339783</v>
      </c>
      <c r="G1973" s="18">
        <v>0.32465222222001383</v>
      </c>
      <c r="H1973" s="10">
        <v>2025</v>
      </c>
    </row>
    <row r="1974" spans="1:8" hidden="1" x14ac:dyDescent="0.3">
      <c r="A1974" s="16" t="s">
        <v>67</v>
      </c>
      <c r="B1974" s="16" t="s">
        <v>189</v>
      </c>
      <c r="C1974" s="15">
        <v>5</v>
      </c>
      <c r="D1974" s="17">
        <v>503123</v>
      </c>
      <c r="E1974" s="17">
        <v>137197</v>
      </c>
      <c r="F1974" s="17">
        <v>-365926</v>
      </c>
      <c r="G1974" s="18">
        <v>0.27269077342916148</v>
      </c>
      <c r="H1974" s="10">
        <v>2025</v>
      </c>
    </row>
    <row r="1975" spans="1:8" hidden="1" x14ac:dyDescent="0.3">
      <c r="A1975" s="16" t="s">
        <v>67</v>
      </c>
      <c r="B1975" s="16" t="s">
        <v>189</v>
      </c>
      <c r="C1975" s="15">
        <v>6</v>
      </c>
      <c r="D1975" s="17">
        <v>503123</v>
      </c>
      <c r="E1975" s="17">
        <v>0</v>
      </c>
      <c r="F1975" s="17">
        <v>-503123</v>
      </c>
      <c r="G1975" s="18">
        <v>0</v>
      </c>
      <c r="H1975" s="10">
        <v>2025</v>
      </c>
    </row>
    <row r="1976" spans="1:8" hidden="1" x14ac:dyDescent="0.3">
      <c r="A1976" s="16" t="s">
        <v>67</v>
      </c>
      <c r="B1976" s="16" t="s">
        <v>189</v>
      </c>
      <c r="C1976" s="15">
        <v>7</v>
      </c>
      <c r="D1976" s="17">
        <v>503123</v>
      </c>
      <c r="E1976" s="17">
        <v>140359</v>
      </c>
      <c r="F1976" s="17">
        <v>-362764</v>
      </c>
      <c r="G1976" s="18">
        <v>0.27897551890889505</v>
      </c>
      <c r="H1976" s="10">
        <v>2025</v>
      </c>
    </row>
    <row r="1977" spans="1:8" hidden="1" x14ac:dyDescent="0.3">
      <c r="A1977" s="16" t="s">
        <v>67</v>
      </c>
      <c r="B1977" s="16" t="s">
        <v>189</v>
      </c>
      <c r="C1977" s="15">
        <v>8</v>
      </c>
      <c r="D1977" s="17">
        <v>503123</v>
      </c>
      <c r="E1977" s="17">
        <v>179095</v>
      </c>
      <c r="F1977" s="17">
        <v>-324028</v>
      </c>
      <c r="G1977" s="18">
        <v>0.3559666324139425</v>
      </c>
      <c r="H1977" s="10">
        <v>2025</v>
      </c>
    </row>
    <row r="1978" spans="1:8" hidden="1" x14ac:dyDescent="0.3">
      <c r="A1978" s="16" t="s">
        <v>67</v>
      </c>
      <c r="B1978" s="16" t="s">
        <v>189</v>
      </c>
      <c r="C1978" s="15">
        <v>9</v>
      </c>
      <c r="D1978" s="17">
        <v>503123</v>
      </c>
      <c r="E1978" s="17">
        <v>172410</v>
      </c>
      <c r="F1978" s="17">
        <v>-330713</v>
      </c>
      <c r="G1978" s="18">
        <v>0.34267962307427807</v>
      </c>
      <c r="H1978" s="10">
        <v>2025</v>
      </c>
    </row>
    <row r="1979" spans="1:8" hidden="1" x14ac:dyDescent="0.3">
      <c r="A1979" s="16" t="s">
        <v>67</v>
      </c>
      <c r="B1979" s="16" t="s">
        <v>189</v>
      </c>
      <c r="C1979" s="15">
        <v>10</v>
      </c>
      <c r="D1979" s="17">
        <v>503123</v>
      </c>
      <c r="E1979" s="17">
        <v>185657</v>
      </c>
      <c r="F1979" s="17">
        <v>-317466</v>
      </c>
      <c r="G1979" s="18">
        <v>0.36900916873209932</v>
      </c>
      <c r="H1979" s="10">
        <v>2025</v>
      </c>
    </row>
    <row r="1980" spans="1:8" hidden="1" x14ac:dyDescent="0.3">
      <c r="A1980" s="16" t="s">
        <v>67</v>
      </c>
      <c r="B1980" s="16" t="s">
        <v>191</v>
      </c>
      <c r="C1980" s="15">
        <v>2</v>
      </c>
      <c r="D1980" s="17">
        <v>0</v>
      </c>
      <c r="E1980" s="17">
        <v>2600100</v>
      </c>
      <c r="F1980" s="17">
        <v>2600100</v>
      </c>
      <c r="G1980" s="18">
        <v>0</v>
      </c>
      <c r="H1980" s="10">
        <v>2025</v>
      </c>
    </row>
    <row r="1981" spans="1:8" hidden="1" x14ac:dyDescent="0.3">
      <c r="A1981" s="16" t="s">
        <v>67</v>
      </c>
      <c r="B1981" s="16" t="s">
        <v>192</v>
      </c>
      <c r="C1981" s="15">
        <v>1</v>
      </c>
      <c r="D1981" s="17">
        <v>275011</v>
      </c>
      <c r="E1981" s="17">
        <v>205750</v>
      </c>
      <c r="F1981" s="17">
        <v>-69261</v>
      </c>
      <c r="G1981" s="18">
        <v>0.74815189210613398</v>
      </c>
      <c r="H1981" s="10">
        <v>2025</v>
      </c>
    </row>
    <row r="1982" spans="1:8" hidden="1" x14ac:dyDescent="0.3">
      <c r="A1982" s="16" t="s">
        <v>67</v>
      </c>
      <c r="B1982" s="16" t="s">
        <v>192</v>
      </c>
      <c r="C1982" s="15">
        <v>2</v>
      </c>
      <c r="D1982" s="17">
        <v>283389</v>
      </c>
      <c r="E1982" s="17">
        <v>274700</v>
      </c>
      <c r="F1982" s="17">
        <v>-8689</v>
      </c>
      <c r="G1982" s="18">
        <v>0.96933896516801998</v>
      </c>
      <c r="H1982" s="10">
        <v>2025</v>
      </c>
    </row>
    <row r="1983" spans="1:8" hidden="1" x14ac:dyDescent="0.3">
      <c r="A1983" s="16" t="s">
        <v>67</v>
      </c>
      <c r="B1983" s="16" t="s">
        <v>192</v>
      </c>
      <c r="C1983" s="15">
        <v>3</v>
      </c>
      <c r="D1983" s="17">
        <v>282616</v>
      </c>
      <c r="E1983" s="17">
        <v>274700</v>
      </c>
      <c r="F1983" s="17">
        <v>-7916</v>
      </c>
      <c r="G1983" s="18">
        <v>0.97199026240552555</v>
      </c>
      <c r="H1983" s="10">
        <v>2025</v>
      </c>
    </row>
    <row r="1984" spans="1:8" hidden="1" x14ac:dyDescent="0.3">
      <c r="A1984" s="16" t="s">
        <v>67</v>
      </c>
      <c r="B1984" s="16" t="s">
        <v>192</v>
      </c>
      <c r="C1984" s="15">
        <v>4</v>
      </c>
      <c r="D1984" s="17">
        <v>277407</v>
      </c>
      <c r="E1984" s="17">
        <v>269400</v>
      </c>
      <c r="F1984" s="17">
        <v>-8007</v>
      </c>
      <c r="G1984" s="18">
        <v>0.9711362726967957</v>
      </c>
      <c r="H1984" s="10">
        <v>2025</v>
      </c>
    </row>
    <row r="1985" spans="1:8" hidden="1" x14ac:dyDescent="0.3">
      <c r="A1985" s="16" t="s">
        <v>67</v>
      </c>
      <c r="B1985" s="16" t="s">
        <v>192</v>
      </c>
      <c r="C1985" s="15">
        <v>5</v>
      </c>
      <c r="D1985" s="17">
        <v>277466</v>
      </c>
      <c r="E1985" s="17">
        <v>257700</v>
      </c>
      <c r="F1985" s="17">
        <v>-19766</v>
      </c>
      <c r="G1985" s="18">
        <v>0.92876244296598509</v>
      </c>
      <c r="H1985" s="10">
        <v>2025</v>
      </c>
    </row>
    <row r="1986" spans="1:8" hidden="1" x14ac:dyDescent="0.3">
      <c r="A1986" s="16" t="s">
        <v>67</v>
      </c>
      <c r="B1986" s="16" t="s">
        <v>192</v>
      </c>
      <c r="C1986" s="15">
        <v>6</v>
      </c>
      <c r="D1986" s="17">
        <v>282038</v>
      </c>
      <c r="E1986" s="17">
        <v>274700</v>
      </c>
      <c r="F1986" s="17">
        <v>-7338</v>
      </c>
      <c r="G1986" s="18">
        <v>0.97398222934498191</v>
      </c>
      <c r="H1986" s="10">
        <v>2025</v>
      </c>
    </row>
    <row r="1987" spans="1:8" hidden="1" x14ac:dyDescent="0.3">
      <c r="A1987" s="16" t="s">
        <v>67</v>
      </c>
      <c r="B1987" s="16" t="s">
        <v>192</v>
      </c>
      <c r="C1987" s="15">
        <v>7</v>
      </c>
      <c r="D1987" s="17">
        <v>278258</v>
      </c>
      <c r="E1987" s="17">
        <v>255100</v>
      </c>
      <c r="F1987" s="17">
        <v>-23158</v>
      </c>
      <c r="G1987" s="18">
        <v>0.91677507924300472</v>
      </c>
      <c r="H1987" s="10">
        <v>2025</v>
      </c>
    </row>
    <row r="1988" spans="1:8" hidden="1" x14ac:dyDescent="0.3">
      <c r="A1988" s="16" t="s">
        <v>67</v>
      </c>
      <c r="B1988" s="16" t="s">
        <v>192</v>
      </c>
      <c r="C1988" s="15">
        <v>8</v>
      </c>
      <c r="D1988" s="17">
        <v>276164</v>
      </c>
      <c r="E1988" s="17">
        <v>268200</v>
      </c>
      <c r="F1988" s="17">
        <v>-7964</v>
      </c>
      <c r="G1988" s="18">
        <v>0.97116206312191311</v>
      </c>
      <c r="H1988" s="10">
        <v>2025</v>
      </c>
    </row>
    <row r="1989" spans="1:8" hidden="1" x14ac:dyDescent="0.3">
      <c r="A1989" s="16" t="s">
        <v>67</v>
      </c>
      <c r="B1989" s="16" t="s">
        <v>192</v>
      </c>
      <c r="C1989" s="15">
        <v>9</v>
      </c>
      <c r="D1989" s="17">
        <v>276164</v>
      </c>
      <c r="E1989" s="17">
        <v>249300</v>
      </c>
      <c r="F1989" s="17">
        <v>-26864</v>
      </c>
      <c r="G1989" s="18">
        <v>0.90272446806969775</v>
      </c>
      <c r="H1989" s="10">
        <v>2025</v>
      </c>
    </row>
    <row r="1990" spans="1:8" hidden="1" x14ac:dyDescent="0.3">
      <c r="A1990" s="16" t="s">
        <v>67</v>
      </c>
      <c r="B1990" s="16" t="s">
        <v>192</v>
      </c>
      <c r="C1990" s="15">
        <v>10</v>
      </c>
      <c r="D1990" s="17">
        <v>276164</v>
      </c>
      <c r="E1990" s="17">
        <v>274800</v>
      </c>
      <c r="F1990" s="17">
        <v>-1364</v>
      </c>
      <c r="G1990" s="18">
        <v>0.99506090583855977</v>
      </c>
      <c r="H1990" s="10">
        <v>2025</v>
      </c>
    </row>
    <row r="1991" spans="1:8" hidden="1" x14ac:dyDescent="0.3">
      <c r="A1991" s="16" t="s">
        <v>67</v>
      </c>
      <c r="B1991" s="16" t="s">
        <v>193</v>
      </c>
      <c r="C1991" s="15">
        <v>1</v>
      </c>
      <c r="D1991" s="17">
        <v>0</v>
      </c>
      <c r="E1991" s="17">
        <v>-4180</v>
      </c>
      <c r="F1991" s="17">
        <v>-4180</v>
      </c>
      <c r="G1991" s="18">
        <v>0</v>
      </c>
      <c r="H1991" s="10">
        <v>2025</v>
      </c>
    </row>
    <row r="1992" spans="1:8" hidden="1" x14ac:dyDescent="0.3">
      <c r="A1992" s="16" t="s">
        <v>67</v>
      </c>
      <c r="B1992" s="16" t="s">
        <v>193</v>
      </c>
      <c r="C1992" s="15">
        <v>2</v>
      </c>
      <c r="D1992" s="17">
        <v>0</v>
      </c>
      <c r="E1992" s="17">
        <v>20</v>
      </c>
      <c r="F1992" s="17">
        <v>20</v>
      </c>
      <c r="G1992" s="18">
        <v>0</v>
      </c>
      <c r="H1992" s="10">
        <v>2025</v>
      </c>
    </row>
    <row r="1993" spans="1:8" hidden="1" x14ac:dyDescent="0.3">
      <c r="A1993" s="16" t="s">
        <v>67</v>
      </c>
      <c r="B1993" s="16" t="s">
        <v>193</v>
      </c>
      <c r="C1993" s="15">
        <v>3</v>
      </c>
      <c r="D1993" s="17">
        <v>0</v>
      </c>
      <c r="E1993" s="17">
        <v>20</v>
      </c>
      <c r="F1993" s="17">
        <v>20</v>
      </c>
      <c r="G1993" s="18">
        <v>0</v>
      </c>
      <c r="H1993" s="10">
        <v>2025</v>
      </c>
    </row>
    <row r="1994" spans="1:8" hidden="1" x14ac:dyDescent="0.3">
      <c r="A1994" s="16" t="s">
        <v>67</v>
      </c>
      <c r="B1994" s="16" t="s">
        <v>193</v>
      </c>
      <c r="C1994" s="15">
        <v>4</v>
      </c>
      <c r="D1994" s="17">
        <v>0</v>
      </c>
      <c r="E1994" s="17">
        <v>70</v>
      </c>
      <c r="F1994" s="17">
        <v>70</v>
      </c>
      <c r="G1994" s="18">
        <v>0</v>
      </c>
      <c r="H1994" s="10">
        <v>2025</v>
      </c>
    </row>
    <row r="1995" spans="1:8" hidden="1" x14ac:dyDescent="0.3">
      <c r="A1995" s="16" t="s">
        <v>67</v>
      </c>
      <c r="B1995" s="16" t="s">
        <v>193</v>
      </c>
      <c r="C1995" s="15">
        <v>5</v>
      </c>
      <c r="D1995" s="17">
        <v>0</v>
      </c>
      <c r="E1995" s="17">
        <v>220</v>
      </c>
      <c r="F1995" s="17">
        <v>220</v>
      </c>
      <c r="G1995" s="18">
        <v>0</v>
      </c>
      <c r="H1995" s="10">
        <v>2025</v>
      </c>
    </row>
    <row r="1996" spans="1:8" hidden="1" x14ac:dyDescent="0.3">
      <c r="A1996" s="16" t="s">
        <v>67</v>
      </c>
      <c r="B1996" s="16" t="s">
        <v>193</v>
      </c>
      <c r="C1996" s="15">
        <v>6</v>
      </c>
      <c r="D1996" s="17">
        <v>0</v>
      </c>
      <c r="E1996" s="17">
        <v>20</v>
      </c>
      <c r="F1996" s="17">
        <v>20</v>
      </c>
      <c r="G1996" s="18">
        <v>0</v>
      </c>
      <c r="H1996" s="10">
        <v>2025</v>
      </c>
    </row>
    <row r="1997" spans="1:8" hidden="1" x14ac:dyDescent="0.3">
      <c r="A1997" s="16" t="s">
        <v>67</v>
      </c>
      <c r="B1997" s="16" t="s">
        <v>193</v>
      </c>
      <c r="C1997" s="15">
        <v>7</v>
      </c>
      <c r="D1997" s="17">
        <v>0</v>
      </c>
      <c r="E1997" s="17">
        <v>20</v>
      </c>
      <c r="F1997" s="17">
        <v>20</v>
      </c>
      <c r="G1997" s="18">
        <v>0</v>
      </c>
      <c r="H1997" s="10">
        <v>2025</v>
      </c>
    </row>
    <row r="1998" spans="1:8" hidden="1" x14ac:dyDescent="0.3">
      <c r="A1998" s="16" t="s">
        <v>67</v>
      </c>
      <c r="B1998" s="16" t="s">
        <v>193</v>
      </c>
      <c r="C1998" s="15">
        <v>8</v>
      </c>
      <c r="D1998" s="17">
        <v>0</v>
      </c>
      <c r="E1998" s="17">
        <v>220</v>
      </c>
      <c r="F1998" s="17">
        <v>220</v>
      </c>
      <c r="G1998" s="18">
        <v>0</v>
      </c>
      <c r="H1998" s="10">
        <v>2025</v>
      </c>
    </row>
    <row r="1999" spans="1:8" hidden="1" x14ac:dyDescent="0.3">
      <c r="A1999" s="16" t="s">
        <v>67</v>
      </c>
      <c r="B1999" s="16" t="s">
        <v>194</v>
      </c>
      <c r="C1999" s="15">
        <v>1</v>
      </c>
      <c r="D1999" s="17">
        <v>1346997</v>
      </c>
      <c r="E1999" s="17">
        <v>1291487</v>
      </c>
      <c r="F1999" s="17">
        <v>-55510</v>
      </c>
      <c r="G1999" s="18">
        <v>0.95878981170707878</v>
      </c>
      <c r="H1999" s="10">
        <v>2025</v>
      </c>
    </row>
    <row r="2000" spans="1:8" hidden="1" x14ac:dyDescent="0.3">
      <c r="A2000" s="16" t="s">
        <v>67</v>
      </c>
      <c r="B2000" s="16" t="s">
        <v>194</v>
      </c>
      <c r="C2000" s="15">
        <v>2</v>
      </c>
      <c r="D2000" s="17">
        <v>1388029</v>
      </c>
      <c r="E2000" s="17">
        <v>1352720</v>
      </c>
      <c r="F2000" s="17">
        <v>-35309</v>
      </c>
      <c r="G2000" s="18">
        <v>0.97456177068346561</v>
      </c>
      <c r="H2000" s="10">
        <v>2025</v>
      </c>
    </row>
    <row r="2001" spans="1:8" hidden="1" x14ac:dyDescent="0.3">
      <c r="A2001" s="16" t="s">
        <v>67</v>
      </c>
      <c r="B2001" s="16" t="s">
        <v>194</v>
      </c>
      <c r="C2001" s="15">
        <v>3</v>
      </c>
      <c r="D2001" s="17">
        <v>1384245</v>
      </c>
      <c r="E2001" s="17">
        <v>1352720</v>
      </c>
      <c r="F2001" s="17">
        <v>-31525</v>
      </c>
      <c r="G2001" s="18">
        <v>0.97722585235995074</v>
      </c>
      <c r="H2001" s="10">
        <v>2025</v>
      </c>
    </row>
    <row r="2002" spans="1:8" hidden="1" x14ac:dyDescent="0.3">
      <c r="A2002" s="16" t="s">
        <v>67</v>
      </c>
      <c r="B2002" s="16" t="s">
        <v>194</v>
      </c>
      <c r="C2002" s="15">
        <v>4</v>
      </c>
      <c r="D2002" s="17">
        <v>1358732</v>
      </c>
      <c r="E2002" s="17">
        <v>1352870</v>
      </c>
      <c r="F2002" s="17">
        <v>-5862</v>
      </c>
      <c r="G2002" s="18">
        <v>0.99568568341659724</v>
      </c>
      <c r="H2002" s="10">
        <v>2025</v>
      </c>
    </row>
    <row r="2003" spans="1:8" hidden="1" x14ac:dyDescent="0.3">
      <c r="A2003" s="16" t="s">
        <v>67</v>
      </c>
      <c r="B2003" s="16" t="s">
        <v>194</v>
      </c>
      <c r="C2003" s="15">
        <v>5</v>
      </c>
      <c r="D2003" s="17">
        <v>1359018</v>
      </c>
      <c r="E2003" s="17">
        <v>1352920</v>
      </c>
      <c r="F2003" s="17">
        <v>-6098</v>
      </c>
      <c r="G2003" s="18">
        <v>0.99551293654683015</v>
      </c>
      <c r="H2003" s="10">
        <v>2025</v>
      </c>
    </row>
    <row r="2004" spans="1:8" hidden="1" x14ac:dyDescent="0.3">
      <c r="A2004" s="16" t="s">
        <v>67</v>
      </c>
      <c r="B2004" s="16" t="s">
        <v>194</v>
      </c>
      <c r="C2004" s="15">
        <v>6</v>
      </c>
      <c r="D2004" s="17">
        <v>1381415</v>
      </c>
      <c r="E2004" s="17">
        <v>1352720</v>
      </c>
      <c r="F2004" s="17">
        <v>-28695</v>
      </c>
      <c r="G2004" s="18">
        <v>0.9792278207490146</v>
      </c>
      <c r="H2004" s="10">
        <v>2025</v>
      </c>
    </row>
    <row r="2005" spans="1:8" hidden="1" x14ac:dyDescent="0.3">
      <c r="A2005" s="16" t="s">
        <v>67</v>
      </c>
      <c r="B2005" s="16" t="s">
        <v>194</v>
      </c>
      <c r="C2005" s="15">
        <v>7</v>
      </c>
      <c r="D2005" s="17">
        <v>1362896</v>
      </c>
      <c r="E2005" s="17">
        <v>1352720</v>
      </c>
      <c r="F2005" s="17">
        <v>-10176</v>
      </c>
      <c r="G2005" s="18">
        <v>0.99253354621335743</v>
      </c>
      <c r="H2005" s="10">
        <v>2025</v>
      </c>
    </row>
    <row r="2006" spans="1:8" hidden="1" x14ac:dyDescent="0.3">
      <c r="A2006" s="16" t="s">
        <v>67</v>
      </c>
      <c r="B2006" s="16" t="s">
        <v>194</v>
      </c>
      <c r="C2006" s="15">
        <v>8</v>
      </c>
      <c r="D2006" s="17">
        <v>1352640</v>
      </c>
      <c r="E2006" s="17">
        <v>1352920</v>
      </c>
      <c r="F2006" s="17">
        <v>280</v>
      </c>
      <c r="G2006" s="18">
        <v>1.0002070026023184</v>
      </c>
      <c r="H2006" s="10">
        <v>2025</v>
      </c>
    </row>
    <row r="2007" spans="1:8" hidden="1" x14ac:dyDescent="0.3">
      <c r="A2007" s="16" t="s">
        <v>67</v>
      </c>
      <c r="B2007" s="16" t="s">
        <v>194</v>
      </c>
      <c r="C2007" s="15">
        <v>9</v>
      </c>
      <c r="D2007" s="17">
        <v>1352640</v>
      </c>
      <c r="E2007" s="17">
        <v>1333350</v>
      </c>
      <c r="F2007" s="17">
        <v>-19290</v>
      </c>
      <c r="G2007" s="18">
        <v>0.98573899929027675</v>
      </c>
      <c r="H2007" s="10">
        <v>2025</v>
      </c>
    </row>
    <row r="2008" spans="1:8" hidden="1" x14ac:dyDescent="0.3">
      <c r="A2008" s="16" t="s">
        <v>67</v>
      </c>
      <c r="B2008" s="16" t="s">
        <v>194</v>
      </c>
      <c r="C2008" s="15">
        <v>10</v>
      </c>
      <c r="D2008" s="17">
        <v>1352640</v>
      </c>
      <c r="E2008" s="17">
        <v>1352700</v>
      </c>
      <c r="F2008" s="17">
        <v>60</v>
      </c>
      <c r="G2008" s="18">
        <v>1.0000443577004967</v>
      </c>
      <c r="H2008" s="10">
        <v>2025</v>
      </c>
    </row>
    <row r="2009" spans="1:8" hidden="1" x14ac:dyDescent="0.3">
      <c r="A2009" s="16" t="s">
        <v>67</v>
      </c>
      <c r="B2009" s="16" t="s">
        <v>195</v>
      </c>
      <c r="C2009" s="15">
        <v>1</v>
      </c>
      <c r="D2009" s="17">
        <v>448999</v>
      </c>
      <c r="E2009" s="17">
        <v>442500</v>
      </c>
      <c r="F2009" s="17">
        <v>-6499</v>
      </c>
      <c r="G2009" s="18">
        <v>0.98552558023514536</v>
      </c>
      <c r="H2009" s="10">
        <v>2025</v>
      </c>
    </row>
    <row r="2010" spans="1:8" hidden="1" x14ac:dyDescent="0.3">
      <c r="A2010" s="16" t="s">
        <v>67</v>
      </c>
      <c r="B2010" s="16" t="s">
        <v>195</v>
      </c>
      <c r="C2010" s="15">
        <v>2</v>
      </c>
      <c r="D2010" s="17">
        <v>462676</v>
      </c>
      <c r="E2010" s="17">
        <v>450900</v>
      </c>
      <c r="F2010" s="17">
        <v>-11776</v>
      </c>
      <c r="G2010" s="18">
        <v>0.97454806387191029</v>
      </c>
      <c r="H2010" s="10">
        <v>2025</v>
      </c>
    </row>
    <row r="2011" spans="1:8" hidden="1" x14ac:dyDescent="0.3">
      <c r="A2011" s="16" t="s">
        <v>67</v>
      </c>
      <c r="B2011" s="16" t="s">
        <v>195</v>
      </c>
      <c r="C2011" s="15">
        <v>3</v>
      </c>
      <c r="D2011" s="17">
        <v>461415</v>
      </c>
      <c r="E2011" s="17">
        <v>450900</v>
      </c>
      <c r="F2011" s="17">
        <v>-10515</v>
      </c>
      <c r="G2011" s="18">
        <v>0.9772114040505836</v>
      </c>
      <c r="H2011" s="10">
        <v>2025</v>
      </c>
    </row>
    <row r="2012" spans="1:8" hidden="1" x14ac:dyDescent="0.3">
      <c r="A2012" s="16" t="s">
        <v>67</v>
      </c>
      <c r="B2012" s="16" t="s">
        <v>195</v>
      </c>
      <c r="C2012" s="15">
        <v>4</v>
      </c>
      <c r="D2012" s="17">
        <v>452910</v>
      </c>
      <c r="E2012" s="17">
        <v>450950</v>
      </c>
      <c r="F2012" s="17">
        <v>-1960</v>
      </c>
      <c r="G2012" s="18">
        <v>0.99567242940098477</v>
      </c>
      <c r="H2012" s="10">
        <v>2025</v>
      </c>
    </row>
    <row r="2013" spans="1:8" hidden="1" x14ac:dyDescent="0.3">
      <c r="A2013" s="16" t="s">
        <v>67</v>
      </c>
      <c r="B2013" s="16" t="s">
        <v>195</v>
      </c>
      <c r="C2013" s="15">
        <v>5</v>
      </c>
      <c r="D2013" s="17">
        <v>453006</v>
      </c>
      <c r="E2013" s="17">
        <v>451100</v>
      </c>
      <c r="F2013" s="17">
        <v>-1906</v>
      </c>
      <c r="G2013" s="18">
        <v>0.995792550209048</v>
      </c>
      <c r="H2013" s="10">
        <v>2025</v>
      </c>
    </row>
    <row r="2014" spans="1:8" hidden="1" x14ac:dyDescent="0.3">
      <c r="A2014" s="16" t="s">
        <v>67</v>
      </c>
      <c r="B2014" s="16" t="s">
        <v>195</v>
      </c>
      <c r="C2014" s="15">
        <v>6</v>
      </c>
      <c r="D2014" s="17">
        <v>460471</v>
      </c>
      <c r="E2014" s="17">
        <v>450900</v>
      </c>
      <c r="F2014" s="17">
        <v>-9571</v>
      </c>
      <c r="G2014" s="18">
        <v>0.97921476053866585</v>
      </c>
      <c r="H2014" s="10">
        <v>2025</v>
      </c>
    </row>
    <row r="2015" spans="1:8" hidden="1" x14ac:dyDescent="0.3">
      <c r="A2015" s="16" t="s">
        <v>67</v>
      </c>
      <c r="B2015" s="16" t="s">
        <v>195</v>
      </c>
      <c r="C2015" s="15">
        <v>7</v>
      </c>
      <c r="D2015" s="17">
        <v>454298</v>
      </c>
      <c r="E2015" s="17">
        <v>418700</v>
      </c>
      <c r="F2015" s="17">
        <v>-35598</v>
      </c>
      <c r="G2015" s="18">
        <v>0.92164174176421643</v>
      </c>
      <c r="H2015" s="10">
        <v>2025</v>
      </c>
    </row>
    <row r="2016" spans="1:8" hidden="1" x14ac:dyDescent="0.3">
      <c r="A2016" s="16" t="s">
        <v>67</v>
      </c>
      <c r="B2016" s="16" t="s">
        <v>195</v>
      </c>
      <c r="C2016" s="15">
        <v>8</v>
      </c>
      <c r="D2016" s="17">
        <v>450880</v>
      </c>
      <c r="E2016" s="17">
        <v>451100</v>
      </c>
      <c r="F2016" s="17">
        <v>220</v>
      </c>
      <c r="G2016" s="18">
        <v>1.0004879347054649</v>
      </c>
      <c r="H2016" s="10">
        <v>2025</v>
      </c>
    </row>
    <row r="2017" spans="1:8" hidden="1" x14ac:dyDescent="0.3">
      <c r="A2017" s="16" t="s">
        <v>67</v>
      </c>
      <c r="B2017" s="16" t="s">
        <v>195</v>
      </c>
      <c r="C2017" s="15">
        <v>9</v>
      </c>
      <c r="D2017" s="17">
        <v>450880</v>
      </c>
      <c r="E2017" s="17">
        <v>431600</v>
      </c>
      <c r="F2017" s="17">
        <v>-19280</v>
      </c>
      <c r="G2017" s="18">
        <v>0.95723917672107883</v>
      </c>
      <c r="H2017" s="10">
        <v>2025</v>
      </c>
    </row>
    <row r="2018" spans="1:8" hidden="1" x14ac:dyDescent="0.3">
      <c r="A2018" s="16" t="s">
        <v>67</v>
      </c>
      <c r="B2018" s="16" t="s">
        <v>195</v>
      </c>
      <c r="C2018" s="15">
        <v>10</v>
      </c>
      <c r="D2018" s="17">
        <v>450880</v>
      </c>
      <c r="E2018" s="17">
        <v>450900</v>
      </c>
      <c r="F2018" s="17">
        <v>20</v>
      </c>
      <c r="G2018" s="18">
        <v>1.0000443577004967</v>
      </c>
      <c r="H2018" s="10">
        <v>2025</v>
      </c>
    </row>
    <row r="2019" spans="1:8" hidden="1" x14ac:dyDescent="0.3">
      <c r="A2019" s="16" t="s">
        <v>67</v>
      </c>
      <c r="B2019" s="16" t="s">
        <v>199</v>
      </c>
      <c r="C2019" s="15">
        <v>1</v>
      </c>
      <c r="D2019" s="17">
        <v>77309</v>
      </c>
      <c r="E2019" s="17">
        <v>55400</v>
      </c>
      <c r="F2019" s="17">
        <v>-21909</v>
      </c>
      <c r="G2019" s="18">
        <v>0.71660479374975738</v>
      </c>
      <c r="H2019" s="10">
        <v>2025</v>
      </c>
    </row>
    <row r="2020" spans="1:8" hidden="1" x14ac:dyDescent="0.3">
      <c r="A2020" s="16" t="s">
        <v>67</v>
      </c>
      <c r="B2020" s="16" t="s">
        <v>199</v>
      </c>
      <c r="C2020" s="15">
        <v>2</v>
      </c>
      <c r="D2020" s="17">
        <v>77309</v>
      </c>
      <c r="E2020" s="17">
        <v>0</v>
      </c>
      <c r="F2020" s="17">
        <v>-77309</v>
      </c>
      <c r="G2020" s="18">
        <v>0</v>
      </c>
      <c r="H2020" s="10">
        <v>2025</v>
      </c>
    </row>
    <row r="2021" spans="1:8" hidden="1" x14ac:dyDescent="0.3">
      <c r="A2021" s="16" t="s">
        <v>67</v>
      </c>
      <c r="B2021" s="16" t="s">
        <v>199</v>
      </c>
      <c r="C2021" s="15">
        <v>3</v>
      </c>
      <c r="D2021" s="17">
        <v>77309</v>
      </c>
      <c r="E2021" s="17">
        <v>187200</v>
      </c>
      <c r="F2021" s="17">
        <v>109891</v>
      </c>
      <c r="G2021" s="18">
        <v>2.4214515774360037</v>
      </c>
      <c r="H2021" s="10">
        <v>2025</v>
      </c>
    </row>
    <row r="2022" spans="1:8" hidden="1" x14ac:dyDescent="0.3">
      <c r="A2022" s="16" t="s">
        <v>67</v>
      </c>
      <c r="B2022" s="16" t="s">
        <v>199</v>
      </c>
      <c r="C2022" s="15">
        <v>4</v>
      </c>
      <c r="D2022" s="17">
        <v>77309</v>
      </c>
      <c r="E2022" s="17">
        <v>265800</v>
      </c>
      <c r="F2022" s="17">
        <v>188491</v>
      </c>
      <c r="G2022" s="18">
        <v>3.4381507974491972</v>
      </c>
      <c r="H2022" s="10">
        <v>2025</v>
      </c>
    </row>
    <row r="2023" spans="1:8" hidden="1" x14ac:dyDescent="0.3">
      <c r="A2023" s="16" t="s">
        <v>67</v>
      </c>
      <c r="B2023" s="16" t="s">
        <v>199</v>
      </c>
      <c r="C2023" s="15">
        <v>5</v>
      </c>
      <c r="D2023" s="17">
        <v>77309</v>
      </c>
      <c r="E2023" s="17">
        <v>74100</v>
      </c>
      <c r="F2023" s="17">
        <v>-3209</v>
      </c>
      <c r="G2023" s="18">
        <v>0.95849124940175134</v>
      </c>
      <c r="H2023" s="10">
        <v>2025</v>
      </c>
    </row>
    <row r="2024" spans="1:8" hidden="1" x14ac:dyDescent="0.3">
      <c r="A2024" s="16" t="s">
        <v>67</v>
      </c>
      <c r="B2024" s="16" t="s">
        <v>199</v>
      </c>
      <c r="C2024" s="15">
        <v>6</v>
      </c>
      <c r="D2024" s="17">
        <v>357309</v>
      </c>
      <c r="E2024" s="17">
        <v>0</v>
      </c>
      <c r="F2024" s="17">
        <v>-357309</v>
      </c>
      <c r="G2024" s="18">
        <v>0</v>
      </c>
      <c r="H2024" s="10">
        <v>2025</v>
      </c>
    </row>
    <row r="2025" spans="1:8" hidden="1" x14ac:dyDescent="0.3">
      <c r="A2025" s="16" t="s">
        <v>67</v>
      </c>
      <c r="B2025" s="16" t="s">
        <v>199</v>
      </c>
      <c r="C2025" s="15">
        <v>7</v>
      </c>
      <c r="D2025" s="17">
        <v>77309</v>
      </c>
      <c r="E2025" s="17">
        <v>0</v>
      </c>
      <c r="F2025" s="17">
        <v>-77309</v>
      </c>
      <c r="G2025" s="18">
        <v>0</v>
      </c>
      <c r="H2025" s="10">
        <v>2025</v>
      </c>
    </row>
    <row r="2026" spans="1:8" hidden="1" x14ac:dyDescent="0.3">
      <c r="A2026" s="16" t="s">
        <v>67</v>
      </c>
      <c r="B2026" s="16" t="s">
        <v>199</v>
      </c>
      <c r="C2026" s="15">
        <v>8</v>
      </c>
      <c r="D2026" s="17">
        <v>77309</v>
      </c>
      <c r="E2026" s="17">
        <v>85300</v>
      </c>
      <c r="F2026" s="17">
        <v>7991</v>
      </c>
      <c r="G2026" s="18">
        <v>1.1033644207013413</v>
      </c>
      <c r="H2026" s="10">
        <v>2025</v>
      </c>
    </row>
    <row r="2027" spans="1:8" hidden="1" x14ac:dyDescent="0.3">
      <c r="A2027" s="16" t="s">
        <v>67</v>
      </c>
      <c r="B2027" s="16" t="s">
        <v>199</v>
      </c>
      <c r="C2027" s="15">
        <v>9</v>
      </c>
      <c r="D2027" s="17">
        <v>77309</v>
      </c>
      <c r="E2027" s="17">
        <v>58800</v>
      </c>
      <c r="F2027" s="17">
        <v>-18509</v>
      </c>
      <c r="G2027" s="18">
        <v>0.76058414932284735</v>
      </c>
      <c r="H2027" s="10">
        <v>2025</v>
      </c>
    </row>
    <row r="2028" spans="1:8" hidden="1" x14ac:dyDescent="0.3">
      <c r="A2028" s="16" t="s">
        <v>67</v>
      </c>
      <c r="B2028" s="16" t="s">
        <v>199</v>
      </c>
      <c r="C2028" s="15">
        <v>10</v>
      </c>
      <c r="D2028" s="17">
        <v>77309</v>
      </c>
      <c r="E2028" s="17">
        <v>0</v>
      </c>
      <c r="F2028" s="17">
        <v>-77309</v>
      </c>
      <c r="G2028" s="18">
        <v>0</v>
      </c>
      <c r="H2028" s="10">
        <v>2025</v>
      </c>
    </row>
    <row r="2029" spans="1:8" hidden="1" x14ac:dyDescent="0.3">
      <c r="A2029" s="16" t="s">
        <v>67</v>
      </c>
      <c r="B2029" s="16" t="s">
        <v>211</v>
      </c>
      <c r="C2029" s="15">
        <v>3</v>
      </c>
      <c r="D2029" s="17">
        <v>0</v>
      </c>
      <c r="E2029" s="17">
        <v>405859</v>
      </c>
      <c r="F2029" s="17">
        <v>405859</v>
      </c>
      <c r="G2029" s="18">
        <v>0</v>
      </c>
      <c r="H2029" s="10">
        <v>2025</v>
      </c>
    </row>
    <row r="2030" spans="1:8" hidden="1" x14ac:dyDescent="0.3">
      <c r="A2030" s="16" t="s">
        <v>67</v>
      </c>
      <c r="B2030" s="16" t="s">
        <v>211</v>
      </c>
      <c r="C2030" s="15">
        <v>4</v>
      </c>
      <c r="D2030" s="17">
        <v>0</v>
      </c>
      <c r="E2030" s="17">
        <v>202740</v>
      </c>
      <c r="F2030" s="17">
        <v>202740</v>
      </c>
      <c r="G2030" s="18">
        <v>0</v>
      </c>
      <c r="H2030" s="10">
        <v>2025</v>
      </c>
    </row>
    <row r="2031" spans="1:8" hidden="1" x14ac:dyDescent="0.3">
      <c r="A2031" s="16" t="s">
        <v>67</v>
      </c>
      <c r="B2031" s="16" t="s">
        <v>213</v>
      </c>
      <c r="C2031" s="15">
        <v>1</v>
      </c>
      <c r="D2031" s="17">
        <v>0</v>
      </c>
      <c r="E2031" s="17">
        <v>4850000</v>
      </c>
      <c r="F2031" s="17">
        <v>4850000</v>
      </c>
      <c r="G2031" s="18">
        <v>0</v>
      </c>
      <c r="H2031" s="10">
        <v>2025</v>
      </c>
    </row>
    <row r="2032" spans="1:8" hidden="1" x14ac:dyDescent="0.3">
      <c r="A2032" s="16" t="s">
        <v>67</v>
      </c>
      <c r="B2032" s="16" t="s">
        <v>200</v>
      </c>
      <c r="C2032" s="15">
        <v>1</v>
      </c>
      <c r="D2032" s="17">
        <v>17511342</v>
      </c>
      <c r="E2032" s="17">
        <v>18728639</v>
      </c>
      <c r="F2032" s="17">
        <v>1217297</v>
      </c>
      <c r="G2032" s="18">
        <v>1.0695147750526488</v>
      </c>
      <c r="H2032" s="10">
        <v>2025</v>
      </c>
    </row>
    <row r="2033" spans="1:8" hidden="1" x14ac:dyDescent="0.3">
      <c r="A2033" s="16" t="s">
        <v>67</v>
      </c>
      <c r="B2033" s="16" t="s">
        <v>200</v>
      </c>
      <c r="C2033" s="15">
        <v>2</v>
      </c>
      <c r="D2033" s="17">
        <v>19357430</v>
      </c>
      <c r="E2033" s="17">
        <v>16519515</v>
      </c>
      <c r="F2033" s="17">
        <v>-2837915</v>
      </c>
      <c r="G2033" s="18">
        <v>0.85339401976398732</v>
      </c>
      <c r="H2033" s="10">
        <v>2025</v>
      </c>
    </row>
    <row r="2034" spans="1:8" hidden="1" x14ac:dyDescent="0.3">
      <c r="A2034" s="16" t="s">
        <v>67</v>
      </c>
      <c r="B2034" s="16" t="s">
        <v>200</v>
      </c>
      <c r="C2034" s="15">
        <v>3</v>
      </c>
      <c r="D2034" s="17">
        <v>21570203</v>
      </c>
      <c r="E2034" s="17">
        <v>19662055</v>
      </c>
      <c r="F2034" s="17">
        <v>-1908148</v>
      </c>
      <c r="G2034" s="18">
        <v>0.91153778200418423</v>
      </c>
      <c r="H2034" s="10">
        <v>2025</v>
      </c>
    </row>
    <row r="2035" spans="1:8" hidden="1" x14ac:dyDescent="0.3">
      <c r="A2035" s="16" t="s">
        <v>67</v>
      </c>
      <c r="B2035" s="16" t="s">
        <v>200</v>
      </c>
      <c r="C2035" s="15">
        <v>4</v>
      </c>
      <c r="D2035" s="17">
        <v>21210761</v>
      </c>
      <c r="E2035" s="17">
        <v>21024012</v>
      </c>
      <c r="F2035" s="17">
        <v>-186749</v>
      </c>
      <c r="G2035" s="18">
        <v>0.99119555399261727</v>
      </c>
      <c r="H2035" s="10">
        <v>2025</v>
      </c>
    </row>
    <row r="2036" spans="1:8" hidden="1" x14ac:dyDescent="0.3">
      <c r="A2036" s="16" t="s">
        <v>67</v>
      </c>
      <c r="B2036" s="16" t="s">
        <v>200</v>
      </c>
      <c r="C2036" s="15">
        <v>5</v>
      </c>
      <c r="D2036" s="17">
        <v>21214789</v>
      </c>
      <c r="E2036" s="17">
        <v>21762357</v>
      </c>
      <c r="F2036" s="17">
        <v>547568</v>
      </c>
      <c r="G2036" s="18">
        <v>1.0258106738652928</v>
      </c>
      <c r="H2036" s="10">
        <v>2025</v>
      </c>
    </row>
    <row r="2037" spans="1:8" hidden="1" x14ac:dyDescent="0.3">
      <c r="A2037" s="16" t="s">
        <v>67</v>
      </c>
      <c r="B2037" s="16" t="s">
        <v>200</v>
      </c>
      <c r="C2037" s="15">
        <v>6</v>
      </c>
      <c r="D2037" s="17">
        <v>21530326</v>
      </c>
      <c r="E2037" s="17">
        <v>18055043</v>
      </c>
      <c r="F2037" s="17">
        <v>-3475283</v>
      </c>
      <c r="G2037" s="18">
        <v>0.8385866057021153</v>
      </c>
      <c r="H2037" s="10">
        <v>2025</v>
      </c>
    </row>
    <row r="2038" spans="1:8" hidden="1" x14ac:dyDescent="0.3">
      <c r="A2038" s="16" t="s">
        <v>67</v>
      </c>
      <c r="B2038" s="16" t="s">
        <v>200</v>
      </c>
      <c r="C2038" s="15">
        <v>7</v>
      </c>
      <c r="D2038" s="17">
        <v>21269426</v>
      </c>
      <c r="E2038" s="17">
        <v>17436989</v>
      </c>
      <c r="F2038" s="17">
        <v>-3832437</v>
      </c>
      <c r="G2038" s="18">
        <v>0.81981474253230913</v>
      </c>
      <c r="H2038" s="10">
        <v>2025</v>
      </c>
    </row>
    <row r="2039" spans="1:8" hidden="1" x14ac:dyDescent="0.3">
      <c r="A2039" s="16" t="s">
        <v>67</v>
      </c>
      <c r="B2039" s="16" t="s">
        <v>200</v>
      </c>
      <c r="C2039" s="15">
        <v>8</v>
      </c>
      <c r="D2039" s="17">
        <v>21124920</v>
      </c>
      <c r="E2039" s="17">
        <v>16217220</v>
      </c>
      <c r="F2039" s="17">
        <v>-4907700</v>
      </c>
      <c r="G2039" s="18">
        <v>0.76768196045239467</v>
      </c>
      <c r="H2039" s="10">
        <v>2025</v>
      </c>
    </row>
    <row r="2040" spans="1:8" hidden="1" x14ac:dyDescent="0.3">
      <c r="A2040" s="16" t="s">
        <v>67</v>
      </c>
      <c r="B2040" s="16" t="s">
        <v>200</v>
      </c>
      <c r="C2040" s="15">
        <v>9</v>
      </c>
      <c r="D2040" s="17">
        <v>21124920</v>
      </c>
      <c r="E2040" s="17">
        <v>22006044</v>
      </c>
      <c r="F2040" s="17">
        <v>881124</v>
      </c>
      <c r="G2040" s="18">
        <v>1.041710169789992</v>
      </c>
      <c r="H2040" s="10">
        <v>2025</v>
      </c>
    </row>
    <row r="2041" spans="1:8" hidden="1" x14ac:dyDescent="0.3">
      <c r="A2041" s="16" t="s">
        <v>67</v>
      </c>
      <c r="B2041" s="16" t="s">
        <v>200</v>
      </c>
      <c r="C2041" s="15">
        <v>10</v>
      </c>
      <c r="D2041" s="17">
        <v>21124920</v>
      </c>
      <c r="E2041" s="17">
        <v>24831753</v>
      </c>
      <c r="F2041" s="17">
        <v>3706833</v>
      </c>
      <c r="G2041" s="18">
        <v>1.1754720491249198</v>
      </c>
      <c r="H2041" s="10">
        <v>2025</v>
      </c>
    </row>
    <row r="2042" spans="1:8" hidden="1" x14ac:dyDescent="0.3">
      <c r="A2042" s="16" t="s">
        <v>67</v>
      </c>
      <c r="B2042" s="16" t="s">
        <v>201</v>
      </c>
      <c r="C2042" s="15">
        <v>1</v>
      </c>
      <c r="D2042" s="17">
        <v>4045000</v>
      </c>
      <c r="E2042" s="17">
        <v>4045000</v>
      </c>
      <c r="F2042" s="17">
        <v>0</v>
      </c>
      <c r="G2042" s="18">
        <v>1</v>
      </c>
      <c r="H2042" s="10">
        <v>2025</v>
      </c>
    </row>
    <row r="2043" spans="1:8" hidden="1" x14ac:dyDescent="0.3">
      <c r="A2043" s="16" t="s">
        <v>67</v>
      </c>
      <c r="B2043" s="16" t="s">
        <v>201</v>
      </c>
      <c r="C2043" s="15">
        <v>2</v>
      </c>
      <c r="D2043" s="17">
        <v>1542274</v>
      </c>
      <c r="E2043" s="17">
        <v>1162126</v>
      </c>
      <c r="F2043" s="17">
        <v>-380148</v>
      </c>
      <c r="G2043" s="18">
        <v>0.75351461543149922</v>
      </c>
      <c r="H2043" s="10">
        <v>2025</v>
      </c>
    </row>
    <row r="2044" spans="1:8" hidden="1" x14ac:dyDescent="0.3">
      <c r="A2044" s="16" t="s">
        <v>67</v>
      </c>
      <c r="B2044" s="16" t="s">
        <v>201</v>
      </c>
      <c r="C2044" s="15">
        <v>3</v>
      </c>
      <c r="D2044" s="17">
        <v>1744146</v>
      </c>
      <c r="E2044" s="17">
        <v>670457</v>
      </c>
      <c r="F2044" s="17">
        <v>-1073689</v>
      </c>
      <c r="G2044" s="18">
        <v>0.38440417258646925</v>
      </c>
      <c r="H2044" s="10">
        <v>2025</v>
      </c>
    </row>
    <row r="2045" spans="1:8" hidden="1" x14ac:dyDescent="0.3">
      <c r="A2045" s="16" t="s">
        <v>67</v>
      </c>
      <c r="B2045" s="16" t="s">
        <v>201</v>
      </c>
      <c r="C2045" s="15">
        <v>4</v>
      </c>
      <c r="D2045" s="17">
        <v>1744146</v>
      </c>
      <c r="E2045" s="17">
        <v>1412626</v>
      </c>
      <c r="F2045" s="17">
        <v>-331520</v>
      </c>
      <c r="G2045" s="18">
        <v>0.80992416919225796</v>
      </c>
      <c r="H2045" s="10">
        <v>2025</v>
      </c>
    </row>
    <row r="2046" spans="1:8" hidden="1" x14ac:dyDescent="0.3">
      <c r="A2046" s="16" t="s">
        <v>67</v>
      </c>
      <c r="B2046" s="16" t="s">
        <v>201</v>
      </c>
      <c r="C2046" s="15">
        <v>5</v>
      </c>
      <c r="D2046" s="17">
        <v>1744146</v>
      </c>
      <c r="E2046" s="17">
        <v>1611077</v>
      </c>
      <c r="F2046" s="17">
        <v>-133069</v>
      </c>
      <c r="G2046" s="18">
        <v>0.9237053549416161</v>
      </c>
      <c r="H2046" s="10">
        <v>2025</v>
      </c>
    </row>
    <row r="2047" spans="1:8" hidden="1" x14ac:dyDescent="0.3">
      <c r="A2047" s="16" t="s">
        <v>67</v>
      </c>
      <c r="B2047" s="16" t="s">
        <v>201</v>
      </c>
      <c r="C2047" s="15">
        <v>6</v>
      </c>
      <c r="D2047" s="17">
        <v>1744146</v>
      </c>
      <c r="E2047" s="17">
        <v>1315032</v>
      </c>
      <c r="F2047" s="17">
        <v>-429114</v>
      </c>
      <c r="G2047" s="18">
        <v>0.75396899112803628</v>
      </c>
      <c r="H2047" s="10">
        <v>2025</v>
      </c>
    </row>
    <row r="2048" spans="1:8" hidden="1" x14ac:dyDescent="0.3">
      <c r="A2048" s="16" t="s">
        <v>67</v>
      </c>
      <c r="B2048" s="16" t="s">
        <v>201</v>
      </c>
      <c r="C2048" s="15">
        <v>7</v>
      </c>
      <c r="D2048" s="17">
        <v>1744146</v>
      </c>
      <c r="E2048" s="17">
        <v>1179751</v>
      </c>
      <c r="F2048" s="17">
        <v>-564395</v>
      </c>
      <c r="G2048" s="18">
        <v>0.67640610361747233</v>
      </c>
      <c r="H2048" s="10">
        <v>2025</v>
      </c>
    </row>
    <row r="2049" spans="1:8" hidden="1" x14ac:dyDescent="0.3">
      <c r="A2049" s="16" t="s">
        <v>67</v>
      </c>
      <c r="B2049" s="16" t="s">
        <v>201</v>
      </c>
      <c r="C2049" s="15">
        <v>8</v>
      </c>
      <c r="D2049" s="17">
        <v>1744146</v>
      </c>
      <c r="E2049" s="17">
        <v>1174859</v>
      </c>
      <c r="F2049" s="17">
        <v>-569287</v>
      </c>
      <c r="G2049" s="18">
        <v>0.67360129255234369</v>
      </c>
      <c r="H2049" s="10">
        <v>2025</v>
      </c>
    </row>
    <row r="2050" spans="1:8" hidden="1" x14ac:dyDescent="0.3">
      <c r="A2050" s="16" t="s">
        <v>67</v>
      </c>
      <c r="B2050" s="16" t="s">
        <v>201</v>
      </c>
      <c r="C2050" s="15">
        <v>9</v>
      </c>
      <c r="D2050" s="17">
        <v>1744146</v>
      </c>
      <c r="E2050" s="17">
        <v>1534659</v>
      </c>
      <c r="F2050" s="17">
        <v>-209487</v>
      </c>
      <c r="G2050" s="18">
        <v>0.87989136230567855</v>
      </c>
      <c r="H2050" s="10">
        <v>2025</v>
      </c>
    </row>
    <row r="2051" spans="1:8" hidden="1" x14ac:dyDescent="0.3">
      <c r="A2051" s="16" t="s">
        <v>67</v>
      </c>
      <c r="B2051" s="16" t="s">
        <v>201</v>
      </c>
      <c r="C2051" s="15">
        <v>10</v>
      </c>
      <c r="D2051" s="17">
        <v>1744146</v>
      </c>
      <c r="E2051" s="17">
        <v>1736104</v>
      </c>
      <c r="F2051" s="17">
        <v>-8042</v>
      </c>
      <c r="G2051" s="18">
        <v>0.99538914746815921</v>
      </c>
      <c r="H2051" s="10">
        <v>2025</v>
      </c>
    </row>
    <row r="2052" spans="1:8" hidden="1" x14ac:dyDescent="0.3">
      <c r="A2052" s="16" t="s">
        <v>67</v>
      </c>
      <c r="B2052" s="16" t="s">
        <v>202</v>
      </c>
      <c r="C2052" s="15">
        <v>1</v>
      </c>
      <c r="D2052" s="17">
        <v>429927</v>
      </c>
      <c r="E2052" s="17">
        <v>423755</v>
      </c>
      <c r="F2052" s="17">
        <v>-6172</v>
      </c>
      <c r="G2052" s="18">
        <v>0.98564407445915236</v>
      </c>
      <c r="H2052" s="10">
        <v>2025</v>
      </c>
    </row>
    <row r="2053" spans="1:8" hidden="1" x14ac:dyDescent="0.3">
      <c r="A2053" s="16" t="s">
        <v>67</v>
      </c>
      <c r="B2053" s="16" t="s">
        <v>202</v>
      </c>
      <c r="C2053" s="15">
        <v>2</v>
      </c>
      <c r="D2053" s="17">
        <v>471501</v>
      </c>
      <c r="E2053" s="17">
        <v>355283</v>
      </c>
      <c r="F2053" s="17">
        <v>-116218</v>
      </c>
      <c r="G2053" s="18">
        <v>0.75351483878082981</v>
      </c>
      <c r="H2053" s="10">
        <v>2025</v>
      </c>
    </row>
    <row r="2054" spans="1:8" hidden="1" x14ac:dyDescent="0.3">
      <c r="A2054" s="16" t="s">
        <v>67</v>
      </c>
      <c r="B2054" s="16" t="s">
        <v>202</v>
      </c>
      <c r="C2054" s="15">
        <v>3</v>
      </c>
      <c r="D2054" s="17">
        <v>533217</v>
      </c>
      <c r="E2054" s="17">
        <v>383118</v>
      </c>
      <c r="F2054" s="17">
        <v>-150099</v>
      </c>
      <c r="G2054" s="18">
        <v>0.71850297346108627</v>
      </c>
      <c r="H2054" s="10">
        <v>2025</v>
      </c>
    </row>
    <row r="2055" spans="1:8" hidden="1" x14ac:dyDescent="0.3">
      <c r="A2055" s="16" t="s">
        <v>67</v>
      </c>
      <c r="B2055" s="16" t="s">
        <v>202</v>
      </c>
      <c r="C2055" s="15">
        <v>4</v>
      </c>
      <c r="D2055" s="17">
        <v>533217</v>
      </c>
      <c r="E2055" s="17">
        <v>431866</v>
      </c>
      <c r="F2055" s="17">
        <v>-101351</v>
      </c>
      <c r="G2055" s="18">
        <v>0.80992541498114279</v>
      </c>
      <c r="H2055" s="10">
        <v>2025</v>
      </c>
    </row>
    <row r="2056" spans="1:8" hidden="1" x14ac:dyDescent="0.3">
      <c r="A2056" s="16" t="s">
        <v>67</v>
      </c>
      <c r="B2056" s="16" t="s">
        <v>202</v>
      </c>
      <c r="C2056" s="15">
        <v>5</v>
      </c>
      <c r="D2056" s="17">
        <v>533217</v>
      </c>
      <c r="E2056" s="17">
        <v>492536</v>
      </c>
      <c r="F2056" s="17">
        <v>-40681</v>
      </c>
      <c r="G2056" s="18">
        <v>0.92370648347670836</v>
      </c>
      <c r="H2056" s="10">
        <v>2025</v>
      </c>
    </row>
    <row r="2057" spans="1:8" hidden="1" x14ac:dyDescent="0.3">
      <c r="A2057" s="16" t="s">
        <v>67</v>
      </c>
      <c r="B2057" s="16" t="s">
        <v>202</v>
      </c>
      <c r="C2057" s="15">
        <v>6</v>
      </c>
      <c r="D2057" s="17">
        <v>533217</v>
      </c>
      <c r="E2057" s="17">
        <v>402030</v>
      </c>
      <c r="F2057" s="17">
        <v>-131187</v>
      </c>
      <c r="G2057" s="18">
        <v>0.75397070986108849</v>
      </c>
      <c r="H2057" s="10">
        <v>2025</v>
      </c>
    </row>
    <row r="2058" spans="1:8" hidden="1" x14ac:dyDescent="0.3">
      <c r="A2058" s="16" t="s">
        <v>67</v>
      </c>
      <c r="B2058" s="16" t="s">
        <v>202</v>
      </c>
      <c r="C2058" s="15">
        <v>7</v>
      </c>
      <c r="D2058" s="17">
        <v>533217</v>
      </c>
      <c r="E2058" s="17">
        <v>360672</v>
      </c>
      <c r="F2058" s="17">
        <v>-172545</v>
      </c>
      <c r="G2058" s="18">
        <v>0.67640754139496673</v>
      </c>
      <c r="H2058" s="10">
        <v>2025</v>
      </c>
    </row>
    <row r="2059" spans="1:8" hidden="1" x14ac:dyDescent="0.3">
      <c r="A2059" s="16" t="s">
        <v>67</v>
      </c>
      <c r="B2059" s="16" t="s">
        <v>202</v>
      </c>
      <c r="C2059" s="15">
        <v>8</v>
      </c>
      <c r="D2059" s="17">
        <v>533217</v>
      </c>
      <c r="E2059" s="17">
        <v>359176</v>
      </c>
      <c r="F2059" s="17">
        <v>-174041</v>
      </c>
      <c r="G2059" s="18">
        <v>0.67360192942085495</v>
      </c>
      <c r="H2059" s="10">
        <v>2025</v>
      </c>
    </row>
    <row r="2060" spans="1:8" hidden="1" x14ac:dyDescent="0.3">
      <c r="A2060" s="16" t="s">
        <v>67</v>
      </c>
      <c r="B2060" s="16" t="s">
        <v>202</v>
      </c>
      <c r="C2060" s="15">
        <v>9</v>
      </c>
      <c r="D2060" s="17">
        <v>533217</v>
      </c>
      <c r="E2060" s="17">
        <v>469175</v>
      </c>
      <c r="F2060" s="17">
        <v>-64042</v>
      </c>
      <c r="G2060" s="18">
        <v>0.87989505210824115</v>
      </c>
      <c r="H2060" s="10">
        <v>2025</v>
      </c>
    </row>
    <row r="2061" spans="1:8" hidden="1" x14ac:dyDescent="0.3">
      <c r="A2061" s="16" t="s">
        <v>67</v>
      </c>
      <c r="B2061" s="16" t="s">
        <v>202</v>
      </c>
      <c r="C2061" s="15">
        <v>10</v>
      </c>
      <c r="D2061" s="17">
        <v>533217</v>
      </c>
      <c r="E2061" s="17">
        <v>530759</v>
      </c>
      <c r="F2061" s="17">
        <v>-2458</v>
      </c>
      <c r="G2061" s="18">
        <v>0.99539024449708091</v>
      </c>
      <c r="H2061" s="10">
        <v>2025</v>
      </c>
    </row>
    <row r="2062" spans="1:8" hidden="1" x14ac:dyDescent="0.3">
      <c r="A2062" s="16" t="s">
        <v>67</v>
      </c>
      <c r="B2062" s="16" t="s">
        <v>203</v>
      </c>
      <c r="C2062" s="15">
        <v>1</v>
      </c>
      <c r="D2062" s="17">
        <v>317097</v>
      </c>
      <c r="E2062" s="17">
        <v>445652</v>
      </c>
      <c r="F2062" s="17">
        <v>128555</v>
      </c>
      <c r="G2062" s="18">
        <v>1.4054122240197795</v>
      </c>
      <c r="H2062" s="10">
        <v>2025</v>
      </c>
    </row>
    <row r="2063" spans="1:8" hidden="1" x14ac:dyDescent="0.3">
      <c r="A2063" s="16" t="s">
        <v>67</v>
      </c>
      <c r="B2063" s="16" t="s">
        <v>203</v>
      </c>
      <c r="C2063" s="15">
        <v>2</v>
      </c>
      <c r="D2063" s="17">
        <v>820936</v>
      </c>
      <c r="E2063" s="17">
        <v>1111402</v>
      </c>
      <c r="F2063" s="17">
        <v>290466</v>
      </c>
      <c r="G2063" s="18">
        <v>1.3538229533118296</v>
      </c>
      <c r="H2063" s="10">
        <v>2025</v>
      </c>
    </row>
    <row r="2064" spans="1:8" hidden="1" x14ac:dyDescent="0.3">
      <c r="A2064" s="16" t="s">
        <v>67</v>
      </c>
      <c r="B2064" s="16" t="s">
        <v>203</v>
      </c>
      <c r="C2064" s="15">
        <v>3</v>
      </c>
      <c r="D2064" s="17">
        <v>0</v>
      </c>
      <c r="E2064" s="17">
        <v>632310</v>
      </c>
      <c r="F2064" s="17">
        <v>632310</v>
      </c>
      <c r="G2064" s="18">
        <v>0</v>
      </c>
      <c r="H2064" s="10">
        <v>2025</v>
      </c>
    </row>
    <row r="2065" spans="1:8" hidden="1" x14ac:dyDescent="0.3">
      <c r="A2065" s="16" t="s">
        <v>67</v>
      </c>
      <c r="B2065" s="16" t="s">
        <v>203</v>
      </c>
      <c r="C2065" s="15">
        <v>4</v>
      </c>
      <c r="D2065" s="17">
        <v>0</v>
      </c>
      <c r="E2065" s="17">
        <v>210770</v>
      </c>
      <c r="F2065" s="17">
        <v>210770</v>
      </c>
      <c r="G2065" s="18">
        <v>0</v>
      </c>
      <c r="H2065" s="10">
        <v>2025</v>
      </c>
    </row>
    <row r="2066" spans="1:8" hidden="1" x14ac:dyDescent="0.3">
      <c r="A2066" s="16" t="s">
        <v>67</v>
      </c>
      <c r="B2066" s="16" t="s">
        <v>203</v>
      </c>
      <c r="C2066" s="15">
        <v>8</v>
      </c>
      <c r="D2066" s="17">
        <v>0</v>
      </c>
      <c r="E2066" s="17">
        <v>421540</v>
      </c>
      <c r="F2066" s="17">
        <v>421540</v>
      </c>
      <c r="G2066" s="18">
        <v>0</v>
      </c>
      <c r="H2066" s="10">
        <v>2025</v>
      </c>
    </row>
    <row r="2067" spans="1:8" hidden="1" x14ac:dyDescent="0.3">
      <c r="A2067" s="16" t="s">
        <v>67</v>
      </c>
      <c r="B2067" s="16" t="s">
        <v>203</v>
      </c>
      <c r="C2067" s="15">
        <v>10</v>
      </c>
      <c r="D2067" s="17">
        <v>0</v>
      </c>
      <c r="E2067" s="17">
        <v>421540</v>
      </c>
      <c r="F2067" s="17">
        <v>421540</v>
      </c>
      <c r="G2067" s="18">
        <v>0</v>
      </c>
      <c r="H2067" s="10">
        <v>2025</v>
      </c>
    </row>
    <row r="2068" spans="1:8" hidden="1" x14ac:dyDescent="0.3">
      <c r="A2068" s="16" t="s">
        <v>67</v>
      </c>
      <c r="B2068" s="16" t="s">
        <v>208</v>
      </c>
      <c r="C2068" s="15">
        <v>1</v>
      </c>
      <c r="D2068" s="17">
        <v>0</v>
      </c>
      <c r="E2068" s="17">
        <v>65790</v>
      </c>
      <c r="F2068" s="17">
        <v>65790</v>
      </c>
      <c r="G2068" s="18">
        <v>0</v>
      </c>
      <c r="H2068" s="10">
        <v>2025</v>
      </c>
    </row>
    <row r="2069" spans="1:8" hidden="1" x14ac:dyDescent="0.3">
      <c r="A2069" s="16" t="s">
        <v>67</v>
      </c>
      <c r="B2069" s="16" t="s">
        <v>208</v>
      </c>
      <c r="C2069" s="15">
        <v>2</v>
      </c>
      <c r="D2069" s="17">
        <v>0</v>
      </c>
      <c r="E2069" s="17">
        <v>131880</v>
      </c>
      <c r="F2069" s="17">
        <v>131880</v>
      </c>
      <c r="G2069" s="18">
        <v>0</v>
      </c>
      <c r="H2069" s="10">
        <v>2025</v>
      </c>
    </row>
    <row r="2070" spans="1:8" hidden="1" x14ac:dyDescent="0.3">
      <c r="A2070" s="16" t="s">
        <v>67</v>
      </c>
      <c r="B2070" s="16" t="s">
        <v>208</v>
      </c>
      <c r="C2070" s="15">
        <v>3</v>
      </c>
      <c r="D2070" s="17">
        <v>0</v>
      </c>
      <c r="E2070" s="17">
        <v>63000</v>
      </c>
      <c r="F2070" s="17">
        <v>63000</v>
      </c>
      <c r="G2070" s="18">
        <v>0</v>
      </c>
      <c r="H2070" s="10">
        <v>2025</v>
      </c>
    </row>
    <row r="2071" spans="1:8" hidden="1" x14ac:dyDescent="0.3">
      <c r="A2071" s="16" t="s">
        <v>67</v>
      </c>
      <c r="B2071" s="16" t="s">
        <v>185</v>
      </c>
      <c r="C2071" s="15">
        <v>11</v>
      </c>
      <c r="D2071" s="17">
        <v>155553</v>
      </c>
      <c r="E2071" s="17">
        <v>155554</v>
      </c>
      <c r="F2071" s="17">
        <v>1</v>
      </c>
      <c r="G2071" s="18">
        <v>1.0000064286770427</v>
      </c>
      <c r="H2071" s="10">
        <v>2025</v>
      </c>
    </row>
    <row r="2072" spans="1:8" hidden="1" x14ac:dyDescent="0.3">
      <c r="A2072" s="16" t="s">
        <v>67</v>
      </c>
      <c r="B2072" s="16" t="s">
        <v>192</v>
      </c>
      <c r="C2072" s="15">
        <v>11</v>
      </c>
      <c r="D2072" s="17">
        <v>276164</v>
      </c>
      <c r="E2072" s="17">
        <v>274800</v>
      </c>
      <c r="F2072" s="17">
        <v>-1364</v>
      </c>
      <c r="G2072" s="18">
        <v>0.99506090583855977</v>
      </c>
      <c r="H2072" s="10">
        <v>2025</v>
      </c>
    </row>
    <row r="2073" spans="1:8" hidden="1" x14ac:dyDescent="0.3">
      <c r="A2073" s="16" t="s">
        <v>67</v>
      </c>
      <c r="B2073" s="16" t="s">
        <v>195</v>
      </c>
      <c r="C2073" s="15">
        <v>11</v>
      </c>
      <c r="D2073" s="17">
        <v>450880</v>
      </c>
      <c r="E2073" s="17">
        <v>450900</v>
      </c>
      <c r="F2073" s="17">
        <v>20</v>
      </c>
      <c r="G2073" s="18">
        <v>1.0000443577004967</v>
      </c>
      <c r="H2073" s="10">
        <v>2025</v>
      </c>
    </row>
    <row r="2074" spans="1:8" hidden="1" x14ac:dyDescent="0.3">
      <c r="A2074" s="16" t="s">
        <v>67</v>
      </c>
      <c r="B2074" s="16" t="s">
        <v>194</v>
      </c>
      <c r="C2074" s="15">
        <v>11</v>
      </c>
      <c r="D2074" s="17">
        <v>1352640</v>
      </c>
      <c r="E2074" s="17">
        <v>1352700</v>
      </c>
      <c r="F2074" s="17">
        <v>60</v>
      </c>
      <c r="G2074" s="18">
        <v>1.0000443577004967</v>
      </c>
      <c r="H2074" s="10">
        <v>2025</v>
      </c>
    </row>
    <row r="2075" spans="1:8" hidden="1" x14ac:dyDescent="0.3">
      <c r="A2075" s="16" t="s">
        <v>67</v>
      </c>
      <c r="B2075" s="16" t="s">
        <v>186</v>
      </c>
      <c r="C2075" s="15">
        <v>11</v>
      </c>
      <c r="D2075" s="17">
        <v>1537500</v>
      </c>
      <c r="E2075" s="17">
        <v>1537501</v>
      </c>
      <c r="F2075" s="17">
        <v>1</v>
      </c>
      <c r="G2075" s="18">
        <v>1.0000006504065042</v>
      </c>
      <c r="H2075" s="10">
        <v>2025</v>
      </c>
    </row>
    <row r="2076" spans="1:8" hidden="1" x14ac:dyDescent="0.3">
      <c r="A2076" s="16" t="s">
        <v>67</v>
      </c>
      <c r="B2076" s="16" t="s">
        <v>201</v>
      </c>
      <c r="C2076" s="15">
        <v>11</v>
      </c>
      <c r="D2076" s="17">
        <v>1744146</v>
      </c>
      <c r="E2076" s="17">
        <v>1810467</v>
      </c>
      <c r="F2076" s="17">
        <v>66321</v>
      </c>
      <c r="G2076" s="18">
        <v>1.0380249130520036</v>
      </c>
      <c r="H2076" s="10">
        <v>2025</v>
      </c>
    </row>
    <row r="2077" spans="1:8" hidden="1" x14ac:dyDescent="0.3">
      <c r="A2077" s="16" t="s">
        <v>67</v>
      </c>
      <c r="B2077" s="16" t="s">
        <v>200</v>
      </c>
      <c r="C2077" s="15">
        <v>11</v>
      </c>
      <c r="D2077" s="17">
        <v>21124920</v>
      </c>
      <c r="E2077" s="17">
        <v>26456162</v>
      </c>
      <c r="F2077" s="17">
        <v>5331242</v>
      </c>
      <c r="G2077" s="18">
        <v>1.2523674409181196</v>
      </c>
      <c r="H2077" s="10">
        <v>2025</v>
      </c>
    </row>
    <row r="2078" spans="1:8" hidden="1" x14ac:dyDescent="0.3">
      <c r="A2078" s="16" t="s">
        <v>67</v>
      </c>
      <c r="B2078" s="16" t="s">
        <v>183</v>
      </c>
      <c r="C2078" s="15">
        <v>11</v>
      </c>
      <c r="D2078" s="17">
        <v>955617</v>
      </c>
      <c r="E2078" s="17">
        <v>955618</v>
      </c>
      <c r="F2078" s="17">
        <v>1</v>
      </c>
      <c r="G2078" s="18">
        <v>1.0000010464443392</v>
      </c>
      <c r="H2078" s="10">
        <v>2025</v>
      </c>
    </row>
    <row r="2079" spans="1:8" hidden="1" x14ac:dyDescent="0.3">
      <c r="A2079" s="16" t="s">
        <v>67</v>
      </c>
      <c r="B2079" s="16" t="s">
        <v>203</v>
      </c>
      <c r="C2079" s="15">
        <v>11</v>
      </c>
      <c r="D2079" s="17">
        <v>0</v>
      </c>
      <c r="E2079" s="17">
        <v>632310</v>
      </c>
      <c r="F2079" s="17">
        <v>632310</v>
      </c>
      <c r="G2079" s="18">
        <v>0</v>
      </c>
      <c r="H2079" s="10">
        <v>2025</v>
      </c>
    </row>
    <row r="2080" spans="1:8" hidden="1" x14ac:dyDescent="0.3">
      <c r="A2080" s="16" t="s">
        <v>67</v>
      </c>
      <c r="B2080" s="16" t="s">
        <v>206</v>
      </c>
      <c r="C2080" s="15">
        <v>11</v>
      </c>
      <c r="D2080" s="17">
        <v>200000</v>
      </c>
      <c r="E2080" s="17">
        <v>200000</v>
      </c>
      <c r="F2080" s="17">
        <v>0</v>
      </c>
      <c r="G2080" s="18">
        <v>1</v>
      </c>
      <c r="H2080" s="10">
        <v>2025</v>
      </c>
    </row>
    <row r="2081" spans="1:8" hidden="1" x14ac:dyDescent="0.3">
      <c r="A2081" s="16" t="s">
        <v>67</v>
      </c>
      <c r="B2081" s="16" t="s">
        <v>177</v>
      </c>
      <c r="C2081" s="15">
        <v>11</v>
      </c>
      <c r="D2081" s="17">
        <v>11272000</v>
      </c>
      <c r="E2081" s="17">
        <v>11272000</v>
      </c>
      <c r="F2081" s="17">
        <v>0</v>
      </c>
      <c r="G2081" s="18">
        <v>1</v>
      </c>
      <c r="H2081" s="10">
        <v>2025</v>
      </c>
    </row>
    <row r="2082" spans="1:8" hidden="1" x14ac:dyDescent="0.3">
      <c r="A2082" s="16" t="s">
        <v>67</v>
      </c>
      <c r="B2082" s="16" t="s">
        <v>184</v>
      </c>
      <c r="C2082" s="15">
        <v>11</v>
      </c>
      <c r="D2082" s="17">
        <v>470042</v>
      </c>
      <c r="E2082" s="17">
        <v>470043</v>
      </c>
      <c r="F2082" s="17">
        <v>1</v>
      </c>
      <c r="G2082" s="18">
        <v>1.0000021274694602</v>
      </c>
      <c r="H2082" s="10">
        <v>2025</v>
      </c>
    </row>
    <row r="2083" spans="1:8" hidden="1" x14ac:dyDescent="0.3">
      <c r="A2083" s="16" t="s">
        <v>67</v>
      </c>
      <c r="B2083" s="16" t="s">
        <v>177</v>
      </c>
      <c r="C2083" s="15">
        <v>12</v>
      </c>
      <c r="D2083" s="17">
        <v>11272000</v>
      </c>
      <c r="E2083" s="17">
        <v>10469801</v>
      </c>
      <c r="F2083" s="17">
        <v>-802199</v>
      </c>
      <c r="G2083" s="18">
        <v>0.92883259403832508</v>
      </c>
      <c r="H2083" s="10">
        <v>2025</v>
      </c>
    </row>
    <row r="2084" spans="1:8" hidden="1" x14ac:dyDescent="0.3">
      <c r="A2084" s="16" t="s">
        <v>67</v>
      </c>
      <c r="B2084" s="16" t="s">
        <v>206</v>
      </c>
      <c r="C2084" s="15">
        <v>12</v>
      </c>
      <c r="D2084" s="17">
        <v>200000</v>
      </c>
      <c r="E2084" s="17">
        <v>166667</v>
      </c>
      <c r="F2084" s="17">
        <v>-33333</v>
      </c>
      <c r="G2084" s="18">
        <v>0.83333500000000005</v>
      </c>
      <c r="H2084" s="10">
        <v>2025</v>
      </c>
    </row>
    <row r="2085" spans="1:8" hidden="1" x14ac:dyDescent="0.3">
      <c r="A2085" s="16" t="s">
        <v>67</v>
      </c>
      <c r="B2085" s="16" t="s">
        <v>181</v>
      </c>
      <c r="C2085" s="15">
        <v>12</v>
      </c>
      <c r="D2085" s="17">
        <v>955617</v>
      </c>
      <c r="E2085" s="17">
        <v>921208</v>
      </c>
      <c r="F2085" s="17">
        <v>-34409</v>
      </c>
      <c r="G2085" s="18">
        <v>0.96399289673582622</v>
      </c>
      <c r="H2085" s="10">
        <v>2025</v>
      </c>
    </row>
    <row r="2086" spans="1:8" hidden="1" x14ac:dyDescent="0.3">
      <c r="A2086" s="16" t="s">
        <v>67</v>
      </c>
      <c r="B2086" s="16" t="s">
        <v>182</v>
      </c>
      <c r="C2086" s="15">
        <v>12</v>
      </c>
      <c r="D2086" s="17">
        <v>114674</v>
      </c>
      <c r="E2086" s="17">
        <v>110196</v>
      </c>
      <c r="F2086" s="17">
        <v>-4478</v>
      </c>
      <c r="G2086" s="18">
        <v>0.96095017179133901</v>
      </c>
      <c r="H2086" s="10">
        <v>2025</v>
      </c>
    </row>
    <row r="2087" spans="1:8" hidden="1" x14ac:dyDescent="0.3">
      <c r="A2087" s="16" t="s">
        <v>67</v>
      </c>
      <c r="B2087" s="16" t="s">
        <v>183</v>
      </c>
      <c r="C2087" s="15">
        <v>12</v>
      </c>
      <c r="D2087" s="17">
        <v>955617</v>
      </c>
      <c r="E2087" s="17">
        <v>910097</v>
      </c>
      <c r="F2087" s="17">
        <v>-45520</v>
      </c>
      <c r="G2087" s="18">
        <v>0.95236585368405968</v>
      </c>
      <c r="H2087" s="10">
        <v>2025</v>
      </c>
    </row>
    <row r="2088" spans="1:8" hidden="1" x14ac:dyDescent="0.3">
      <c r="A2088" s="16" t="s">
        <v>67</v>
      </c>
      <c r="B2088" s="16" t="s">
        <v>184</v>
      </c>
      <c r="C2088" s="15">
        <v>12</v>
      </c>
      <c r="D2088" s="17">
        <v>470042</v>
      </c>
      <c r="E2088" s="17">
        <v>460219</v>
      </c>
      <c r="F2088" s="17">
        <v>-9823</v>
      </c>
      <c r="G2088" s="18">
        <v>0.97910186749269223</v>
      </c>
      <c r="H2088" s="10">
        <v>2025</v>
      </c>
    </row>
    <row r="2089" spans="1:8" hidden="1" x14ac:dyDescent="0.3">
      <c r="A2089" s="16" t="s">
        <v>67</v>
      </c>
      <c r="B2089" s="16" t="s">
        <v>185</v>
      </c>
      <c r="C2089" s="15">
        <v>12</v>
      </c>
      <c r="D2089" s="17">
        <v>155553</v>
      </c>
      <c r="E2089" s="17">
        <v>155560</v>
      </c>
      <c r="F2089" s="17">
        <v>7</v>
      </c>
      <c r="G2089" s="18">
        <v>1.0000450007392978</v>
      </c>
      <c r="H2089" s="10">
        <v>2025</v>
      </c>
    </row>
    <row r="2090" spans="1:8" hidden="1" x14ac:dyDescent="0.3">
      <c r="A2090" s="16" t="s">
        <v>67</v>
      </c>
      <c r="B2090" s="16" t="s">
        <v>186</v>
      </c>
      <c r="C2090" s="15">
        <v>12</v>
      </c>
      <c r="D2090" s="17">
        <v>1537500</v>
      </c>
      <c r="E2090" s="17">
        <v>-4179736</v>
      </c>
      <c r="F2090" s="17">
        <v>-5717236</v>
      </c>
      <c r="G2090" s="18">
        <v>-2.7185274796747967</v>
      </c>
      <c r="H2090" s="10">
        <v>2025</v>
      </c>
    </row>
    <row r="2091" spans="1:8" hidden="1" x14ac:dyDescent="0.3">
      <c r="A2091" s="16" t="s">
        <v>67</v>
      </c>
      <c r="B2091" s="16" t="s">
        <v>187</v>
      </c>
      <c r="C2091" s="15">
        <v>12</v>
      </c>
      <c r="D2091" s="17">
        <v>470042</v>
      </c>
      <c r="E2091" s="17">
        <v>443234</v>
      </c>
      <c r="F2091" s="17">
        <v>-26808</v>
      </c>
      <c r="G2091" s="18">
        <v>0.94296679871160449</v>
      </c>
      <c r="H2091" s="10">
        <v>2025</v>
      </c>
    </row>
    <row r="2092" spans="1:8" hidden="1" x14ac:dyDescent="0.3">
      <c r="A2092" s="16" t="s">
        <v>67</v>
      </c>
      <c r="B2092" s="16" t="s">
        <v>188</v>
      </c>
      <c r="C2092" s="15">
        <v>12</v>
      </c>
      <c r="D2092" s="17">
        <v>480060</v>
      </c>
      <c r="E2092" s="17">
        <v>593304</v>
      </c>
      <c r="F2092" s="17">
        <v>113244</v>
      </c>
      <c r="G2092" s="18">
        <v>1.2358955130608675</v>
      </c>
      <c r="H2092" s="10">
        <v>2025</v>
      </c>
    </row>
    <row r="2093" spans="1:8" hidden="1" x14ac:dyDescent="0.3">
      <c r="A2093" s="16" t="s">
        <v>67</v>
      </c>
      <c r="B2093" s="16" t="s">
        <v>189</v>
      </c>
      <c r="C2093" s="15">
        <v>12</v>
      </c>
      <c r="D2093" s="17">
        <v>503123</v>
      </c>
      <c r="E2093" s="17">
        <v>191446</v>
      </c>
      <c r="F2093" s="17">
        <v>-311677</v>
      </c>
      <c r="G2093" s="18">
        <v>0.38051530142728518</v>
      </c>
      <c r="H2093" s="10">
        <v>2025</v>
      </c>
    </row>
    <row r="2094" spans="1:8" hidden="1" x14ac:dyDescent="0.3">
      <c r="A2094" s="16" t="s">
        <v>67</v>
      </c>
      <c r="B2094" s="16" t="s">
        <v>192</v>
      </c>
      <c r="C2094" s="15">
        <v>12</v>
      </c>
      <c r="D2094" s="17">
        <v>276164</v>
      </c>
      <c r="E2094" s="17">
        <v>237050</v>
      </c>
      <c r="F2094" s="17">
        <v>-39114</v>
      </c>
      <c r="G2094" s="18">
        <v>0.85836676757289154</v>
      </c>
      <c r="H2094" s="10">
        <v>2025</v>
      </c>
    </row>
    <row r="2095" spans="1:8" hidden="1" x14ac:dyDescent="0.3">
      <c r="A2095" s="16" t="s">
        <v>67</v>
      </c>
      <c r="B2095" s="16" t="s">
        <v>194</v>
      </c>
      <c r="C2095" s="15">
        <v>12</v>
      </c>
      <c r="D2095" s="17">
        <v>1352640</v>
      </c>
      <c r="E2095" s="17">
        <v>1352700</v>
      </c>
      <c r="F2095" s="17">
        <v>60</v>
      </c>
      <c r="G2095" s="18">
        <v>1.0000443577004967</v>
      </c>
      <c r="H2095" s="10">
        <v>2025</v>
      </c>
    </row>
    <row r="2096" spans="1:8" hidden="1" x14ac:dyDescent="0.3">
      <c r="A2096" s="16" t="s">
        <v>67</v>
      </c>
      <c r="B2096" s="16" t="s">
        <v>195</v>
      </c>
      <c r="C2096" s="15">
        <v>12</v>
      </c>
      <c r="D2096" s="17">
        <v>450880</v>
      </c>
      <c r="E2096" s="17">
        <v>451150</v>
      </c>
      <c r="F2096" s="17">
        <v>270</v>
      </c>
      <c r="G2096" s="18">
        <v>1.0005988289567069</v>
      </c>
      <c r="H2096" s="10">
        <v>2025</v>
      </c>
    </row>
    <row r="2097" spans="1:8" hidden="1" x14ac:dyDescent="0.3">
      <c r="A2097" s="16" t="s">
        <v>67</v>
      </c>
      <c r="B2097" s="16" t="s">
        <v>199</v>
      </c>
      <c r="C2097" s="15">
        <v>12</v>
      </c>
      <c r="D2097" s="17">
        <v>77309</v>
      </c>
      <c r="E2097" s="17">
        <v>76770</v>
      </c>
      <c r="F2097" s="17">
        <v>-539</v>
      </c>
      <c r="G2097" s="18">
        <v>0.99302797863120729</v>
      </c>
      <c r="H2097" s="10">
        <v>2025</v>
      </c>
    </row>
    <row r="2098" spans="1:8" hidden="1" x14ac:dyDescent="0.3">
      <c r="A2098" s="16" t="s">
        <v>67</v>
      </c>
      <c r="B2098" s="16" t="s">
        <v>200</v>
      </c>
      <c r="C2098" s="15">
        <v>12</v>
      </c>
      <c r="D2098" s="17">
        <v>21124920</v>
      </c>
      <c r="E2098" s="17">
        <v>25230700</v>
      </c>
      <c r="F2098" s="17">
        <v>4105780</v>
      </c>
      <c r="G2098" s="18">
        <v>1.1943571857313544</v>
      </c>
      <c r="H2098" s="10">
        <v>2025</v>
      </c>
    </row>
    <row r="2099" spans="1:8" hidden="1" x14ac:dyDescent="0.3">
      <c r="A2099" s="16" t="s">
        <v>67</v>
      </c>
      <c r="B2099" s="16" t="s">
        <v>201</v>
      </c>
      <c r="C2099" s="15">
        <v>12</v>
      </c>
      <c r="D2099" s="17">
        <v>1744146</v>
      </c>
      <c r="E2099" s="17">
        <v>-4448764</v>
      </c>
      <c r="F2099" s="17">
        <v>-6192910</v>
      </c>
      <c r="G2099" s="18">
        <v>-2.5506832570209146</v>
      </c>
      <c r="H2099" s="10">
        <v>2025</v>
      </c>
    </row>
    <row r="2100" spans="1:8" hidden="1" x14ac:dyDescent="0.3">
      <c r="A2100" s="16" t="s">
        <v>67</v>
      </c>
      <c r="B2100" s="16" t="s">
        <v>202</v>
      </c>
      <c r="C2100" s="15">
        <v>12</v>
      </c>
      <c r="D2100" s="17">
        <v>533217</v>
      </c>
      <c r="E2100" s="17">
        <v>349612</v>
      </c>
      <c r="F2100" s="17">
        <v>-183605</v>
      </c>
      <c r="G2100" s="18">
        <v>0.65566551704090459</v>
      </c>
      <c r="H2100" s="10">
        <v>2025</v>
      </c>
    </row>
    <row r="2101" spans="1:8" hidden="1" x14ac:dyDescent="0.3">
      <c r="A2101" s="16" t="s">
        <v>68</v>
      </c>
      <c r="B2101" s="16" t="s">
        <v>177</v>
      </c>
      <c r="C2101" s="15">
        <v>1</v>
      </c>
      <c r="D2101" s="17">
        <v>8365000</v>
      </c>
      <c r="E2101" s="17">
        <v>7238997</v>
      </c>
      <c r="F2101" s="17">
        <v>-1126003</v>
      </c>
      <c r="G2101" s="18">
        <v>0.86539115361625829</v>
      </c>
      <c r="H2101" s="10">
        <v>2025</v>
      </c>
    </row>
    <row r="2102" spans="1:8" hidden="1" x14ac:dyDescent="0.3">
      <c r="A2102" s="16" t="s">
        <v>68</v>
      </c>
      <c r="B2102" s="16" t="s">
        <v>177</v>
      </c>
      <c r="C2102" s="15">
        <v>2</v>
      </c>
      <c r="D2102" s="17">
        <v>8745000</v>
      </c>
      <c r="E2102" s="17">
        <v>8508000</v>
      </c>
      <c r="F2102" s="17">
        <v>-237000</v>
      </c>
      <c r="G2102" s="18">
        <v>0.97289879931389367</v>
      </c>
      <c r="H2102" s="10">
        <v>2025</v>
      </c>
    </row>
    <row r="2103" spans="1:8" hidden="1" x14ac:dyDescent="0.3">
      <c r="A2103" s="16" t="s">
        <v>68</v>
      </c>
      <c r="B2103" s="16" t="s">
        <v>177</v>
      </c>
      <c r="C2103" s="15">
        <v>3</v>
      </c>
      <c r="D2103" s="17">
        <v>8745000</v>
      </c>
      <c r="E2103" s="17">
        <v>8815380</v>
      </c>
      <c r="F2103" s="17">
        <v>70380</v>
      </c>
      <c r="G2103" s="18">
        <v>1.0080480274442538</v>
      </c>
      <c r="H2103" s="10">
        <v>2025</v>
      </c>
    </row>
    <row r="2104" spans="1:8" hidden="1" x14ac:dyDescent="0.3">
      <c r="A2104" s="16" t="s">
        <v>68</v>
      </c>
      <c r="B2104" s="16" t="s">
        <v>177</v>
      </c>
      <c r="C2104" s="15">
        <v>4</v>
      </c>
      <c r="D2104" s="17">
        <v>8745000</v>
      </c>
      <c r="E2104" s="17">
        <v>8560000</v>
      </c>
      <c r="F2104" s="17">
        <v>-185000</v>
      </c>
      <c r="G2104" s="18">
        <v>0.97884505431675251</v>
      </c>
      <c r="H2104" s="10">
        <v>2025</v>
      </c>
    </row>
    <row r="2105" spans="1:8" hidden="1" x14ac:dyDescent="0.3">
      <c r="A2105" s="16" t="s">
        <v>68</v>
      </c>
      <c r="B2105" s="16" t="s">
        <v>177</v>
      </c>
      <c r="C2105" s="15">
        <v>5</v>
      </c>
      <c r="D2105" s="17">
        <v>8745000</v>
      </c>
      <c r="E2105" s="17">
        <v>8745000</v>
      </c>
      <c r="F2105" s="17">
        <v>0</v>
      </c>
      <c r="G2105" s="18">
        <v>1</v>
      </c>
      <c r="H2105" s="10">
        <v>2025</v>
      </c>
    </row>
    <row r="2106" spans="1:8" hidden="1" x14ac:dyDescent="0.3">
      <c r="A2106" s="16" t="s">
        <v>68</v>
      </c>
      <c r="B2106" s="16" t="s">
        <v>177</v>
      </c>
      <c r="C2106" s="15">
        <v>6</v>
      </c>
      <c r="D2106" s="17">
        <v>8745000</v>
      </c>
      <c r="E2106" s="17">
        <v>8436667</v>
      </c>
      <c r="F2106" s="17">
        <v>-308333</v>
      </c>
      <c r="G2106" s="18">
        <v>0.96474179531160664</v>
      </c>
      <c r="H2106" s="10">
        <v>2025</v>
      </c>
    </row>
    <row r="2107" spans="1:8" hidden="1" x14ac:dyDescent="0.3">
      <c r="A2107" s="16" t="s">
        <v>68</v>
      </c>
      <c r="B2107" s="16" t="s">
        <v>177</v>
      </c>
      <c r="C2107" s="15">
        <v>7</v>
      </c>
      <c r="D2107" s="17">
        <v>8745000</v>
      </c>
      <c r="E2107" s="17">
        <v>8745000</v>
      </c>
      <c r="F2107" s="17">
        <v>0</v>
      </c>
      <c r="G2107" s="18">
        <v>1</v>
      </c>
      <c r="H2107" s="10">
        <v>2025</v>
      </c>
    </row>
    <row r="2108" spans="1:8" hidden="1" x14ac:dyDescent="0.3">
      <c r="A2108" s="16" t="s">
        <v>68</v>
      </c>
      <c r="B2108" s="16" t="s">
        <v>177</v>
      </c>
      <c r="C2108" s="15">
        <v>8</v>
      </c>
      <c r="D2108" s="17">
        <v>8745000</v>
      </c>
      <c r="E2108" s="17">
        <v>8745000</v>
      </c>
      <c r="F2108" s="17">
        <v>0</v>
      </c>
      <c r="G2108" s="18">
        <v>1</v>
      </c>
      <c r="H2108" s="10">
        <v>2025</v>
      </c>
    </row>
    <row r="2109" spans="1:8" hidden="1" x14ac:dyDescent="0.3">
      <c r="A2109" s="16" t="s">
        <v>68</v>
      </c>
      <c r="B2109" s="16" t="s">
        <v>177</v>
      </c>
      <c r="C2109" s="15">
        <v>9</v>
      </c>
      <c r="D2109" s="17">
        <v>8745000</v>
      </c>
      <c r="E2109" s="17">
        <v>8420000</v>
      </c>
      <c r="F2109" s="17">
        <v>-325000</v>
      </c>
      <c r="G2109" s="18">
        <v>0.96283590623213267</v>
      </c>
      <c r="H2109" s="10">
        <v>2025</v>
      </c>
    </row>
    <row r="2110" spans="1:8" hidden="1" x14ac:dyDescent="0.3">
      <c r="A2110" s="16" t="s">
        <v>68</v>
      </c>
      <c r="B2110" s="16" t="s">
        <v>177</v>
      </c>
      <c r="C2110" s="15">
        <v>10</v>
      </c>
      <c r="D2110" s="17">
        <v>8745000</v>
      </c>
      <c r="E2110" s="17">
        <v>8066667</v>
      </c>
      <c r="F2110" s="17">
        <v>-678333</v>
      </c>
      <c r="G2110" s="18">
        <v>0.92243190394511154</v>
      </c>
      <c r="H2110" s="10">
        <v>2025</v>
      </c>
    </row>
    <row r="2111" spans="1:8" hidden="1" x14ac:dyDescent="0.3">
      <c r="A2111" s="16" t="s">
        <v>68</v>
      </c>
      <c r="B2111" s="16" t="s">
        <v>205</v>
      </c>
      <c r="C2111" s="15">
        <v>1</v>
      </c>
      <c r="D2111" s="17">
        <v>80150</v>
      </c>
      <c r="E2111" s="17">
        <v>497045</v>
      </c>
      <c r="F2111" s="17">
        <v>416895</v>
      </c>
      <c r="G2111" s="18">
        <v>6.2014348097317535</v>
      </c>
      <c r="H2111" s="10">
        <v>2025</v>
      </c>
    </row>
    <row r="2112" spans="1:8" hidden="1" x14ac:dyDescent="0.3">
      <c r="A2112" s="16" t="s">
        <v>68</v>
      </c>
      <c r="B2112" s="16" t="s">
        <v>205</v>
      </c>
      <c r="C2112" s="15">
        <v>2</v>
      </c>
      <c r="D2112" s="17">
        <v>84831</v>
      </c>
      <c r="E2112" s="17">
        <v>276625</v>
      </c>
      <c r="F2112" s="17">
        <v>191794</v>
      </c>
      <c r="G2112" s="18">
        <v>3.2608951916162723</v>
      </c>
      <c r="H2112" s="10">
        <v>2025</v>
      </c>
    </row>
    <row r="2113" spans="1:8" hidden="1" x14ac:dyDescent="0.3">
      <c r="A2113" s="16" t="s">
        <v>68</v>
      </c>
      <c r="B2113" s="16" t="s">
        <v>205</v>
      </c>
      <c r="C2113" s="15">
        <v>3</v>
      </c>
      <c r="D2113" s="17">
        <v>748020</v>
      </c>
      <c r="E2113" s="17">
        <v>814283</v>
      </c>
      <c r="F2113" s="17">
        <v>66263</v>
      </c>
      <c r="G2113" s="18">
        <v>1.0885845298254058</v>
      </c>
      <c r="H2113" s="10">
        <v>2025</v>
      </c>
    </row>
    <row r="2114" spans="1:8" hidden="1" x14ac:dyDescent="0.3">
      <c r="A2114" s="16" t="s">
        <v>68</v>
      </c>
      <c r="B2114" s="16" t="s">
        <v>205</v>
      </c>
      <c r="C2114" s="15">
        <v>4</v>
      </c>
      <c r="D2114" s="17">
        <v>247256</v>
      </c>
      <c r="E2114" s="17">
        <v>449083</v>
      </c>
      <c r="F2114" s="17">
        <v>201827</v>
      </c>
      <c r="G2114" s="18">
        <v>1.8162673504384121</v>
      </c>
      <c r="H2114" s="10">
        <v>2025</v>
      </c>
    </row>
    <row r="2115" spans="1:8" hidden="1" x14ac:dyDescent="0.3">
      <c r="A2115" s="16" t="s">
        <v>68</v>
      </c>
      <c r="B2115" s="16" t="s">
        <v>205</v>
      </c>
      <c r="C2115" s="15">
        <v>5</v>
      </c>
      <c r="D2115" s="17">
        <v>391455</v>
      </c>
      <c r="E2115" s="17">
        <v>703131</v>
      </c>
      <c r="F2115" s="17">
        <v>311676</v>
      </c>
      <c r="G2115" s="18">
        <v>1.7961987967965667</v>
      </c>
      <c r="H2115" s="10">
        <v>2025</v>
      </c>
    </row>
    <row r="2116" spans="1:8" hidden="1" x14ac:dyDescent="0.3">
      <c r="A2116" s="16" t="s">
        <v>68</v>
      </c>
      <c r="B2116" s="16" t="s">
        <v>205</v>
      </c>
      <c r="C2116" s="15">
        <v>6</v>
      </c>
      <c r="D2116" s="17">
        <v>89467</v>
      </c>
      <c r="E2116" s="17">
        <v>668351</v>
      </c>
      <c r="F2116" s="17">
        <v>578884</v>
      </c>
      <c r="G2116" s="18">
        <v>7.4703633742050144</v>
      </c>
      <c r="H2116" s="10">
        <v>2025</v>
      </c>
    </row>
    <row r="2117" spans="1:8" hidden="1" x14ac:dyDescent="0.3">
      <c r="A2117" s="16" t="s">
        <v>68</v>
      </c>
      <c r="B2117" s="16" t="s">
        <v>205</v>
      </c>
      <c r="C2117" s="15">
        <v>7</v>
      </c>
      <c r="D2117" s="17">
        <v>176798</v>
      </c>
      <c r="E2117" s="17">
        <v>827494</v>
      </c>
      <c r="F2117" s="17">
        <v>650696</v>
      </c>
      <c r="G2117" s="18">
        <v>4.6804488738560392</v>
      </c>
      <c r="H2117" s="10">
        <v>2025</v>
      </c>
    </row>
    <row r="2118" spans="1:8" hidden="1" x14ac:dyDescent="0.3">
      <c r="A2118" s="16" t="s">
        <v>68</v>
      </c>
      <c r="B2118" s="16" t="s">
        <v>205</v>
      </c>
      <c r="C2118" s="15">
        <v>8</v>
      </c>
      <c r="D2118" s="17">
        <v>575207</v>
      </c>
      <c r="E2118" s="17">
        <v>503803</v>
      </c>
      <c r="F2118" s="17">
        <v>-71404</v>
      </c>
      <c r="G2118" s="18">
        <v>0.87586381945977709</v>
      </c>
      <c r="H2118" s="10">
        <v>2025</v>
      </c>
    </row>
    <row r="2119" spans="1:8" hidden="1" x14ac:dyDescent="0.3">
      <c r="A2119" s="16" t="s">
        <v>68</v>
      </c>
      <c r="B2119" s="16" t="s">
        <v>205</v>
      </c>
      <c r="C2119" s="15">
        <v>9</v>
      </c>
      <c r="D2119" s="17">
        <v>356932</v>
      </c>
      <c r="E2119" s="17">
        <v>827640</v>
      </c>
      <c r="F2119" s="17">
        <v>470708</v>
      </c>
      <c r="G2119" s="18">
        <v>2.3187609964923293</v>
      </c>
      <c r="H2119" s="10">
        <v>2025</v>
      </c>
    </row>
    <row r="2120" spans="1:8" hidden="1" x14ac:dyDescent="0.3">
      <c r="A2120" s="16" t="s">
        <v>68</v>
      </c>
      <c r="B2120" s="16" t="s">
        <v>205</v>
      </c>
      <c r="C2120" s="15">
        <v>10</v>
      </c>
      <c r="D2120" s="17">
        <v>179611</v>
      </c>
      <c r="E2120" s="17">
        <v>1248436</v>
      </c>
      <c r="F2120" s="17">
        <v>1068825</v>
      </c>
      <c r="G2120" s="18">
        <v>6.9507769568678981</v>
      </c>
      <c r="H2120" s="10">
        <v>2025</v>
      </c>
    </row>
    <row r="2121" spans="1:8" hidden="1" x14ac:dyDescent="0.3">
      <c r="A2121" s="16" t="s">
        <v>68</v>
      </c>
      <c r="B2121" s="16" t="s">
        <v>179</v>
      </c>
      <c r="C2121" s="15">
        <v>1</v>
      </c>
      <c r="D2121" s="17">
        <v>0</v>
      </c>
      <c r="E2121" s="17">
        <v>711749</v>
      </c>
      <c r="F2121" s="17">
        <v>711749</v>
      </c>
      <c r="G2121" s="18">
        <v>0</v>
      </c>
      <c r="H2121" s="10">
        <v>2025</v>
      </c>
    </row>
    <row r="2122" spans="1:8" hidden="1" x14ac:dyDescent="0.3">
      <c r="A2122" s="16" t="s">
        <v>68</v>
      </c>
      <c r="B2122" s="16" t="s">
        <v>179</v>
      </c>
      <c r="C2122" s="15">
        <v>2</v>
      </c>
      <c r="D2122" s="17">
        <v>0</v>
      </c>
      <c r="E2122" s="17">
        <v>189800</v>
      </c>
      <c r="F2122" s="17">
        <v>189800</v>
      </c>
      <c r="G2122" s="18">
        <v>0</v>
      </c>
      <c r="H2122" s="10">
        <v>2025</v>
      </c>
    </row>
    <row r="2123" spans="1:8" hidden="1" x14ac:dyDescent="0.3">
      <c r="A2123" s="16" t="s">
        <v>68</v>
      </c>
      <c r="B2123" s="16" t="s">
        <v>179</v>
      </c>
      <c r="C2123" s="15">
        <v>6</v>
      </c>
      <c r="D2123" s="17">
        <v>0</v>
      </c>
      <c r="E2123" s="17">
        <v>237250</v>
      </c>
      <c r="F2123" s="17">
        <v>237250</v>
      </c>
      <c r="G2123" s="18">
        <v>0</v>
      </c>
      <c r="H2123" s="10">
        <v>2025</v>
      </c>
    </row>
    <row r="2124" spans="1:8" hidden="1" x14ac:dyDescent="0.3">
      <c r="A2124" s="16" t="s">
        <v>68</v>
      </c>
      <c r="B2124" s="16" t="s">
        <v>179</v>
      </c>
      <c r="C2124" s="15">
        <v>9</v>
      </c>
      <c r="D2124" s="17">
        <v>0</v>
      </c>
      <c r="E2124" s="17">
        <v>216677</v>
      </c>
      <c r="F2124" s="17">
        <v>216677</v>
      </c>
      <c r="G2124" s="18">
        <v>0</v>
      </c>
      <c r="H2124" s="10">
        <v>2025</v>
      </c>
    </row>
    <row r="2125" spans="1:8" hidden="1" x14ac:dyDescent="0.3">
      <c r="A2125" s="16" t="s">
        <v>68</v>
      </c>
      <c r="B2125" s="16" t="s">
        <v>206</v>
      </c>
      <c r="C2125" s="15">
        <v>1</v>
      </c>
      <c r="D2125" s="17">
        <v>600000</v>
      </c>
      <c r="E2125" s="17">
        <v>493333</v>
      </c>
      <c r="F2125" s="17">
        <v>-106667</v>
      </c>
      <c r="G2125" s="18">
        <v>0.82222166666666674</v>
      </c>
      <c r="H2125" s="10">
        <v>2025</v>
      </c>
    </row>
    <row r="2126" spans="1:8" hidden="1" x14ac:dyDescent="0.3">
      <c r="A2126" s="16" t="s">
        <v>68</v>
      </c>
      <c r="B2126" s="16" t="s">
        <v>206</v>
      </c>
      <c r="C2126" s="15">
        <v>2</v>
      </c>
      <c r="D2126" s="17">
        <v>600000</v>
      </c>
      <c r="E2126" s="17">
        <v>573334</v>
      </c>
      <c r="F2126" s="17">
        <v>-26666</v>
      </c>
      <c r="G2126" s="18">
        <v>0.95555666666666672</v>
      </c>
      <c r="H2126" s="10">
        <v>2025</v>
      </c>
    </row>
    <row r="2127" spans="1:8" hidden="1" x14ac:dyDescent="0.3">
      <c r="A2127" s="16" t="s">
        <v>68</v>
      </c>
      <c r="B2127" s="16" t="s">
        <v>206</v>
      </c>
      <c r="C2127" s="15">
        <v>3</v>
      </c>
      <c r="D2127" s="17">
        <v>600000</v>
      </c>
      <c r="E2127" s="17">
        <v>600000</v>
      </c>
      <c r="F2127" s="17">
        <v>0</v>
      </c>
      <c r="G2127" s="18">
        <v>1</v>
      </c>
      <c r="H2127" s="10">
        <v>2025</v>
      </c>
    </row>
    <row r="2128" spans="1:8" hidden="1" x14ac:dyDescent="0.3">
      <c r="A2128" s="16" t="s">
        <v>68</v>
      </c>
      <c r="B2128" s="16" t="s">
        <v>206</v>
      </c>
      <c r="C2128" s="15">
        <v>4</v>
      </c>
      <c r="D2128" s="17">
        <v>600000</v>
      </c>
      <c r="E2128" s="17">
        <v>580000</v>
      </c>
      <c r="F2128" s="17">
        <v>-20000</v>
      </c>
      <c r="G2128" s="18">
        <v>0.96666666666666667</v>
      </c>
      <c r="H2128" s="10">
        <v>2025</v>
      </c>
    </row>
    <row r="2129" spans="1:8" hidden="1" x14ac:dyDescent="0.3">
      <c r="A2129" s="16" t="s">
        <v>68</v>
      </c>
      <c r="B2129" s="16" t="s">
        <v>206</v>
      </c>
      <c r="C2129" s="15">
        <v>5</v>
      </c>
      <c r="D2129" s="17">
        <v>600000</v>
      </c>
      <c r="E2129" s="17">
        <v>600000</v>
      </c>
      <c r="F2129" s="17">
        <v>0</v>
      </c>
      <c r="G2129" s="18">
        <v>1</v>
      </c>
      <c r="H2129" s="10">
        <v>2025</v>
      </c>
    </row>
    <row r="2130" spans="1:8" hidden="1" x14ac:dyDescent="0.3">
      <c r="A2130" s="16" t="s">
        <v>68</v>
      </c>
      <c r="B2130" s="16" t="s">
        <v>206</v>
      </c>
      <c r="C2130" s="15">
        <v>6</v>
      </c>
      <c r="D2130" s="17">
        <v>600000</v>
      </c>
      <c r="E2130" s="17">
        <v>566667</v>
      </c>
      <c r="F2130" s="17">
        <v>-33333</v>
      </c>
      <c r="G2130" s="18">
        <v>0.94444499999999998</v>
      </c>
      <c r="H2130" s="10">
        <v>2025</v>
      </c>
    </row>
    <row r="2131" spans="1:8" hidden="1" x14ac:dyDescent="0.3">
      <c r="A2131" s="16" t="s">
        <v>68</v>
      </c>
      <c r="B2131" s="16" t="s">
        <v>206</v>
      </c>
      <c r="C2131" s="15">
        <v>7</v>
      </c>
      <c r="D2131" s="17">
        <v>600000</v>
      </c>
      <c r="E2131" s="17">
        <v>600000</v>
      </c>
      <c r="F2131" s="17">
        <v>0</v>
      </c>
      <c r="G2131" s="18">
        <v>1</v>
      </c>
      <c r="H2131" s="10">
        <v>2025</v>
      </c>
    </row>
    <row r="2132" spans="1:8" hidden="1" x14ac:dyDescent="0.3">
      <c r="A2132" s="16" t="s">
        <v>68</v>
      </c>
      <c r="B2132" s="16" t="s">
        <v>206</v>
      </c>
      <c r="C2132" s="15">
        <v>8</v>
      </c>
      <c r="D2132" s="17">
        <v>600000</v>
      </c>
      <c r="E2132" s="17">
        <v>600000</v>
      </c>
      <c r="F2132" s="17">
        <v>0</v>
      </c>
      <c r="G2132" s="18">
        <v>1</v>
      </c>
      <c r="H2132" s="10">
        <v>2025</v>
      </c>
    </row>
    <row r="2133" spans="1:8" hidden="1" x14ac:dyDescent="0.3">
      <c r="A2133" s="16" t="s">
        <v>68</v>
      </c>
      <c r="B2133" s="16" t="s">
        <v>206</v>
      </c>
      <c r="C2133" s="15">
        <v>9</v>
      </c>
      <c r="D2133" s="17">
        <v>600000</v>
      </c>
      <c r="E2133" s="17">
        <v>600000</v>
      </c>
      <c r="F2133" s="17">
        <v>0</v>
      </c>
      <c r="G2133" s="18">
        <v>1</v>
      </c>
      <c r="H2133" s="10">
        <v>2025</v>
      </c>
    </row>
    <row r="2134" spans="1:8" hidden="1" x14ac:dyDescent="0.3">
      <c r="A2134" s="16" t="s">
        <v>68</v>
      </c>
      <c r="B2134" s="16" t="s">
        <v>206</v>
      </c>
      <c r="C2134" s="15">
        <v>10</v>
      </c>
      <c r="D2134" s="17">
        <v>600000</v>
      </c>
      <c r="E2134" s="17">
        <v>526667</v>
      </c>
      <c r="F2134" s="17">
        <v>-73333</v>
      </c>
      <c r="G2134" s="18">
        <v>0.87777833333333333</v>
      </c>
      <c r="H2134" s="10">
        <v>2025</v>
      </c>
    </row>
    <row r="2135" spans="1:8" hidden="1" x14ac:dyDescent="0.3">
      <c r="A2135" s="16" t="s">
        <v>68</v>
      </c>
      <c r="B2135" s="16" t="s">
        <v>181</v>
      </c>
      <c r="C2135" s="15">
        <v>1</v>
      </c>
      <c r="D2135" s="17">
        <v>753460</v>
      </c>
      <c r="E2135" s="17">
        <v>744797</v>
      </c>
      <c r="F2135" s="17">
        <v>-8663</v>
      </c>
      <c r="G2135" s="18">
        <v>0.9885023757067396</v>
      </c>
      <c r="H2135" s="10">
        <v>2025</v>
      </c>
    </row>
    <row r="2136" spans="1:8" hidden="1" x14ac:dyDescent="0.3">
      <c r="A2136" s="16" t="s">
        <v>68</v>
      </c>
      <c r="B2136" s="16" t="s">
        <v>181</v>
      </c>
      <c r="C2136" s="15">
        <v>2</v>
      </c>
      <c r="D2136" s="17">
        <v>785504</v>
      </c>
      <c r="E2136" s="17">
        <v>795327</v>
      </c>
      <c r="F2136" s="17">
        <v>9823</v>
      </c>
      <c r="G2136" s="18">
        <v>1.0125053468855665</v>
      </c>
      <c r="H2136" s="10">
        <v>2025</v>
      </c>
    </row>
    <row r="2137" spans="1:8" hidden="1" x14ac:dyDescent="0.3">
      <c r="A2137" s="16" t="s">
        <v>68</v>
      </c>
      <c r="B2137" s="16" t="s">
        <v>181</v>
      </c>
      <c r="C2137" s="15">
        <v>3</v>
      </c>
      <c r="D2137" s="17">
        <v>840748</v>
      </c>
      <c r="E2137" s="17">
        <v>852131</v>
      </c>
      <c r="F2137" s="17">
        <v>11383</v>
      </c>
      <c r="G2137" s="18">
        <v>1.0135391341995461</v>
      </c>
      <c r="H2137" s="10">
        <v>2025</v>
      </c>
    </row>
    <row r="2138" spans="1:8" hidden="1" x14ac:dyDescent="0.3">
      <c r="A2138" s="16" t="s">
        <v>68</v>
      </c>
      <c r="B2138" s="16" t="s">
        <v>181</v>
      </c>
      <c r="C2138" s="15">
        <v>4</v>
      </c>
      <c r="D2138" s="17">
        <v>799034</v>
      </c>
      <c r="E2138" s="17">
        <v>814595</v>
      </c>
      <c r="F2138" s="17">
        <v>15561</v>
      </c>
      <c r="G2138" s="18">
        <v>1.019474765779679</v>
      </c>
      <c r="H2138" s="10">
        <v>2025</v>
      </c>
    </row>
    <row r="2139" spans="1:8" hidden="1" x14ac:dyDescent="0.3">
      <c r="A2139" s="16" t="s">
        <v>68</v>
      </c>
      <c r="B2139" s="16" t="s">
        <v>181</v>
      </c>
      <c r="C2139" s="15">
        <v>5</v>
      </c>
      <c r="D2139" s="17">
        <v>811046</v>
      </c>
      <c r="E2139" s="17">
        <v>837009</v>
      </c>
      <c r="F2139" s="17">
        <v>25963</v>
      </c>
      <c r="G2139" s="18">
        <v>1.0320117477923572</v>
      </c>
      <c r="H2139" s="10">
        <v>2025</v>
      </c>
    </row>
    <row r="2140" spans="1:8" hidden="1" x14ac:dyDescent="0.3">
      <c r="A2140" s="16" t="s">
        <v>68</v>
      </c>
      <c r="B2140" s="16" t="s">
        <v>181</v>
      </c>
      <c r="C2140" s="15">
        <v>6</v>
      </c>
      <c r="D2140" s="17">
        <v>785891</v>
      </c>
      <c r="E2140" s="17">
        <v>825414</v>
      </c>
      <c r="F2140" s="17">
        <v>39523</v>
      </c>
      <c r="G2140" s="18">
        <v>1.0502906891668184</v>
      </c>
      <c r="H2140" s="10">
        <v>2025</v>
      </c>
    </row>
    <row r="2141" spans="1:8" hidden="1" x14ac:dyDescent="0.3">
      <c r="A2141" s="16" t="s">
        <v>68</v>
      </c>
      <c r="B2141" s="16" t="s">
        <v>181</v>
      </c>
      <c r="C2141" s="15">
        <v>7</v>
      </c>
      <c r="D2141" s="17">
        <v>793165</v>
      </c>
      <c r="E2141" s="17">
        <v>847370</v>
      </c>
      <c r="F2141" s="17">
        <v>54205</v>
      </c>
      <c r="G2141" s="18">
        <v>1.0683401309941816</v>
      </c>
      <c r="H2141" s="10">
        <v>2025</v>
      </c>
    </row>
    <row r="2142" spans="1:8" hidden="1" x14ac:dyDescent="0.3">
      <c r="A2142" s="16" t="s">
        <v>68</v>
      </c>
      <c r="B2142" s="16" t="s">
        <v>181</v>
      </c>
      <c r="C2142" s="15">
        <v>8</v>
      </c>
      <c r="D2142" s="17">
        <v>826353</v>
      </c>
      <c r="E2142" s="17">
        <v>820406</v>
      </c>
      <c r="F2142" s="17">
        <v>-5947</v>
      </c>
      <c r="G2142" s="18">
        <v>0.99280331771047003</v>
      </c>
      <c r="H2142" s="10">
        <v>2025</v>
      </c>
    </row>
    <row r="2143" spans="1:8" hidden="1" x14ac:dyDescent="0.3">
      <c r="A2143" s="16" t="s">
        <v>68</v>
      </c>
      <c r="B2143" s="16" t="s">
        <v>181</v>
      </c>
      <c r="C2143" s="15">
        <v>9</v>
      </c>
      <c r="D2143" s="17">
        <v>808170</v>
      </c>
      <c r="E2143" s="17">
        <v>838358</v>
      </c>
      <c r="F2143" s="17">
        <v>30188</v>
      </c>
      <c r="G2143" s="18">
        <v>1.0373535271044458</v>
      </c>
      <c r="H2143" s="10">
        <v>2025</v>
      </c>
    </row>
    <row r="2144" spans="1:8" hidden="1" x14ac:dyDescent="0.3">
      <c r="A2144" s="16" t="s">
        <v>68</v>
      </c>
      <c r="B2144" s="16" t="s">
        <v>181</v>
      </c>
      <c r="C2144" s="15">
        <v>10</v>
      </c>
      <c r="D2144" s="17">
        <v>793400</v>
      </c>
      <c r="E2144" s="17">
        <v>893333</v>
      </c>
      <c r="F2144" s="17">
        <v>99933</v>
      </c>
      <c r="G2144" s="18">
        <v>1.1259553819006807</v>
      </c>
      <c r="H2144" s="10">
        <v>2025</v>
      </c>
    </row>
    <row r="2145" spans="1:8" hidden="1" x14ac:dyDescent="0.3">
      <c r="A2145" s="16" t="s">
        <v>68</v>
      </c>
      <c r="B2145" s="16" t="s">
        <v>182</v>
      </c>
      <c r="C2145" s="15">
        <v>1</v>
      </c>
      <c r="D2145" s="17">
        <v>90415</v>
      </c>
      <c r="E2145" s="17">
        <v>89410</v>
      </c>
      <c r="F2145" s="17">
        <v>-1005</v>
      </c>
      <c r="G2145" s="18">
        <v>0.98888458773433618</v>
      </c>
      <c r="H2145" s="10">
        <v>2025</v>
      </c>
    </row>
    <row r="2146" spans="1:8" hidden="1" x14ac:dyDescent="0.3">
      <c r="A2146" s="16" t="s">
        <v>68</v>
      </c>
      <c r="B2146" s="16" t="s">
        <v>182</v>
      </c>
      <c r="C2146" s="15">
        <v>2</v>
      </c>
      <c r="D2146" s="17">
        <v>94260</v>
      </c>
      <c r="E2146" s="17">
        <v>95478</v>
      </c>
      <c r="F2146" s="17">
        <v>1218</v>
      </c>
      <c r="G2146" s="18">
        <v>1.0129217059197964</v>
      </c>
      <c r="H2146" s="10">
        <v>2025</v>
      </c>
    </row>
    <row r="2147" spans="1:8" hidden="1" x14ac:dyDescent="0.3">
      <c r="A2147" s="16" t="s">
        <v>68</v>
      </c>
      <c r="B2147" s="16" t="s">
        <v>182</v>
      </c>
      <c r="C2147" s="15">
        <v>3</v>
      </c>
      <c r="D2147" s="17">
        <v>100889</v>
      </c>
      <c r="E2147" s="17">
        <v>102297</v>
      </c>
      <c r="F2147" s="17">
        <v>1408</v>
      </c>
      <c r="G2147" s="18">
        <v>1.0139559317665949</v>
      </c>
      <c r="H2147" s="10">
        <v>2025</v>
      </c>
    </row>
    <row r="2148" spans="1:8" hidden="1" x14ac:dyDescent="0.3">
      <c r="A2148" s="16" t="s">
        <v>68</v>
      </c>
      <c r="B2148" s="16" t="s">
        <v>182</v>
      </c>
      <c r="C2148" s="15">
        <v>4</v>
      </c>
      <c r="D2148" s="17">
        <v>95884</v>
      </c>
      <c r="E2148" s="17">
        <v>97790</v>
      </c>
      <c r="F2148" s="17">
        <v>1906</v>
      </c>
      <c r="G2148" s="18">
        <v>1.0198781861415878</v>
      </c>
      <c r="H2148" s="10">
        <v>2025</v>
      </c>
    </row>
    <row r="2149" spans="1:8" hidden="1" x14ac:dyDescent="0.3">
      <c r="A2149" s="16" t="s">
        <v>68</v>
      </c>
      <c r="B2149" s="16" t="s">
        <v>182</v>
      </c>
      <c r="C2149" s="15">
        <v>5</v>
      </c>
      <c r="D2149" s="17">
        <v>97325</v>
      </c>
      <c r="E2149" s="17">
        <v>100482</v>
      </c>
      <c r="F2149" s="17">
        <v>3157</v>
      </c>
      <c r="G2149" s="18">
        <v>1.0324377087079373</v>
      </c>
      <c r="H2149" s="10">
        <v>2025</v>
      </c>
    </row>
    <row r="2150" spans="1:8" hidden="1" x14ac:dyDescent="0.3">
      <c r="A2150" s="16" t="s">
        <v>68</v>
      </c>
      <c r="B2150" s="16" t="s">
        <v>182</v>
      </c>
      <c r="C2150" s="15">
        <v>6</v>
      </c>
      <c r="D2150" s="17">
        <v>94306</v>
      </c>
      <c r="E2150" s="17">
        <v>99090</v>
      </c>
      <c r="F2150" s="17">
        <v>4784</v>
      </c>
      <c r="G2150" s="18">
        <v>1.0507284796301402</v>
      </c>
      <c r="H2150" s="10">
        <v>2025</v>
      </c>
    </row>
    <row r="2151" spans="1:8" hidden="1" x14ac:dyDescent="0.3">
      <c r="A2151" s="16" t="s">
        <v>68</v>
      </c>
      <c r="B2151" s="16" t="s">
        <v>182</v>
      </c>
      <c r="C2151" s="15">
        <v>7</v>
      </c>
      <c r="D2151" s="17">
        <v>95179</v>
      </c>
      <c r="E2151" s="17">
        <v>101725</v>
      </c>
      <c r="F2151" s="17">
        <v>6546</v>
      </c>
      <c r="G2151" s="18">
        <v>1.0687756753065278</v>
      </c>
      <c r="H2151" s="10">
        <v>2025</v>
      </c>
    </row>
    <row r="2152" spans="1:8" hidden="1" x14ac:dyDescent="0.3">
      <c r="A2152" s="16" t="s">
        <v>68</v>
      </c>
      <c r="B2152" s="16" t="s">
        <v>182</v>
      </c>
      <c r="C2152" s="15">
        <v>8</v>
      </c>
      <c r="D2152" s="17">
        <v>99162</v>
      </c>
      <c r="E2152" s="17">
        <v>98489</v>
      </c>
      <c r="F2152" s="17">
        <v>-673</v>
      </c>
      <c r="G2152" s="18">
        <v>0.99321312599584521</v>
      </c>
      <c r="H2152" s="10">
        <v>2025</v>
      </c>
    </row>
    <row r="2153" spans="1:8" hidden="1" x14ac:dyDescent="0.3">
      <c r="A2153" s="16" t="s">
        <v>68</v>
      </c>
      <c r="B2153" s="16" t="s">
        <v>182</v>
      </c>
      <c r="C2153" s="15">
        <v>9</v>
      </c>
      <c r="D2153" s="17">
        <v>96980</v>
      </c>
      <c r="E2153" s="17">
        <v>100644</v>
      </c>
      <c r="F2153" s="17">
        <v>3664</v>
      </c>
      <c r="G2153" s="18">
        <v>1.037780985770262</v>
      </c>
      <c r="H2153" s="10">
        <v>2025</v>
      </c>
    </row>
    <row r="2154" spans="1:8" hidden="1" x14ac:dyDescent="0.3">
      <c r="A2154" s="16" t="s">
        <v>68</v>
      </c>
      <c r="B2154" s="16" t="s">
        <v>182</v>
      </c>
      <c r="C2154" s="15">
        <v>10</v>
      </c>
      <c r="D2154" s="17">
        <v>95208</v>
      </c>
      <c r="E2154" s="17">
        <v>107243</v>
      </c>
      <c r="F2154" s="17">
        <v>12035</v>
      </c>
      <c r="G2154" s="18">
        <v>1.1264074447525418</v>
      </c>
      <c r="H2154" s="10">
        <v>2025</v>
      </c>
    </row>
    <row r="2155" spans="1:8" hidden="1" x14ac:dyDescent="0.3">
      <c r="A2155" s="16" t="s">
        <v>68</v>
      </c>
      <c r="B2155" s="16" t="s">
        <v>183</v>
      </c>
      <c r="C2155" s="15">
        <v>1</v>
      </c>
      <c r="D2155" s="17">
        <v>753460</v>
      </c>
      <c r="E2155" s="17">
        <v>744797</v>
      </c>
      <c r="F2155" s="17">
        <v>-8663</v>
      </c>
      <c r="G2155" s="18">
        <v>0.9885023757067396</v>
      </c>
      <c r="H2155" s="10">
        <v>2025</v>
      </c>
    </row>
    <row r="2156" spans="1:8" hidden="1" x14ac:dyDescent="0.3">
      <c r="A2156" s="16" t="s">
        <v>68</v>
      </c>
      <c r="B2156" s="16" t="s">
        <v>183</v>
      </c>
      <c r="C2156" s="15">
        <v>2</v>
      </c>
      <c r="D2156" s="17">
        <v>785504</v>
      </c>
      <c r="E2156" s="17">
        <v>795327</v>
      </c>
      <c r="F2156" s="17">
        <v>9823</v>
      </c>
      <c r="G2156" s="18">
        <v>1.0125053468855665</v>
      </c>
      <c r="H2156" s="10">
        <v>2025</v>
      </c>
    </row>
    <row r="2157" spans="1:8" hidden="1" x14ac:dyDescent="0.3">
      <c r="A2157" s="16" t="s">
        <v>68</v>
      </c>
      <c r="B2157" s="16" t="s">
        <v>183</v>
      </c>
      <c r="C2157" s="15">
        <v>3</v>
      </c>
      <c r="D2157" s="17">
        <v>840748</v>
      </c>
      <c r="E2157" s="17">
        <v>852131</v>
      </c>
      <c r="F2157" s="17">
        <v>11383</v>
      </c>
      <c r="G2157" s="18">
        <v>1.0135391341995461</v>
      </c>
      <c r="H2157" s="10">
        <v>2025</v>
      </c>
    </row>
    <row r="2158" spans="1:8" hidden="1" x14ac:dyDescent="0.3">
      <c r="A2158" s="16" t="s">
        <v>68</v>
      </c>
      <c r="B2158" s="16" t="s">
        <v>183</v>
      </c>
      <c r="C2158" s="15">
        <v>4</v>
      </c>
      <c r="D2158" s="17">
        <v>799034</v>
      </c>
      <c r="E2158" s="17">
        <v>814595</v>
      </c>
      <c r="F2158" s="17">
        <v>15561</v>
      </c>
      <c r="G2158" s="18">
        <v>1.019474765779679</v>
      </c>
      <c r="H2158" s="10">
        <v>2025</v>
      </c>
    </row>
    <row r="2159" spans="1:8" hidden="1" x14ac:dyDescent="0.3">
      <c r="A2159" s="16" t="s">
        <v>68</v>
      </c>
      <c r="B2159" s="16" t="s">
        <v>183</v>
      </c>
      <c r="C2159" s="15">
        <v>5</v>
      </c>
      <c r="D2159" s="17">
        <v>811046</v>
      </c>
      <c r="E2159" s="17">
        <v>837009</v>
      </c>
      <c r="F2159" s="17">
        <v>25963</v>
      </c>
      <c r="G2159" s="18">
        <v>1.0320117477923572</v>
      </c>
      <c r="H2159" s="10">
        <v>2025</v>
      </c>
    </row>
    <row r="2160" spans="1:8" hidden="1" x14ac:dyDescent="0.3">
      <c r="A2160" s="16" t="s">
        <v>68</v>
      </c>
      <c r="B2160" s="16" t="s">
        <v>183</v>
      </c>
      <c r="C2160" s="15">
        <v>6</v>
      </c>
      <c r="D2160" s="17">
        <v>785891</v>
      </c>
      <c r="E2160" s="17">
        <v>825414</v>
      </c>
      <c r="F2160" s="17">
        <v>39523</v>
      </c>
      <c r="G2160" s="18">
        <v>1.0502906891668184</v>
      </c>
      <c r="H2160" s="10">
        <v>2025</v>
      </c>
    </row>
    <row r="2161" spans="1:8" hidden="1" x14ac:dyDescent="0.3">
      <c r="A2161" s="16" t="s">
        <v>68</v>
      </c>
      <c r="B2161" s="16" t="s">
        <v>183</v>
      </c>
      <c r="C2161" s="15">
        <v>7</v>
      </c>
      <c r="D2161" s="17">
        <v>793165</v>
      </c>
      <c r="E2161" s="17">
        <v>847370</v>
      </c>
      <c r="F2161" s="17">
        <v>54205</v>
      </c>
      <c r="G2161" s="18">
        <v>1.0683401309941816</v>
      </c>
      <c r="H2161" s="10">
        <v>2025</v>
      </c>
    </row>
    <row r="2162" spans="1:8" hidden="1" x14ac:dyDescent="0.3">
      <c r="A2162" s="16" t="s">
        <v>68</v>
      </c>
      <c r="B2162" s="16" t="s">
        <v>183</v>
      </c>
      <c r="C2162" s="15">
        <v>8</v>
      </c>
      <c r="D2162" s="17">
        <v>826353</v>
      </c>
      <c r="E2162" s="17">
        <v>820406</v>
      </c>
      <c r="F2162" s="17">
        <v>-5947</v>
      </c>
      <c r="G2162" s="18">
        <v>0.99280331771047003</v>
      </c>
      <c r="H2162" s="10">
        <v>2025</v>
      </c>
    </row>
    <row r="2163" spans="1:8" hidden="1" x14ac:dyDescent="0.3">
      <c r="A2163" s="16" t="s">
        <v>68</v>
      </c>
      <c r="B2163" s="16" t="s">
        <v>183</v>
      </c>
      <c r="C2163" s="15">
        <v>9</v>
      </c>
      <c r="D2163" s="17">
        <v>808170</v>
      </c>
      <c r="E2163" s="17">
        <v>838358</v>
      </c>
      <c r="F2163" s="17">
        <v>30188</v>
      </c>
      <c r="G2163" s="18">
        <v>1.0373535271044458</v>
      </c>
      <c r="H2163" s="10">
        <v>2025</v>
      </c>
    </row>
    <row r="2164" spans="1:8" hidden="1" x14ac:dyDescent="0.3">
      <c r="A2164" s="16" t="s">
        <v>68</v>
      </c>
      <c r="B2164" s="16" t="s">
        <v>183</v>
      </c>
      <c r="C2164" s="15">
        <v>10</v>
      </c>
      <c r="D2164" s="17">
        <v>793400</v>
      </c>
      <c r="E2164" s="17">
        <v>893333</v>
      </c>
      <c r="F2164" s="17">
        <v>99933</v>
      </c>
      <c r="G2164" s="18">
        <v>1.1259553819006807</v>
      </c>
      <c r="H2164" s="10">
        <v>2025</v>
      </c>
    </row>
    <row r="2165" spans="1:8" hidden="1" x14ac:dyDescent="0.3">
      <c r="A2165" s="16" t="s">
        <v>68</v>
      </c>
      <c r="B2165" s="16" t="s">
        <v>184</v>
      </c>
      <c r="C2165" s="15">
        <v>1</v>
      </c>
      <c r="D2165" s="17">
        <v>352162</v>
      </c>
      <c r="E2165" s="17">
        <v>352274</v>
      </c>
      <c r="F2165" s="17">
        <v>112</v>
      </c>
      <c r="G2165" s="18">
        <v>1.0003180354495942</v>
      </c>
      <c r="H2165" s="10">
        <v>2025</v>
      </c>
    </row>
    <row r="2166" spans="1:8" hidden="1" x14ac:dyDescent="0.3">
      <c r="A2166" s="16" t="s">
        <v>68</v>
      </c>
      <c r="B2166" s="16" t="s">
        <v>184</v>
      </c>
      <c r="C2166" s="15">
        <v>2</v>
      </c>
      <c r="D2166" s="17">
        <v>368203</v>
      </c>
      <c r="E2166" s="17">
        <v>374233</v>
      </c>
      <c r="F2166" s="17">
        <v>6030</v>
      </c>
      <c r="G2166" s="18">
        <v>1.0163768356042726</v>
      </c>
      <c r="H2166" s="10">
        <v>2025</v>
      </c>
    </row>
    <row r="2167" spans="1:8" hidden="1" x14ac:dyDescent="0.3">
      <c r="A2167" s="16" t="s">
        <v>68</v>
      </c>
      <c r="B2167" s="16" t="s">
        <v>184</v>
      </c>
      <c r="C2167" s="15">
        <v>3</v>
      </c>
      <c r="D2167" s="17">
        <v>395858</v>
      </c>
      <c r="E2167" s="17">
        <v>401558</v>
      </c>
      <c r="F2167" s="17">
        <v>5700</v>
      </c>
      <c r="G2167" s="18">
        <v>1.0143991027085471</v>
      </c>
      <c r="H2167" s="10">
        <v>2025</v>
      </c>
    </row>
    <row r="2168" spans="1:8" hidden="1" x14ac:dyDescent="0.3">
      <c r="A2168" s="16" t="s">
        <v>68</v>
      </c>
      <c r="B2168" s="16" t="s">
        <v>184</v>
      </c>
      <c r="C2168" s="15">
        <v>4</v>
      </c>
      <c r="D2168" s="17">
        <v>374977</v>
      </c>
      <c r="E2168" s="17">
        <v>383601</v>
      </c>
      <c r="F2168" s="17">
        <v>8624</v>
      </c>
      <c r="G2168" s="18">
        <v>1.0229987439229606</v>
      </c>
      <c r="H2168" s="10">
        <v>2025</v>
      </c>
    </row>
    <row r="2169" spans="1:8" hidden="1" x14ac:dyDescent="0.3">
      <c r="A2169" s="16" t="s">
        <v>68</v>
      </c>
      <c r="B2169" s="16" t="s">
        <v>184</v>
      </c>
      <c r="C2169" s="15">
        <v>5</v>
      </c>
      <c r="D2169" s="17">
        <v>380990</v>
      </c>
      <c r="E2169" s="17">
        <v>393988</v>
      </c>
      <c r="F2169" s="17">
        <v>12998</v>
      </c>
      <c r="G2169" s="18">
        <v>1.0341163810073755</v>
      </c>
      <c r="H2169" s="10">
        <v>2025</v>
      </c>
    </row>
    <row r="2170" spans="1:8" hidden="1" x14ac:dyDescent="0.3">
      <c r="A2170" s="16" t="s">
        <v>68</v>
      </c>
      <c r="B2170" s="16" t="s">
        <v>184</v>
      </c>
      <c r="C2170" s="15">
        <v>6</v>
      </c>
      <c r="D2170" s="17">
        <v>368397</v>
      </c>
      <c r="E2170" s="17">
        <v>389573</v>
      </c>
      <c r="F2170" s="17">
        <v>21176</v>
      </c>
      <c r="G2170" s="18">
        <v>1.057481467004346</v>
      </c>
      <c r="H2170" s="10">
        <v>2025</v>
      </c>
    </row>
    <row r="2171" spans="1:8" hidden="1" x14ac:dyDescent="0.3">
      <c r="A2171" s="16" t="s">
        <v>68</v>
      </c>
      <c r="B2171" s="16" t="s">
        <v>184</v>
      </c>
      <c r="C2171" s="15">
        <v>7</v>
      </c>
      <c r="D2171" s="17">
        <v>372038</v>
      </c>
      <c r="E2171" s="17">
        <v>399173</v>
      </c>
      <c r="F2171" s="17">
        <v>27135</v>
      </c>
      <c r="G2171" s="18">
        <v>1.0729360979254807</v>
      </c>
      <c r="H2171" s="10">
        <v>2025</v>
      </c>
    </row>
    <row r="2172" spans="1:8" hidden="1" x14ac:dyDescent="0.3">
      <c r="A2172" s="16" t="s">
        <v>68</v>
      </c>
      <c r="B2172" s="16" t="s">
        <v>184</v>
      </c>
      <c r="C2172" s="15">
        <v>8</v>
      </c>
      <c r="D2172" s="17">
        <v>388652</v>
      </c>
      <c r="E2172" s="17">
        <v>385675</v>
      </c>
      <c r="F2172" s="17">
        <v>-2977</v>
      </c>
      <c r="G2172" s="18">
        <v>0.99234019122505479</v>
      </c>
      <c r="H2172" s="10">
        <v>2025</v>
      </c>
    </row>
    <row r="2173" spans="1:8" hidden="1" x14ac:dyDescent="0.3">
      <c r="A2173" s="16" t="s">
        <v>68</v>
      </c>
      <c r="B2173" s="16" t="s">
        <v>184</v>
      </c>
      <c r="C2173" s="15">
        <v>9</v>
      </c>
      <c r="D2173" s="17">
        <v>379550</v>
      </c>
      <c r="E2173" s="17">
        <v>394663</v>
      </c>
      <c r="F2173" s="17">
        <v>15113</v>
      </c>
      <c r="G2173" s="18">
        <v>1.0398182057699907</v>
      </c>
      <c r="H2173" s="10">
        <v>2025</v>
      </c>
    </row>
    <row r="2174" spans="1:8" hidden="1" x14ac:dyDescent="0.3">
      <c r="A2174" s="16" t="s">
        <v>68</v>
      </c>
      <c r="B2174" s="16" t="s">
        <v>184</v>
      </c>
      <c r="C2174" s="15">
        <v>10</v>
      </c>
      <c r="D2174" s="17">
        <v>372156</v>
      </c>
      <c r="E2174" s="17">
        <v>425242</v>
      </c>
      <c r="F2174" s="17">
        <v>53086</v>
      </c>
      <c r="G2174" s="18">
        <v>1.1426444824213502</v>
      </c>
      <c r="H2174" s="10">
        <v>2025</v>
      </c>
    </row>
    <row r="2175" spans="1:8" hidden="1" x14ac:dyDescent="0.3">
      <c r="A2175" s="16" t="s">
        <v>68</v>
      </c>
      <c r="B2175" s="16" t="s">
        <v>185</v>
      </c>
      <c r="C2175" s="15">
        <v>1</v>
      </c>
      <c r="D2175" s="17">
        <v>116543</v>
      </c>
      <c r="E2175" s="17">
        <v>116579</v>
      </c>
      <c r="F2175" s="17">
        <v>36</v>
      </c>
      <c r="G2175" s="18">
        <v>1.0003088988613644</v>
      </c>
      <c r="H2175" s="10">
        <v>2025</v>
      </c>
    </row>
    <row r="2176" spans="1:8" hidden="1" x14ac:dyDescent="0.3">
      <c r="A2176" s="16" t="s">
        <v>68</v>
      </c>
      <c r="B2176" s="16" t="s">
        <v>185</v>
      </c>
      <c r="C2176" s="15">
        <v>2</v>
      </c>
      <c r="D2176" s="17">
        <v>121851</v>
      </c>
      <c r="E2176" s="17">
        <v>123848</v>
      </c>
      <c r="F2176" s="17">
        <v>1997</v>
      </c>
      <c r="G2176" s="18">
        <v>1.0163888683720281</v>
      </c>
      <c r="H2176" s="10">
        <v>2025</v>
      </c>
    </row>
    <row r="2177" spans="1:8" hidden="1" x14ac:dyDescent="0.3">
      <c r="A2177" s="16" t="s">
        <v>68</v>
      </c>
      <c r="B2177" s="16" t="s">
        <v>185</v>
      </c>
      <c r="C2177" s="15">
        <v>3</v>
      </c>
      <c r="D2177" s="17">
        <v>131003</v>
      </c>
      <c r="E2177" s="17">
        <v>132889</v>
      </c>
      <c r="F2177" s="17">
        <v>1886</v>
      </c>
      <c r="G2177" s="18">
        <v>1.0143966168713694</v>
      </c>
      <c r="H2177" s="10">
        <v>2025</v>
      </c>
    </row>
    <row r="2178" spans="1:8" hidden="1" x14ac:dyDescent="0.3">
      <c r="A2178" s="16" t="s">
        <v>68</v>
      </c>
      <c r="B2178" s="16" t="s">
        <v>185</v>
      </c>
      <c r="C2178" s="15">
        <v>4</v>
      </c>
      <c r="D2178" s="17">
        <v>124093</v>
      </c>
      <c r="E2178" s="17">
        <v>126946</v>
      </c>
      <c r="F2178" s="17">
        <v>2853</v>
      </c>
      <c r="G2178" s="18">
        <v>1.0229908214000789</v>
      </c>
      <c r="H2178" s="10">
        <v>2025</v>
      </c>
    </row>
    <row r="2179" spans="1:8" hidden="1" x14ac:dyDescent="0.3">
      <c r="A2179" s="16" t="s">
        <v>68</v>
      </c>
      <c r="B2179" s="16" t="s">
        <v>185</v>
      </c>
      <c r="C2179" s="15">
        <v>5</v>
      </c>
      <c r="D2179" s="17">
        <v>126083</v>
      </c>
      <c r="E2179" s="17">
        <v>130384</v>
      </c>
      <c r="F2179" s="17">
        <v>4301</v>
      </c>
      <c r="G2179" s="18">
        <v>1.0341124497354917</v>
      </c>
      <c r="H2179" s="10">
        <v>2025</v>
      </c>
    </row>
    <row r="2180" spans="1:8" hidden="1" x14ac:dyDescent="0.3">
      <c r="A2180" s="16" t="s">
        <v>68</v>
      </c>
      <c r="B2180" s="16" t="s">
        <v>185</v>
      </c>
      <c r="C2180" s="15">
        <v>6</v>
      </c>
      <c r="D2180" s="17">
        <v>121915</v>
      </c>
      <c r="E2180" s="17">
        <v>128923</v>
      </c>
      <c r="F2180" s="17">
        <v>7008</v>
      </c>
      <c r="G2180" s="18">
        <v>1.057482672353689</v>
      </c>
      <c r="H2180" s="10">
        <v>2025</v>
      </c>
    </row>
    <row r="2181" spans="1:8" hidden="1" x14ac:dyDescent="0.3">
      <c r="A2181" s="16" t="s">
        <v>68</v>
      </c>
      <c r="B2181" s="16" t="s">
        <v>185</v>
      </c>
      <c r="C2181" s="15">
        <v>7</v>
      </c>
      <c r="D2181" s="17">
        <v>123120</v>
      </c>
      <c r="E2181" s="17">
        <v>132100</v>
      </c>
      <c r="F2181" s="17">
        <v>8980</v>
      </c>
      <c r="G2181" s="18">
        <v>1.0729369720597792</v>
      </c>
      <c r="H2181" s="10">
        <v>2025</v>
      </c>
    </row>
    <row r="2182" spans="1:8" hidden="1" x14ac:dyDescent="0.3">
      <c r="A2182" s="16" t="s">
        <v>68</v>
      </c>
      <c r="B2182" s="16" t="s">
        <v>185</v>
      </c>
      <c r="C2182" s="15">
        <v>8</v>
      </c>
      <c r="D2182" s="17">
        <v>128618</v>
      </c>
      <c r="E2182" s="17">
        <v>127633</v>
      </c>
      <c r="F2182" s="17">
        <v>-985</v>
      </c>
      <c r="G2182" s="18">
        <v>0.99234166290876868</v>
      </c>
      <c r="H2182" s="10">
        <v>2025</v>
      </c>
    </row>
    <row r="2183" spans="1:8" hidden="1" x14ac:dyDescent="0.3">
      <c r="A2183" s="16" t="s">
        <v>68</v>
      </c>
      <c r="B2183" s="16" t="s">
        <v>185</v>
      </c>
      <c r="C2183" s="15">
        <v>9</v>
      </c>
      <c r="D2183" s="17">
        <v>125606</v>
      </c>
      <c r="E2183" s="17">
        <v>130608</v>
      </c>
      <c r="F2183" s="17">
        <v>5002</v>
      </c>
      <c r="G2183" s="18">
        <v>1.0398229383946627</v>
      </c>
      <c r="H2183" s="10">
        <v>2025</v>
      </c>
    </row>
    <row r="2184" spans="1:8" hidden="1" x14ac:dyDescent="0.3">
      <c r="A2184" s="16" t="s">
        <v>68</v>
      </c>
      <c r="B2184" s="16" t="s">
        <v>185</v>
      </c>
      <c r="C2184" s="15">
        <v>10</v>
      </c>
      <c r="D2184" s="17">
        <v>123159</v>
      </c>
      <c r="E2184" s="17">
        <v>140728</v>
      </c>
      <c r="F2184" s="17">
        <v>17569</v>
      </c>
      <c r="G2184" s="18">
        <v>1.1426529932851031</v>
      </c>
      <c r="H2184" s="10">
        <v>2025</v>
      </c>
    </row>
    <row r="2185" spans="1:8" hidden="1" x14ac:dyDescent="0.3">
      <c r="A2185" s="16" t="s">
        <v>68</v>
      </c>
      <c r="B2185" s="16" t="s">
        <v>186</v>
      </c>
      <c r="C2185" s="15">
        <v>1</v>
      </c>
      <c r="D2185" s="17">
        <v>2557500</v>
      </c>
      <c r="E2185" s="17">
        <v>2557500</v>
      </c>
      <c r="F2185" s="17">
        <v>0</v>
      </c>
      <c r="G2185" s="18">
        <v>1</v>
      </c>
      <c r="H2185" s="10">
        <v>2025</v>
      </c>
    </row>
    <row r="2186" spans="1:8" hidden="1" x14ac:dyDescent="0.3">
      <c r="A2186" s="16" t="s">
        <v>68</v>
      </c>
      <c r="B2186" s="16" t="s">
        <v>186</v>
      </c>
      <c r="C2186" s="15">
        <v>2</v>
      </c>
      <c r="D2186" s="17">
        <v>1192818</v>
      </c>
      <c r="E2186" s="17">
        <v>1186379</v>
      </c>
      <c r="F2186" s="17">
        <v>-6439</v>
      </c>
      <c r="G2186" s="18">
        <v>0.99460185879153407</v>
      </c>
      <c r="H2186" s="10">
        <v>2025</v>
      </c>
    </row>
    <row r="2187" spans="1:8" hidden="1" x14ac:dyDescent="0.3">
      <c r="A2187" s="16" t="s">
        <v>68</v>
      </c>
      <c r="B2187" s="16" t="s">
        <v>186</v>
      </c>
      <c r="C2187" s="15">
        <v>3</v>
      </c>
      <c r="D2187" s="17">
        <v>1192818</v>
      </c>
      <c r="E2187" s="17">
        <v>1202418</v>
      </c>
      <c r="F2187" s="17">
        <v>9600</v>
      </c>
      <c r="G2187" s="18">
        <v>1.0080481682871989</v>
      </c>
      <c r="H2187" s="10">
        <v>2025</v>
      </c>
    </row>
    <row r="2188" spans="1:8" hidden="1" x14ac:dyDescent="0.3">
      <c r="A2188" s="16" t="s">
        <v>68</v>
      </c>
      <c r="B2188" s="16" t="s">
        <v>186</v>
      </c>
      <c r="C2188" s="15">
        <v>4</v>
      </c>
      <c r="D2188" s="17">
        <v>1192818</v>
      </c>
      <c r="E2188" s="17">
        <v>1193493</v>
      </c>
      <c r="F2188" s="17">
        <v>675</v>
      </c>
      <c r="G2188" s="18">
        <v>1.0005658868326937</v>
      </c>
      <c r="H2188" s="10">
        <v>2025</v>
      </c>
    </row>
    <row r="2189" spans="1:8" hidden="1" x14ac:dyDescent="0.3">
      <c r="A2189" s="16" t="s">
        <v>68</v>
      </c>
      <c r="B2189" s="16" t="s">
        <v>186</v>
      </c>
      <c r="C2189" s="15">
        <v>5</v>
      </c>
      <c r="D2189" s="17">
        <v>1192818</v>
      </c>
      <c r="E2189" s="17">
        <v>1192818</v>
      </c>
      <c r="F2189" s="17">
        <v>0</v>
      </c>
      <c r="G2189" s="18">
        <v>1</v>
      </c>
      <c r="H2189" s="10">
        <v>2025</v>
      </c>
    </row>
    <row r="2190" spans="1:8" hidden="1" x14ac:dyDescent="0.3">
      <c r="A2190" s="16" t="s">
        <v>68</v>
      </c>
      <c r="B2190" s="16" t="s">
        <v>186</v>
      </c>
      <c r="C2190" s="15">
        <v>6</v>
      </c>
      <c r="D2190" s="17">
        <v>1192818</v>
      </c>
      <c r="E2190" s="17">
        <v>1183122</v>
      </c>
      <c r="F2190" s="17">
        <v>-9696</v>
      </c>
      <c r="G2190" s="18">
        <v>0.99187135002992921</v>
      </c>
      <c r="H2190" s="10">
        <v>2025</v>
      </c>
    </row>
    <row r="2191" spans="1:8" hidden="1" x14ac:dyDescent="0.3">
      <c r="A2191" s="16" t="s">
        <v>68</v>
      </c>
      <c r="B2191" s="16" t="s">
        <v>186</v>
      </c>
      <c r="C2191" s="15">
        <v>7</v>
      </c>
      <c r="D2191" s="17">
        <v>1192818</v>
      </c>
      <c r="E2191" s="17">
        <v>1192818</v>
      </c>
      <c r="F2191" s="17">
        <v>0</v>
      </c>
      <c r="G2191" s="18">
        <v>1</v>
      </c>
      <c r="H2191" s="10">
        <v>2025</v>
      </c>
    </row>
    <row r="2192" spans="1:8" hidden="1" x14ac:dyDescent="0.3">
      <c r="A2192" s="16" t="s">
        <v>68</v>
      </c>
      <c r="B2192" s="16" t="s">
        <v>186</v>
      </c>
      <c r="C2192" s="15">
        <v>8</v>
      </c>
      <c r="D2192" s="17">
        <v>1192818</v>
      </c>
      <c r="E2192" s="17">
        <v>1192818</v>
      </c>
      <c r="F2192" s="17">
        <v>0</v>
      </c>
      <c r="G2192" s="18">
        <v>1</v>
      </c>
      <c r="H2192" s="10">
        <v>2025</v>
      </c>
    </row>
    <row r="2193" spans="1:8" hidden="1" x14ac:dyDescent="0.3">
      <c r="A2193" s="16" t="s">
        <v>68</v>
      </c>
      <c r="B2193" s="16" t="s">
        <v>186</v>
      </c>
      <c r="C2193" s="15">
        <v>9</v>
      </c>
      <c r="D2193" s="17">
        <v>1192818</v>
      </c>
      <c r="E2193" s="17">
        <v>1178043</v>
      </c>
      <c r="F2193" s="17">
        <v>-14775</v>
      </c>
      <c r="G2193" s="18">
        <v>0.98761336599548299</v>
      </c>
      <c r="H2193" s="10">
        <v>2025</v>
      </c>
    </row>
    <row r="2194" spans="1:8" hidden="1" x14ac:dyDescent="0.3">
      <c r="A2194" s="16" t="s">
        <v>68</v>
      </c>
      <c r="B2194" s="16" t="s">
        <v>186</v>
      </c>
      <c r="C2194" s="15">
        <v>10</v>
      </c>
      <c r="D2194" s="17">
        <v>1192818</v>
      </c>
      <c r="E2194" s="17">
        <v>1220670</v>
      </c>
      <c r="F2194" s="17">
        <v>27852</v>
      </c>
      <c r="G2194" s="18">
        <v>1.0233497482432359</v>
      </c>
      <c r="H2194" s="10">
        <v>2025</v>
      </c>
    </row>
    <row r="2195" spans="1:8" hidden="1" x14ac:dyDescent="0.3">
      <c r="A2195" s="16" t="s">
        <v>68</v>
      </c>
      <c r="B2195" s="16" t="s">
        <v>187</v>
      </c>
      <c r="C2195" s="15">
        <v>1</v>
      </c>
      <c r="D2195" s="17">
        <v>348820.5</v>
      </c>
      <c r="E2195" s="17">
        <v>331547</v>
      </c>
      <c r="F2195" s="17">
        <v>-17273.5</v>
      </c>
      <c r="G2195" s="18">
        <v>0.95048026133785146</v>
      </c>
      <c r="H2195" s="10">
        <v>2025</v>
      </c>
    </row>
    <row r="2196" spans="1:8" hidden="1" x14ac:dyDescent="0.3">
      <c r="A2196" s="16" t="s">
        <v>68</v>
      </c>
      <c r="B2196" s="16" t="s">
        <v>187</v>
      </c>
      <c r="C2196" s="15">
        <v>2</v>
      </c>
      <c r="D2196" s="17">
        <v>364666.5</v>
      </c>
      <c r="E2196" s="17">
        <v>362698</v>
      </c>
      <c r="F2196" s="17">
        <v>-1968.5</v>
      </c>
      <c r="G2196" s="18">
        <v>0.99460191709411205</v>
      </c>
      <c r="H2196" s="10">
        <v>2025</v>
      </c>
    </row>
    <row r="2197" spans="1:8" hidden="1" x14ac:dyDescent="0.3">
      <c r="A2197" s="16" t="s">
        <v>68</v>
      </c>
      <c r="B2197" s="16" t="s">
        <v>187</v>
      </c>
      <c r="C2197" s="15">
        <v>3</v>
      </c>
      <c r="D2197" s="17">
        <v>364666.5</v>
      </c>
      <c r="E2197" s="17">
        <v>367602</v>
      </c>
      <c r="F2197" s="17">
        <v>2935.5</v>
      </c>
      <c r="G2197" s="18">
        <v>1.0080498208637207</v>
      </c>
      <c r="H2197" s="10">
        <v>2025</v>
      </c>
    </row>
    <row r="2198" spans="1:8" hidden="1" x14ac:dyDescent="0.3">
      <c r="A2198" s="16" t="s">
        <v>68</v>
      </c>
      <c r="B2198" s="16" t="s">
        <v>187</v>
      </c>
      <c r="C2198" s="15">
        <v>4</v>
      </c>
      <c r="D2198" s="17">
        <v>364666.5</v>
      </c>
      <c r="E2198" s="17">
        <v>364874</v>
      </c>
      <c r="F2198" s="17">
        <v>207.5</v>
      </c>
      <c r="G2198" s="18">
        <v>1.0005690130571359</v>
      </c>
      <c r="H2198" s="10">
        <v>2025</v>
      </c>
    </row>
    <row r="2199" spans="1:8" hidden="1" x14ac:dyDescent="0.3">
      <c r="A2199" s="16" t="s">
        <v>68</v>
      </c>
      <c r="B2199" s="16" t="s">
        <v>187</v>
      </c>
      <c r="C2199" s="15">
        <v>5</v>
      </c>
      <c r="D2199" s="17">
        <v>364666.5</v>
      </c>
      <c r="E2199" s="17">
        <v>364667</v>
      </c>
      <c r="F2199" s="17">
        <v>0.5</v>
      </c>
      <c r="G2199" s="18">
        <v>1.0000013711158005</v>
      </c>
      <c r="H2199" s="10">
        <v>2025</v>
      </c>
    </row>
    <row r="2200" spans="1:8" hidden="1" x14ac:dyDescent="0.3">
      <c r="A2200" s="16" t="s">
        <v>68</v>
      </c>
      <c r="B2200" s="16" t="s">
        <v>187</v>
      </c>
      <c r="C2200" s="15">
        <v>6</v>
      </c>
      <c r="D2200" s="17">
        <v>364666.5</v>
      </c>
      <c r="E2200" s="17">
        <v>361703</v>
      </c>
      <c r="F2200" s="17">
        <v>-2963.5</v>
      </c>
      <c r="G2200" s="18">
        <v>0.99187339665146101</v>
      </c>
      <c r="H2200" s="10">
        <v>2025</v>
      </c>
    </row>
    <row r="2201" spans="1:8" hidden="1" x14ac:dyDescent="0.3">
      <c r="A2201" s="16" t="s">
        <v>68</v>
      </c>
      <c r="B2201" s="16" t="s">
        <v>187</v>
      </c>
      <c r="C2201" s="15">
        <v>7</v>
      </c>
      <c r="D2201" s="17">
        <v>364666.5</v>
      </c>
      <c r="E2201" s="17">
        <v>364667</v>
      </c>
      <c r="F2201" s="17">
        <v>0.5</v>
      </c>
      <c r="G2201" s="18">
        <v>1.0000013711158005</v>
      </c>
      <c r="H2201" s="10">
        <v>2025</v>
      </c>
    </row>
    <row r="2202" spans="1:8" hidden="1" x14ac:dyDescent="0.3">
      <c r="A2202" s="16" t="s">
        <v>68</v>
      </c>
      <c r="B2202" s="16" t="s">
        <v>187</v>
      </c>
      <c r="C2202" s="15">
        <v>8</v>
      </c>
      <c r="D2202" s="17">
        <v>364666.5</v>
      </c>
      <c r="E2202" s="17">
        <v>364667</v>
      </c>
      <c r="F2202" s="17">
        <v>0.5</v>
      </c>
      <c r="G2202" s="18">
        <v>1.0000013711158005</v>
      </c>
      <c r="H2202" s="10">
        <v>2025</v>
      </c>
    </row>
    <row r="2203" spans="1:8" hidden="1" x14ac:dyDescent="0.3">
      <c r="A2203" s="16" t="s">
        <v>68</v>
      </c>
      <c r="B2203" s="16" t="s">
        <v>187</v>
      </c>
      <c r="C2203" s="15">
        <v>9</v>
      </c>
      <c r="D2203" s="17">
        <v>364666.5</v>
      </c>
      <c r="E2203" s="17">
        <v>360150</v>
      </c>
      <c r="F2203" s="17">
        <v>-4516.5</v>
      </c>
      <c r="G2203" s="18">
        <v>0.9876147109756449</v>
      </c>
      <c r="H2203" s="10">
        <v>2025</v>
      </c>
    </row>
    <row r="2204" spans="1:8" hidden="1" x14ac:dyDescent="0.3">
      <c r="A2204" s="16" t="s">
        <v>68</v>
      </c>
      <c r="B2204" s="16" t="s">
        <v>187</v>
      </c>
      <c r="C2204" s="15">
        <v>10</v>
      </c>
      <c r="D2204" s="17">
        <v>364666.5</v>
      </c>
      <c r="E2204" s="17">
        <v>373182</v>
      </c>
      <c r="F2204" s="17">
        <v>8515.5</v>
      </c>
      <c r="G2204" s="18">
        <v>1.0233514731953717</v>
      </c>
      <c r="H2204" s="10">
        <v>2025</v>
      </c>
    </row>
    <row r="2205" spans="1:8" hidden="1" x14ac:dyDescent="0.3">
      <c r="A2205" s="16" t="s">
        <v>68</v>
      </c>
      <c r="B2205" s="16" t="s">
        <v>188</v>
      </c>
      <c r="C2205" s="15">
        <v>4</v>
      </c>
      <c r="D2205" s="17">
        <v>1279367</v>
      </c>
      <c r="E2205" s="17">
        <v>88014</v>
      </c>
      <c r="F2205" s="17">
        <v>-1191353</v>
      </c>
      <c r="G2205" s="18">
        <v>6.8794958756947772E-2</v>
      </c>
      <c r="H2205" s="10">
        <v>2025</v>
      </c>
    </row>
    <row r="2206" spans="1:8" hidden="1" x14ac:dyDescent="0.3">
      <c r="A2206" s="16" t="s">
        <v>68</v>
      </c>
      <c r="B2206" s="16" t="s">
        <v>188</v>
      </c>
      <c r="C2206" s="15">
        <v>5</v>
      </c>
      <c r="D2206" s="17">
        <v>0</v>
      </c>
      <c r="E2206" s="17">
        <v>1328915</v>
      </c>
      <c r="F2206" s="17">
        <v>1328915</v>
      </c>
      <c r="G2206" s="18">
        <v>0</v>
      </c>
      <c r="H2206" s="10">
        <v>2025</v>
      </c>
    </row>
    <row r="2207" spans="1:8" hidden="1" x14ac:dyDescent="0.3">
      <c r="A2207" s="16" t="s">
        <v>68</v>
      </c>
      <c r="B2207" s="16" t="s">
        <v>188</v>
      </c>
      <c r="C2207" s="15">
        <v>8</v>
      </c>
      <c r="D2207" s="17">
        <v>523061</v>
      </c>
      <c r="E2207" s="17">
        <v>618436</v>
      </c>
      <c r="F2207" s="17">
        <v>95375</v>
      </c>
      <c r="G2207" s="18">
        <v>1.1823401094709796</v>
      </c>
      <c r="H2207" s="10">
        <v>2025</v>
      </c>
    </row>
    <row r="2208" spans="1:8" hidden="1" x14ac:dyDescent="0.3">
      <c r="A2208" s="16" t="s">
        <v>68</v>
      </c>
      <c r="B2208" s="16" t="s">
        <v>189</v>
      </c>
      <c r="C2208" s="15">
        <v>1</v>
      </c>
      <c r="D2208" s="17">
        <v>503123</v>
      </c>
      <c r="E2208" s="17">
        <v>77017</v>
      </c>
      <c r="F2208" s="17">
        <v>-426106</v>
      </c>
      <c r="G2208" s="18">
        <v>0.15307787558907068</v>
      </c>
      <c r="H2208" s="10">
        <v>2025</v>
      </c>
    </row>
    <row r="2209" spans="1:8" hidden="1" x14ac:dyDescent="0.3">
      <c r="A2209" s="16" t="s">
        <v>68</v>
      </c>
      <c r="B2209" s="16" t="s">
        <v>189</v>
      </c>
      <c r="C2209" s="15">
        <v>2</v>
      </c>
      <c r="D2209" s="17">
        <v>503123</v>
      </c>
      <c r="E2209" s="17">
        <v>102410</v>
      </c>
      <c r="F2209" s="17">
        <v>-400713</v>
      </c>
      <c r="G2209" s="18">
        <v>0.20354863522438849</v>
      </c>
      <c r="H2209" s="10">
        <v>2025</v>
      </c>
    </row>
    <row r="2210" spans="1:8" hidden="1" x14ac:dyDescent="0.3">
      <c r="A2210" s="16" t="s">
        <v>68</v>
      </c>
      <c r="B2210" s="16" t="s">
        <v>189</v>
      </c>
      <c r="C2210" s="15">
        <v>3</v>
      </c>
      <c r="D2210" s="17">
        <v>503123</v>
      </c>
      <c r="E2210" s="17">
        <v>123481</v>
      </c>
      <c r="F2210" s="17">
        <v>-379642</v>
      </c>
      <c r="G2210" s="18">
        <v>0.24542905015274596</v>
      </c>
      <c r="H2210" s="10">
        <v>2025</v>
      </c>
    </row>
    <row r="2211" spans="1:8" hidden="1" x14ac:dyDescent="0.3">
      <c r="A2211" s="16" t="s">
        <v>68</v>
      </c>
      <c r="B2211" s="16" t="s">
        <v>189</v>
      </c>
      <c r="C2211" s="15">
        <v>4</v>
      </c>
      <c r="D2211" s="17">
        <v>503123</v>
      </c>
      <c r="E2211" s="17">
        <v>148400</v>
      </c>
      <c r="F2211" s="17">
        <v>-354723</v>
      </c>
      <c r="G2211" s="18">
        <v>0.29495769424176593</v>
      </c>
      <c r="H2211" s="10">
        <v>2025</v>
      </c>
    </row>
    <row r="2212" spans="1:8" hidden="1" x14ac:dyDescent="0.3">
      <c r="A2212" s="16" t="s">
        <v>68</v>
      </c>
      <c r="B2212" s="16" t="s">
        <v>189</v>
      </c>
      <c r="C2212" s="15">
        <v>5</v>
      </c>
      <c r="D2212" s="17">
        <v>503123</v>
      </c>
      <c r="E2212" s="17">
        <v>137197</v>
      </c>
      <c r="F2212" s="17">
        <v>-365926</v>
      </c>
      <c r="G2212" s="18">
        <v>0.27269077342916148</v>
      </c>
      <c r="H2212" s="10">
        <v>2025</v>
      </c>
    </row>
    <row r="2213" spans="1:8" hidden="1" x14ac:dyDescent="0.3">
      <c r="A2213" s="16" t="s">
        <v>68</v>
      </c>
      <c r="B2213" s="16" t="s">
        <v>189</v>
      </c>
      <c r="C2213" s="15">
        <v>6</v>
      </c>
      <c r="D2213" s="17">
        <v>503123</v>
      </c>
      <c r="E2213" s="17">
        <v>154147</v>
      </c>
      <c r="F2213" s="17">
        <v>-348976</v>
      </c>
      <c r="G2213" s="18">
        <v>0.30638034834424188</v>
      </c>
      <c r="H2213" s="10">
        <v>2025</v>
      </c>
    </row>
    <row r="2214" spans="1:8" hidden="1" x14ac:dyDescent="0.3">
      <c r="A2214" s="16" t="s">
        <v>68</v>
      </c>
      <c r="B2214" s="16" t="s">
        <v>189</v>
      </c>
      <c r="C2214" s="15">
        <v>7</v>
      </c>
      <c r="D2214" s="17">
        <v>503123</v>
      </c>
      <c r="E2214" s="17">
        <v>0</v>
      </c>
      <c r="F2214" s="17">
        <v>-503123</v>
      </c>
      <c r="G2214" s="18">
        <v>0</v>
      </c>
      <c r="H2214" s="10">
        <v>2025</v>
      </c>
    </row>
    <row r="2215" spans="1:8" hidden="1" x14ac:dyDescent="0.3">
      <c r="A2215" s="16" t="s">
        <v>68</v>
      </c>
      <c r="B2215" s="16" t="s">
        <v>189</v>
      </c>
      <c r="C2215" s="15">
        <v>8</v>
      </c>
      <c r="D2215" s="17">
        <v>503123</v>
      </c>
      <c r="E2215" s="17">
        <v>0</v>
      </c>
      <c r="F2215" s="17">
        <v>-503123</v>
      </c>
      <c r="G2215" s="18">
        <v>0</v>
      </c>
      <c r="H2215" s="10">
        <v>2025</v>
      </c>
    </row>
    <row r="2216" spans="1:8" hidden="1" x14ac:dyDescent="0.3">
      <c r="A2216" s="16" t="s">
        <v>68</v>
      </c>
      <c r="B2216" s="16" t="s">
        <v>189</v>
      </c>
      <c r="C2216" s="15">
        <v>9</v>
      </c>
      <c r="D2216" s="17">
        <v>503123</v>
      </c>
      <c r="E2216" s="17">
        <v>0</v>
      </c>
      <c r="F2216" s="17">
        <v>-503123</v>
      </c>
      <c r="G2216" s="18">
        <v>0</v>
      </c>
      <c r="H2216" s="10">
        <v>2025</v>
      </c>
    </row>
    <row r="2217" spans="1:8" hidden="1" x14ac:dyDescent="0.3">
      <c r="A2217" s="16" t="s">
        <v>68</v>
      </c>
      <c r="B2217" s="16" t="s">
        <v>189</v>
      </c>
      <c r="C2217" s="15">
        <v>10</v>
      </c>
      <c r="D2217" s="17">
        <v>503123</v>
      </c>
      <c r="E2217" s="17">
        <v>0</v>
      </c>
      <c r="F2217" s="17">
        <v>-503123</v>
      </c>
      <c r="G2217" s="18">
        <v>0</v>
      </c>
      <c r="H2217" s="10">
        <v>2025</v>
      </c>
    </row>
    <row r="2218" spans="1:8" hidden="1" x14ac:dyDescent="0.3">
      <c r="A2218" s="16" t="s">
        <v>68</v>
      </c>
      <c r="B2218" s="16" t="s">
        <v>192</v>
      </c>
      <c r="C2218" s="15">
        <v>1</v>
      </c>
      <c r="D2218" s="17">
        <v>211128</v>
      </c>
      <c r="E2218" s="17">
        <v>228750</v>
      </c>
      <c r="F2218" s="17">
        <v>17622</v>
      </c>
      <c r="G2218" s="18">
        <v>1.0834659543026033</v>
      </c>
      <c r="H2218" s="10">
        <v>2025</v>
      </c>
    </row>
    <row r="2219" spans="1:8" hidden="1" x14ac:dyDescent="0.3">
      <c r="A2219" s="16" t="s">
        <v>68</v>
      </c>
      <c r="B2219" s="16" t="s">
        <v>192</v>
      </c>
      <c r="C2219" s="15">
        <v>2</v>
      </c>
      <c r="D2219" s="17">
        <v>220745</v>
      </c>
      <c r="E2219" s="17">
        <v>247000</v>
      </c>
      <c r="F2219" s="17">
        <v>26255</v>
      </c>
      <c r="G2219" s="18">
        <v>1.1189381412942536</v>
      </c>
      <c r="H2219" s="10">
        <v>2025</v>
      </c>
    </row>
    <row r="2220" spans="1:8" hidden="1" x14ac:dyDescent="0.3">
      <c r="A2220" s="16" t="s">
        <v>68</v>
      </c>
      <c r="B2220" s="16" t="s">
        <v>192</v>
      </c>
      <c r="C2220" s="15">
        <v>3</v>
      </c>
      <c r="D2220" s="17">
        <v>237325</v>
      </c>
      <c r="E2220" s="17">
        <v>274800</v>
      </c>
      <c r="F2220" s="17">
        <v>37475</v>
      </c>
      <c r="G2220" s="18">
        <v>1.1579058253449912</v>
      </c>
      <c r="H2220" s="10">
        <v>2025</v>
      </c>
    </row>
    <row r="2221" spans="1:8" hidden="1" x14ac:dyDescent="0.3">
      <c r="A2221" s="16" t="s">
        <v>68</v>
      </c>
      <c r="B2221" s="16" t="s">
        <v>192</v>
      </c>
      <c r="C2221" s="15">
        <v>4</v>
      </c>
      <c r="D2221" s="17">
        <v>224806</v>
      </c>
      <c r="E2221" s="17">
        <v>253000</v>
      </c>
      <c r="F2221" s="17">
        <v>28194</v>
      </c>
      <c r="G2221" s="18">
        <v>1.1254148020960295</v>
      </c>
      <c r="H2221" s="10">
        <v>2025</v>
      </c>
    </row>
    <row r="2222" spans="1:8" hidden="1" x14ac:dyDescent="0.3">
      <c r="A2222" s="16" t="s">
        <v>68</v>
      </c>
      <c r="B2222" s="16" t="s">
        <v>192</v>
      </c>
      <c r="C2222" s="15">
        <v>5</v>
      </c>
      <c r="D2222" s="17">
        <v>228411</v>
      </c>
      <c r="E2222" s="17">
        <v>273600</v>
      </c>
      <c r="F2222" s="17">
        <v>45189</v>
      </c>
      <c r="G2222" s="18">
        <v>1.1978407344655031</v>
      </c>
      <c r="H2222" s="10">
        <v>2025</v>
      </c>
    </row>
    <row r="2223" spans="1:8" hidden="1" x14ac:dyDescent="0.3">
      <c r="A2223" s="16" t="s">
        <v>68</v>
      </c>
      <c r="B2223" s="16" t="s">
        <v>192</v>
      </c>
      <c r="C2223" s="15">
        <v>6</v>
      </c>
      <c r="D2223" s="17">
        <v>220861</v>
      </c>
      <c r="E2223" s="17">
        <v>260600</v>
      </c>
      <c r="F2223" s="17">
        <v>39739</v>
      </c>
      <c r="G2223" s="18">
        <v>1.1799276468004765</v>
      </c>
      <c r="H2223" s="10">
        <v>2025</v>
      </c>
    </row>
    <row r="2224" spans="1:8" hidden="1" x14ac:dyDescent="0.3">
      <c r="A2224" s="16" t="s">
        <v>68</v>
      </c>
      <c r="B2224" s="16" t="s">
        <v>192</v>
      </c>
      <c r="C2224" s="15">
        <v>7</v>
      </c>
      <c r="D2224" s="17">
        <v>223044</v>
      </c>
      <c r="E2224" s="17">
        <v>275300</v>
      </c>
      <c r="F2224" s="17">
        <v>52256</v>
      </c>
      <c r="G2224" s="18">
        <v>1.2342856118075358</v>
      </c>
      <c r="H2224" s="10">
        <v>2025</v>
      </c>
    </row>
    <row r="2225" spans="1:8" hidden="1" x14ac:dyDescent="0.3">
      <c r="A2225" s="16" t="s">
        <v>68</v>
      </c>
      <c r="B2225" s="16" t="s">
        <v>192</v>
      </c>
      <c r="C2225" s="15">
        <v>8</v>
      </c>
      <c r="D2225" s="17">
        <v>233005</v>
      </c>
      <c r="E2225" s="17">
        <v>261900</v>
      </c>
      <c r="F2225" s="17">
        <v>28895</v>
      </c>
      <c r="G2225" s="18">
        <v>1.1240102143730821</v>
      </c>
      <c r="H2225" s="10">
        <v>2025</v>
      </c>
    </row>
    <row r="2226" spans="1:8" hidden="1" x14ac:dyDescent="0.3">
      <c r="A2226" s="16" t="s">
        <v>68</v>
      </c>
      <c r="B2226" s="16" t="s">
        <v>192</v>
      </c>
      <c r="C2226" s="15">
        <v>9</v>
      </c>
      <c r="D2226" s="17">
        <v>227548</v>
      </c>
      <c r="E2226" s="17">
        <v>268500</v>
      </c>
      <c r="F2226" s="17">
        <v>40952</v>
      </c>
      <c r="G2226" s="18">
        <v>1.1799708193436111</v>
      </c>
      <c r="H2226" s="10">
        <v>2025</v>
      </c>
    </row>
    <row r="2227" spans="1:8" hidden="1" x14ac:dyDescent="0.3">
      <c r="A2227" s="16" t="s">
        <v>68</v>
      </c>
      <c r="B2227" s="16" t="s">
        <v>192</v>
      </c>
      <c r="C2227" s="15">
        <v>10</v>
      </c>
      <c r="D2227" s="17">
        <v>223115</v>
      </c>
      <c r="E2227" s="17">
        <v>267900</v>
      </c>
      <c r="F2227" s="17">
        <v>44785</v>
      </c>
      <c r="G2227" s="18">
        <v>1.2007260829617015</v>
      </c>
      <c r="H2227" s="10">
        <v>2025</v>
      </c>
    </row>
    <row r="2228" spans="1:8" hidden="1" x14ac:dyDescent="0.3">
      <c r="A2228" s="16" t="s">
        <v>68</v>
      </c>
      <c r="B2228" s="16" t="s">
        <v>193</v>
      </c>
      <c r="C2228" s="15">
        <v>1</v>
      </c>
      <c r="D2228" s="17">
        <v>0</v>
      </c>
      <c r="E2228" s="17">
        <v>6989</v>
      </c>
      <c r="F2228" s="17">
        <v>6989</v>
      </c>
      <c r="G2228" s="18">
        <v>0</v>
      </c>
      <c r="H2228" s="10">
        <v>2025</v>
      </c>
    </row>
    <row r="2229" spans="1:8" hidden="1" x14ac:dyDescent="0.3">
      <c r="A2229" s="16" t="s">
        <v>68</v>
      </c>
      <c r="B2229" s="16" t="s">
        <v>193</v>
      </c>
      <c r="C2229" s="15">
        <v>2</v>
      </c>
      <c r="D2229" s="17">
        <v>0</v>
      </c>
      <c r="E2229" s="17">
        <v>223</v>
      </c>
      <c r="F2229" s="17">
        <v>223</v>
      </c>
      <c r="G2229" s="18">
        <v>0</v>
      </c>
      <c r="H2229" s="10">
        <v>2025</v>
      </c>
    </row>
    <row r="2230" spans="1:8" hidden="1" x14ac:dyDescent="0.3">
      <c r="A2230" s="16" t="s">
        <v>68</v>
      </c>
      <c r="B2230" s="16" t="s">
        <v>193</v>
      </c>
      <c r="C2230" s="15">
        <v>3</v>
      </c>
      <c r="D2230" s="17">
        <v>0</v>
      </c>
      <c r="E2230" s="17">
        <v>215</v>
      </c>
      <c r="F2230" s="17">
        <v>215</v>
      </c>
      <c r="G2230" s="18">
        <v>0</v>
      </c>
      <c r="H2230" s="10">
        <v>2025</v>
      </c>
    </row>
    <row r="2231" spans="1:8" hidden="1" x14ac:dyDescent="0.3">
      <c r="A2231" s="16" t="s">
        <v>68</v>
      </c>
      <c r="B2231" s="16" t="s">
        <v>193</v>
      </c>
      <c r="C2231" s="15">
        <v>4</v>
      </c>
      <c r="D2231" s="17">
        <v>0</v>
      </c>
      <c r="E2231" s="17">
        <v>389</v>
      </c>
      <c r="F2231" s="17">
        <v>389</v>
      </c>
      <c r="G2231" s="18">
        <v>0</v>
      </c>
      <c r="H2231" s="10">
        <v>2025</v>
      </c>
    </row>
    <row r="2232" spans="1:8" hidden="1" x14ac:dyDescent="0.3">
      <c r="A2232" s="16" t="s">
        <v>68</v>
      </c>
      <c r="B2232" s="16" t="s">
        <v>193</v>
      </c>
      <c r="C2232" s="15">
        <v>5</v>
      </c>
      <c r="D2232" s="17">
        <v>0</v>
      </c>
      <c r="E2232" s="17">
        <v>175</v>
      </c>
      <c r="F2232" s="17">
        <v>175</v>
      </c>
      <c r="G2232" s="18">
        <v>0</v>
      </c>
      <c r="H2232" s="10">
        <v>2025</v>
      </c>
    </row>
    <row r="2233" spans="1:8" hidden="1" x14ac:dyDescent="0.3">
      <c r="A2233" s="16" t="s">
        <v>68</v>
      </c>
      <c r="B2233" s="16" t="s">
        <v>193</v>
      </c>
      <c r="C2233" s="15">
        <v>6</v>
      </c>
      <c r="D2233" s="17">
        <v>0</v>
      </c>
      <c r="E2233" s="17">
        <v>209</v>
      </c>
      <c r="F2233" s="17">
        <v>209</v>
      </c>
      <c r="G2233" s="18">
        <v>0</v>
      </c>
      <c r="H2233" s="10">
        <v>2025</v>
      </c>
    </row>
    <row r="2234" spans="1:8" hidden="1" x14ac:dyDescent="0.3">
      <c r="A2234" s="16" t="s">
        <v>68</v>
      </c>
      <c r="B2234" s="16" t="s">
        <v>193</v>
      </c>
      <c r="C2234" s="15">
        <v>7</v>
      </c>
      <c r="D2234" s="17">
        <v>0</v>
      </c>
      <c r="E2234" s="17">
        <v>101</v>
      </c>
      <c r="F2234" s="17">
        <v>101</v>
      </c>
      <c r="G2234" s="18">
        <v>0</v>
      </c>
      <c r="H2234" s="10">
        <v>2025</v>
      </c>
    </row>
    <row r="2235" spans="1:8" hidden="1" x14ac:dyDescent="0.3">
      <c r="A2235" s="16" t="s">
        <v>68</v>
      </c>
      <c r="B2235" s="16" t="s">
        <v>193</v>
      </c>
      <c r="C2235" s="15">
        <v>8</v>
      </c>
      <c r="D2235" s="17">
        <v>0</v>
      </c>
      <c r="E2235" s="17">
        <v>148</v>
      </c>
      <c r="F2235" s="17">
        <v>148</v>
      </c>
      <c r="G2235" s="18">
        <v>0</v>
      </c>
      <c r="H2235" s="10">
        <v>2025</v>
      </c>
    </row>
    <row r="2236" spans="1:8" hidden="1" x14ac:dyDescent="0.3">
      <c r="A2236" s="16" t="s">
        <v>68</v>
      </c>
      <c r="B2236" s="16" t="s">
        <v>193</v>
      </c>
      <c r="C2236" s="15">
        <v>10</v>
      </c>
      <c r="D2236" s="17">
        <v>0</v>
      </c>
      <c r="E2236" s="17">
        <v>-9000</v>
      </c>
      <c r="F2236" s="17">
        <v>-9000</v>
      </c>
      <c r="G2236" s="18">
        <v>0</v>
      </c>
      <c r="H2236" s="10">
        <v>2025</v>
      </c>
    </row>
    <row r="2237" spans="1:8" hidden="1" x14ac:dyDescent="0.3">
      <c r="A2237" s="16" t="s">
        <v>68</v>
      </c>
      <c r="B2237" s="16" t="s">
        <v>194</v>
      </c>
      <c r="C2237" s="15">
        <v>1</v>
      </c>
      <c r="D2237" s="17">
        <v>1013418</v>
      </c>
      <c r="E2237" s="17">
        <v>1072289</v>
      </c>
      <c r="F2237" s="17">
        <v>58871</v>
      </c>
      <c r="G2237" s="18">
        <v>1.0580915278789207</v>
      </c>
      <c r="H2237" s="10">
        <v>2025</v>
      </c>
    </row>
    <row r="2238" spans="1:8" hidden="1" x14ac:dyDescent="0.3">
      <c r="A2238" s="16" t="s">
        <v>68</v>
      </c>
      <c r="B2238" s="16" t="s">
        <v>194</v>
      </c>
      <c r="C2238" s="15">
        <v>2</v>
      </c>
      <c r="D2238" s="17">
        <v>1059579</v>
      </c>
      <c r="E2238" s="17">
        <v>1077123</v>
      </c>
      <c r="F2238" s="17">
        <v>17544</v>
      </c>
      <c r="G2238" s="18">
        <v>1.0165575195431393</v>
      </c>
      <c r="H2238" s="10">
        <v>2025</v>
      </c>
    </row>
    <row r="2239" spans="1:8" hidden="1" x14ac:dyDescent="0.3">
      <c r="A2239" s="16" t="s">
        <v>68</v>
      </c>
      <c r="B2239" s="16" t="s">
        <v>194</v>
      </c>
      <c r="C2239" s="15">
        <v>3</v>
      </c>
      <c r="D2239" s="17">
        <v>1139162</v>
      </c>
      <c r="E2239" s="17">
        <v>1155715</v>
      </c>
      <c r="F2239" s="17">
        <v>16553</v>
      </c>
      <c r="G2239" s="18">
        <v>1.0145308568930496</v>
      </c>
      <c r="H2239" s="10">
        <v>2025</v>
      </c>
    </row>
    <row r="2240" spans="1:8" hidden="1" x14ac:dyDescent="0.3">
      <c r="A2240" s="16" t="s">
        <v>68</v>
      </c>
      <c r="B2240" s="16" t="s">
        <v>194</v>
      </c>
      <c r="C2240" s="15">
        <v>4</v>
      </c>
      <c r="D2240" s="17">
        <v>1079070</v>
      </c>
      <c r="E2240" s="17">
        <v>1104289</v>
      </c>
      <c r="F2240" s="17">
        <v>25219</v>
      </c>
      <c r="G2240" s="18">
        <v>1.0233710509976184</v>
      </c>
      <c r="H2240" s="10">
        <v>2025</v>
      </c>
    </row>
    <row r="2241" spans="1:8" hidden="1" x14ac:dyDescent="0.3">
      <c r="A2241" s="16" t="s">
        <v>68</v>
      </c>
      <c r="B2241" s="16" t="s">
        <v>194</v>
      </c>
      <c r="C2241" s="15">
        <v>5</v>
      </c>
      <c r="D2241" s="17">
        <v>1096374</v>
      </c>
      <c r="E2241" s="17">
        <v>1133975</v>
      </c>
      <c r="F2241" s="17">
        <v>37601</v>
      </c>
      <c r="G2241" s="18">
        <v>1.0342957786302849</v>
      </c>
      <c r="H2241" s="10">
        <v>2025</v>
      </c>
    </row>
    <row r="2242" spans="1:8" hidden="1" x14ac:dyDescent="0.3">
      <c r="A2242" s="16" t="s">
        <v>68</v>
      </c>
      <c r="B2242" s="16" t="s">
        <v>194</v>
      </c>
      <c r="C2242" s="15">
        <v>6</v>
      </c>
      <c r="D2242" s="17">
        <v>1060136</v>
      </c>
      <c r="E2242" s="17">
        <v>1121309</v>
      </c>
      <c r="F2242" s="17">
        <v>61173</v>
      </c>
      <c r="G2242" s="18">
        <v>1.0577029739580583</v>
      </c>
      <c r="H2242" s="10">
        <v>2025</v>
      </c>
    </row>
    <row r="2243" spans="1:8" hidden="1" x14ac:dyDescent="0.3">
      <c r="A2243" s="16" t="s">
        <v>68</v>
      </c>
      <c r="B2243" s="16" t="s">
        <v>194</v>
      </c>
      <c r="C2243" s="15">
        <v>7</v>
      </c>
      <c r="D2243" s="17">
        <v>1070615</v>
      </c>
      <c r="E2243" s="17">
        <v>1148901</v>
      </c>
      <c r="F2243" s="17">
        <v>78286</v>
      </c>
      <c r="G2243" s="18">
        <v>1.0731224576528444</v>
      </c>
      <c r="H2243" s="10">
        <v>2025</v>
      </c>
    </row>
    <row r="2244" spans="1:8" hidden="1" x14ac:dyDescent="0.3">
      <c r="A2244" s="16" t="s">
        <v>68</v>
      </c>
      <c r="B2244" s="16" t="s">
        <v>194</v>
      </c>
      <c r="C2244" s="15">
        <v>8</v>
      </c>
      <c r="D2244" s="17">
        <v>1118424</v>
      </c>
      <c r="E2244" s="17">
        <v>1110048</v>
      </c>
      <c r="F2244" s="17">
        <v>-8376</v>
      </c>
      <c r="G2244" s="18">
        <v>0.992510890324242</v>
      </c>
      <c r="H2244" s="10">
        <v>2025</v>
      </c>
    </row>
    <row r="2245" spans="1:8" hidden="1" x14ac:dyDescent="0.3">
      <c r="A2245" s="16" t="s">
        <v>68</v>
      </c>
      <c r="B2245" s="16" t="s">
        <v>194</v>
      </c>
      <c r="C2245" s="15">
        <v>9</v>
      </c>
      <c r="D2245" s="17">
        <v>1092231</v>
      </c>
      <c r="E2245" s="17">
        <v>1135950</v>
      </c>
      <c r="F2245" s="17">
        <v>43719</v>
      </c>
      <c r="G2245" s="18">
        <v>1.0400272469834679</v>
      </c>
      <c r="H2245" s="10">
        <v>2025</v>
      </c>
    </row>
    <row r="2246" spans="1:8" hidden="1" x14ac:dyDescent="0.3">
      <c r="A2246" s="16" t="s">
        <v>68</v>
      </c>
      <c r="B2246" s="16" t="s">
        <v>194</v>
      </c>
      <c r="C2246" s="15">
        <v>10</v>
      </c>
      <c r="D2246" s="17">
        <v>1070953</v>
      </c>
      <c r="E2246" s="17">
        <v>1203600</v>
      </c>
      <c r="F2246" s="17">
        <v>132647</v>
      </c>
      <c r="G2246" s="18">
        <v>1.1238588434786587</v>
      </c>
      <c r="H2246" s="10">
        <v>2025</v>
      </c>
    </row>
    <row r="2247" spans="1:8" hidden="1" x14ac:dyDescent="0.3">
      <c r="A2247" s="16" t="s">
        <v>68</v>
      </c>
      <c r="B2247" s="16" t="s">
        <v>195</v>
      </c>
      <c r="C2247" s="15">
        <v>1</v>
      </c>
      <c r="D2247" s="17">
        <v>337806</v>
      </c>
      <c r="E2247" s="17">
        <v>316400</v>
      </c>
      <c r="F2247" s="17">
        <v>-21406</v>
      </c>
      <c r="G2247" s="18">
        <v>0.9366322682249576</v>
      </c>
      <c r="H2247" s="10">
        <v>2025</v>
      </c>
    </row>
    <row r="2248" spans="1:8" hidden="1" x14ac:dyDescent="0.3">
      <c r="A2248" s="16" t="s">
        <v>68</v>
      </c>
      <c r="B2248" s="16" t="s">
        <v>195</v>
      </c>
      <c r="C2248" s="15">
        <v>2</v>
      </c>
      <c r="D2248" s="17">
        <v>353193</v>
      </c>
      <c r="E2248" s="17">
        <v>351600</v>
      </c>
      <c r="F2248" s="17">
        <v>-1593</v>
      </c>
      <c r="G2248" s="18">
        <v>0.9954897180861455</v>
      </c>
      <c r="H2248" s="10">
        <v>2025</v>
      </c>
    </row>
    <row r="2249" spans="1:8" hidden="1" x14ac:dyDescent="0.3">
      <c r="A2249" s="16" t="s">
        <v>68</v>
      </c>
      <c r="B2249" s="16" t="s">
        <v>195</v>
      </c>
      <c r="C2249" s="15">
        <v>3</v>
      </c>
      <c r="D2249" s="17">
        <v>379720</v>
      </c>
      <c r="E2249" s="17">
        <v>385400</v>
      </c>
      <c r="F2249" s="17">
        <v>5680</v>
      </c>
      <c r="G2249" s="18">
        <v>1.0149583903929211</v>
      </c>
      <c r="H2249" s="10">
        <v>2025</v>
      </c>
    </row>
    <row r="2250" spans="1:8" hidden="1" x14ac:dyDescent="0.3">
      <c r="A2250" s="16" t="s">
        <v>68</v>
      </c>
      <c r="B2250" s="16" t="s">
        <v>195</v>
      </c>
      <c r="C2250" s="15">
        <v>4</v>
      </c>
      <c r="D2250" s="17">
        <v>359690</v>
      </c>
      <c r="E2250" s="17">
        <v>368350</v>
      </c>
      <c r="F2250" s="17">
        <v>8660</v>
      </c>
      <c r="G2250" s="18">
        <v>1.0240762879145933</v>
      </c>
      <c r="H2250" s="10">
        <v>2025</v>
      </c>
    </row>
    <row r="2251" spans="1:8" hidden="1" x14ac:dyDescent="0.3">
      <c r="A2251" s="16" t="s">
        <v>68</v>
      </c>
      <c r="B2251" s="16" t="s">
        <v>195</v>
      </c>
      <c r="C2251" s="15">
        <v>5</v>
      </c>
      <c r="D2251" s="17">
        <v>365458</v>
      </c>
      <c r="E2251" s="17">
        <v>378100</v>
      </c>
      <c r="F2251" s="17">
        <v>12642</v>
      </c>
      <c r="G2251" s="18">
        <v>1.0345922103223901</v>
      </c>
      <c r="H2251" s="10">
        <v>2025</v>
      </c>
    </row>
    <row r="2252" spans="1:8" hidden="1" x14ac:dyDescent="0.3">
      <c r="A2252" s="16" t="s">
        <v>68</v>
      </c>
      <c r="B2252" s="16" t="s">
        <v>195</v>
      </c>
      <c r="C2252" s="15">
        <v>6</v>
      </c>
      <c r="D2252" s="17">
        <v>353378</v>
      </c>
      <c r="E2252" s="17">
        <v>364400</v>
      </c>
      <c r="F2252" s="17">
        <v>11022</v>
      </c>
      <c r="G2252" s="18">
        <v>1.0311903966857021</v>
      </c>
      <c r="H2252" s="10">
        <v>2025</v>
      </c>
    </row>
    <row r="2253" spans="1:8" hidden="1" x14ac:dyDescent="0.3">
      <c r="A2253" s="16" t="s">
        <v>68</v>
      </c>
      <c r="B2253" s="16" t="s">
        <v>195</v>
      </c>
      <c r="C2253" s="15">
        <v>7</v>
      </c>
      <c r="D2253" s="17">
        <v>356871</v>
      </c>
      <c r="E2253" s="17">
        <v>383000</v>
      </c>
      <c r="F2253" s="17">
        <v>26129</v>
      </c>
      <c r="G2253" s="18">
        <v>1.0732169327291936</v>
      </c>
      <c r="H2253" s="10">
        <v>2025</v>
      </c>
    </row>
    <row r="2254" spans="1:8" hidden="1" x14ac:dyDescent="0.3">
      <c r="A2254" s="16" t="s">
        <v>68</v>
      </c>
      <c r="B2254" s="16" t="s">
        <v>195</v>
      </c>
      <c r="C2254" s="15">
        <v>8</v>
      </c>
      <c r="D2254" s="17">
        <v>372808</v>
      </c>
      <c r="E2254" s="17">
        <v>370100</v>
      </c>
      <c r="F2254" s="17">
        <v>-2708</v>
      </c>
      <c r="G2254" s="18">
        <v>0.9927362073775241</v>
      </c>
      <c r="H2254" s="10">
        <v>2025</v>
      </c>
    </row>
    <row r="2255" spans="1:8" hidden="1" x14ac:dyDescent="0.3">
      <c r="A2255" s="16" t="s">
        <v>68</v>
      </c>
      <c r="B2255" s="16" t="s">
        <v>195</v>
      </c>
      <c r="C2255" s="15">
        <v>9</v>
      </c>
      <c r="D2255" s="17">
        <v>364077</v>
      </c>
      <c r="E2255" s="17">
        <v>370000</v>
      </c>
      <c r="F2255" s="17">
        <v>5923</v>
      </c>
      <c r="G2255" s="18">
        <v>1.016268536600774</v>
      </c>
      <c r="H2255" s="10">
        <v>2025</v>
      </c>
    </row>
    <row r="2256" spans="1:8" hidden="1" x14ac:dyDescent="0.3">
      <c r="A2256" s="16" t="s">
        <v>68</v>
      </c>
      <c r="B2256" s="16" t="s">
        <v>195</v>
      </c>
      <c r="C2256" s="15">
        <v>10</v>
      </c>
      <c r="D2256" s="17">
        <v>356984</v>
      </c>
      <c r="E2256" s="17">
        <v>408100</v>
      </c>
      <c r="F2256" s="17">
        <v>51116</v>
      </c>
      <c r="G2256" s="18">
        <v>1.143188490240459</v>
      </c>
      <c r="H2256" s="10">
        <v>2025</v>
      </c>
    </row>
    <row r="2257" spans="1:8" hidden="1" x14ac:dyDescent="0.3">
      <c r="A2257" s="16" t="s">
        <v>68</v>
      </c>
      <c r="B2257" s="16" t="s">
        <v>199</v>
      </c>
      <c r="C2257" s="15">
        <v>1</v>
      </c>
      <c r="D2257" s="17">
        <v>91365</v>
      </c>
      <c r="E2257" s="17">
        <v>321800</v>
      </c>
      <c r="F2257" s="17">
        <v>230435</v>
      </c>
      <c r="G2257" s="18">
        <v>3.5221364855250918</v>
      </c>
      <c r="H2257" s="10">
        <v>2025</v>
      </c>
    </row>
    <row r="2258" spans="1:8" hidden="1" x14ac:dyDescent="0.3">
      <c r="A2258" s="16" t="s">
        <v>68</v>
      </c>
      <c r="B2258" s="16" t="s">
        <v>199</v>
      </c>
      <c r="C2258" s="15">
        <v>2</v>
      </c>
      <c r="D2258" s="17">
        <v>91365</v>
      </c>
      <c r="E2258" s="17">
        <v>50900</v>
      </c>
      <c r="F2258" s="17">
        <v>-40465</v>
      </c>
      <c r="G2258" s="18">
        <v>0.55710611284408695</v>
      </c>
      <c r="H2258" s="10">
        <v>2025</v>
      </c>
    </row>
    <row r="2259" spans="1:8" hidden="1" x14ac:dyDescent="0.3">
      <c r="A2259" s="16" t="s">
        <v>68</v>
      </c>
      <c r="B2259" s="16" t="s">
        <v>199</v>
      </c>
      <c r="C2259" s="15">
        <v>3</v>
      </c>
      <c r="D2259" s="17">
        <v>91365</v>
      </c>
      <c r="E2259" s="17">
        <v>81000</v>
      </c>
      <c r="F2259" s="17">
        <v>-10365</v>
      </c>
      <c r="G2259" s="18">
        <v>0.8865539320308653</v>
      </c>
      <c r="H2259" s="10">
        <v>2025</v>
      </c>
    </row>
    <row r="2260" spans="1:8" hidden="1" x14ac:dyDescent="0.3">
      <c r="A2260" s="16" t="s">
        <v>68</v>
      </c>
      <c r="B2260" s="16" t="s">
        <v>199</v>
      </c>
      <c r="C2260" s="15">
        <v>4</v>
      </c>
      <c r="D2260" s="17">
        <v>91365</v>
      </c>
      <c r="E2260" s="17">
        <v>47600</v>
      </c>
      <c r="F2260" s="17">
        <v>-43765</v>
      </c>
      <c r="G2260" s="18">
        <v>0.52098724894653314</v>
      </c>
      <c r="H2260" s="10">
        <v>2025</v>
      </c>
    </row>
    <row r="2261" spans="1:8" hidden="1" x14ac:dyDescent="0.3">
      <c r="A2261" s="16" t="s">
        <v>68</v>
      </c>
      <c r="B2261" s="16" t="s">
        <v>199</v>
      </c>
      <c r="C2261" s="15">
        <v>5</v>
      </c>
      <c r="D2261" s="17">
        <v>91365</v>
      </c>
      <c r="E2261" s="17">
        <v>264600</v>
      </c>
      <c r="F2261" s="17">
        <v>173235</v>
      </c>
      <c r="G2261" s="18">
        <v>2.8960761779674931</v>
      </c>
      <c r="H2261" s="10">
        <v>2025</v>
      </c>
    </row>
    <row r="2262" spans="1:8" hidden="1" x14ac:dyDescent="0.3">
      <c r="A2262" s="16" t="s">
        <v>68</v>
      </c>
      <c r="B2262" s="16" t="s">
        <v>199</v>
      </c>
      <c r="C2262" s="15">
        <v>6</v>
      </c>
      <c r="D2262" s="17">
        <v>371365</v>
      </c>
      <c r="E2262" s="17">
        <v>0</v>
      </c>
      <c r="F2262" s="17">
        <v>-371365</v>
      </c>
      <c r="G2262" s="18">
        <v>0</v>
      </c>
      <c r="H2262" s="10">
        <v>2025</v>
      </c>
    </row>
    <row r="2263" spans="1:8" hidden="1" x14ac:dyDescent="0.3">
      <c r="A2263" s="16" t="s">
        <v>68</v>
      </c>
      <c r="B2263" s="16" t="s">
        <v>199</v>
      </c>
      <c r="C2263" s="15">
        <v>7</v>
      </c>
      <c r="D2263" s="17">
        <v>91365</v>
      </c>
      <c r="E2263" s="17">
        <v>180300</v>
      </c>
      <c r="F2263" s="17">
        <v>88935</v>
      </c>
      <c r="G2263" s="18">
        <v>1.9734033820390742</v>
      </c>
      <c r="H2263" s="10">
        <v>2025</v>
      </c>
    </row>
    <row r="2264" spans="1:8" hidden="1" x14ac:dyDescent="0.3">
      <c r="A2264" s="16" t="s">
        <v>68</v>
      </c>
      <c r="B2264" s="16" t="s">
        <v>199</v>
      </c>
      <c r="C2264" s="15">
        <v>8</v>
      </c>
      <c r="D2264" s="17">
        <v>91365</v>
      </c>
      <c r="E2264" s="17">
        <v>122992</v>
      </c>
      <c r="F2264" s="17">
        <v>31627</v>
      </c>
      <c r="G2264" s="18">
        <v>1.3461610025721009</v>
      </c>
      <c r="H2264" s="10">
        <v>2025</v>
      </c>
    </row>
    <row r="2265" spans="1:8" hidden="1" x14ac:dyDescent="0.3">
      <c r="A2265" s="16" t="s">
        <v>68</v>
      </c>
      <c r="B2265" s="16" t="s">
        <v>199</v>
      </c>
      <c r="C2265" s="15">
        <v>9</v>
      </c>
      <c r="D2265" s="17">
        <v>91365</v>
      </c>
      <c r="E2265" s="17">
        <v>0</v>
      </c>
      <c r="F2265" s="17">
        <v>-91365</v>
      </c>
      <c r="G2265" s="18">
        <v>0</v>
      </c>
      <c r="H2265" s="10">
        <v>2025</v>
      </c>
    </row>
    <row r="2266" spans="1:8" hidden="1" x14ac:dyDescent="0.3">
      <c r="A2266" s="16" t="s">
        <v>68</v>
      </c>
      <c r="B2266" s="16" t="s">
        <v>199</v>
      </c>
      <c r="C2266" s="15">
        <v>10</v>
      </c>
      <c r="D2266" s="17">
        <v>91365</v>
      </c>
      <c r="E2266" s="17">
        <v>185131</v>
      </c>
      <c r="F2266" s="17">
        <v>93766</v>
      </c>
      <c r="G2266" s="18">
        <v>2.0262792097630387</v>
      </c>
      <c r="H2266" s="10">
        <v>2025</v>
      </c>
    </row>
    <row r="2267" spans="1:8" hidden="1" x14ac:dyDescent="0.3">
      <c r="A2267" s="16" t="s">
        <v>68</v>
      </c>
      <c r="B2267" s="16" t="s">
        <v>200</v>
      </c>
      <c r="C2267" s="15">
        <v>1</v>
      </c>
      <c r="D2267" s="17">
        <v>20228037</v>
      </c>
      <c r="E2267" s="17">
        <v>21878839</v>
      </c>
      <c r="F2267" s="17">
        <v>1650802</v>
      </c>
      <c r="G2267" s="18">
        <v>1.0816095995869497</v>
      </c>
      <c r="H2267" s="10">
        <v>2025</v>
      </c>
    </row>
    <row r="2268" spans="1:8" hidden="1" x14ac:dyDescent="0.3">
      <c r="A2268" s="16" t="s">
        <v>68</v>
      </c>
      <c r="B2268" s="16" t="s">
        <v>200</v>
      </c>
      <c r="C2268" s="15">
        <v>2</v>
      </c>
      <c r="D2268" s="17">
        <v>22015269</v>
      </c>
      <c r="E2268" s="17">
        <v>22147673</v>
      </c>
      <c r="F2268" s="17">
        <v>132404</v>
      </c>
      <c r="G2268" s="18">
        <v>1.0060141895154677</v>
      </c>
      <c r="H2268" s="10">
        <v>2025</v>
      </c>
    </row>
    <row r="2269" spans="1:8" hidden="1" x14ac:dyDescent="0.3">
      <c r="A2269" s="16" t="s">
        <v>68</v>
      </c>
      <c r="B2269" s="16" t="s">
        <v>200</v>
      </c>
      <c r="C2269" s="15">
        <v>3</v>
      </c>
      <c r="D2269" s="17">
        <v>19691930</v>
      </c>
      <c r="E2269" s="17">
        <v>18508118</v>
      </c>
      <c r="F2269" s="17">
        <v>-1183812</v>
      </c>
      <c r="G2269" s="18">
        <v>0.9398833938572807</v>
      </c>
      <c r="H2269" s="10">
        <v>2025</v>
      </c>
    </row>
    <row r="2270" spans="1:8" hidden="1" x14ac:dyDescent="0.3">
      <c r="A2270" s="16" t="s">
        <v>68</v>
      </c>
      <c r="B2270" s="16" t="s">
        <v>200</v>
      </c>
      <c r="C2270" s="15">
        <v>4</v>
      </c>
      <c r="D2270" s="17">
        <v>25140846</v>
      </c>
      <c r="E2270" s="17">
        <v>22453083</v>
      </c>
      <c r="F2270" s="17">
        <v>-2687763</v>
      </c>
      <c r="G2270" s="18">
        <v>0.89309178378484166</v>
      </c>
      <c r="H2270" s="10">
        <v>2025</v>
      </c>
    </row>
    <row r="2271" spans="1:8" hidden="1" x14ac:dyDescent="0.3">
      <c r="A2271" s="16" t="s">
        <v>68</v>
      </c>
      <c r="B2271" s="16" t="s">
        <v>200</v>
      </c>
      <c r="C2271" s="15">
        <v>5</v>
      </c>
      <c r="D2271" s="17">
        <v>25612856</v>
      </c>
      <c r="E2271" s="17">
        <v>23888668</v>
      </c>
      <c r="F2271" s="17">
        <v>-1724188</v>
      </c>
      <c r="G2271" s="18">
        <v>0.93268271215049192</v>
      </c>
      <c r="H2271" s="10">
        <v>2025</v>
      </c>
    </row>
    <row r="2272" spans="1:8" hidden="1" x14ac:dyDescent="0.3">
      <c r="A2272" s="16" t="s">
        <v>68</v>
      </c>
      <c r="B2272" s="16" t="s">
        <v>200</v>
      </c>
      <c r="C2272" s="15">
        <v>6</v>
      </c>
      <c r="D2272" s="17">
        <v>24834604</v>
      </c>
      <c r="E2272" s="17">
        <v>29909071</v>
      </c>
      <c r="F2272" s="17">
        <v>5074467</v>
      </c>
      <c r="G2272" s="18">
        <v>1.2043304978811016</v>
      </c>
      <c r="H2272" s="10">
        <v>2025</v>
      </c>
    </row>
    <row r="2273" spans="1:8" hidden="1" x14ac:dyDescent="0.3">
      <c r="A2273" s="16" t="s">
        <v>68</v>
      </c>
      <c r="B2273" s="16" t="s">
        <v>200</v>
      </c>
      <c r="C2273" s="15">
        <v>7</v>
      </c>
      <c r="D2273" s="17">
        <v>25059663</v>
      </c>
      <c r="E2273" s="17">
        <v>29771798</v>
      </c>
      <c r="F2273" s="17">
        <v>4712135</v>
      </c>
      <c r="G2273" s="18">
        <v>1.1880366467817225</v>
      </c>
      <c r="H2273" s="10">
        <v>2025</v>
      </c>
    </row>
    <row r="2274" spans="1:8" hidden="1" x14ac:dyDescent="0.3">
      <c r="A2274" s="16" t="s">
        <v>68</v>
      </c>
      <c r="B2274" s="16" t="s">
        <v>200</v>
      </c>
      <c r="C2274" s="15">
        <v>8</v>
      </c>
      <c r="D2274" s="17">
        <v>26086401</v>
      </c>
      <c r="E2274" s="17">
        <v>29606954</v>
      </c>
      <c r="F2274" s="17">
        <v>3520553</v>
      </c>
      <c r="G2274" s="18">
        <v>1.1349574055846186</v>
      </c>
      <c r="H2274" s="10">
        <v>2025</v>
      </c>
    </row>
    <row r="2275" spans="1:8" hidden="1" x14ac:dyDescent="0.3">
      <c r="A2275" s="16" t="s">
        <v>68</v>
      </c>
      <c r="B2275" s="16" t="s">
        <v>200</v>
      </c>
      <c r="C2275" s="15">
        <v>9</v>
      </c>
      <c r="D2275" s="17">
        <v>25523886</v>
      </c>
      <c r="E2275" s="17">
        <v>28299280</v>
      </c>
      <c r="F2275" s="17">
        <v>2775394</v>
      </c>
      <c r="G2275" s="18">
        <v>1.1087371256868959</v>
      </c>
      <c r="H2275" s="10">
        <v>2025</v>
      </c>
    </row>
    <row r="2276" spans="1:8" hidden="1" x14ac:dyDescent="0.3">
      <c r="A2276" s="16" t="s">
        <v>68</v>
      </c>
      <c r="B2276" s="16" t="s">
        <v>200</v>
      </c>
      <c r="C2276" s="15">
        <v>10</v>
      </c>
      <c r="D2276" s="17">
        <v>25066912</v>
      </c>
      <c r="E2276" s="17">
        <v>26110363</v>
      </c>
      <c r="F2276" s="17">
        <v>1043451</v>
      </c>
      <c r="G2276" s="18">
        <v>1.0416266271649257</v>
      </c>
      <c r="H2276" s="10">
        <v>2025</v>
      </c>
    </row>
    <row r="2277" spans="1:8" hidden="1" x14ac:dyDescent="0.3">
      <c r="A2277" s="16" t="s">
        <v>68</v>
      </c>
      <c r="B2277" s="16" t="s">
        <v>201</v>
      </c>
      <c r="C2277" s="15">
        <v>1</v>
      </c>
      <c r="D2277" s="17">
        <v>5742500</v>
      </c>
      <c r="E2277" s="17">
        <v>5742500</v>
      </c>
      <c r="F2277" s="17">
        <v>0</v>
      </c>
      <c r="G2277" s="18">
        <v>1</v>
      </c>
      <c r="H2277" s="10">
        <v>2025</v>
      </c>
    </row>
    <row r="2278" spans="1:8" hidden="1" x14ac:dyDescent="0.3">
      <c r="A2278" s="16" t="s">
        <v>68</v>
      </c>
      <c r="B2278" s="16" t="s">
        <v>201</v>
      </c>
      <c r="C2278" s="15">
        <v>2</v>
      </c>
      <c r="D2278" s="17">
        <v>1652796</v>
      </c>
      <c r="E2278" s="17">
        <v>1635769</v>
      </c>
      <c r="F2278" s="17">
        <v>-17027</v>
      </c>
      <c r="G2278" s="18">
        <v>0.98969806316084985</v>
      </c>
      <c r="H2278" s="10">
        <v>2025</v>
      </c>
    </row>
    <row r="2279" spans="1:8" hidden="1" x14ac:dyDescent="0.3">
      <c r="A2279" s="16" t="s">
        <v>68</v>
      </c>
      <c r="B2279" s="16" t="s">
        <v>201</v>
      </c>
      <c r="C2279" s="15">
        <v>3</v>
      </c>
      <c r="D2279" s="17">
        <v>1494654</v>
      </c>
      <c r="E2279" s="17">
        <v>623483</v>
      </c>
      <c r="F2279" s="17">
        <v>-871171</v>
      </c>
      <c r="G2279" s="18">
        <v>0.41714202751941254</v>
      </c>
      <c r="H2279" s="10">
        <v>2025</v>
      </c>
    </row>
    <row r="2280" spans="1:8" hidden="1" x14ac:dyDescent="0.3">
      <c r="A2280" s="16" t="s">
        <v>68</v>
      </c>
      <c r="B2280" s="16" t="s">
        <v>201</v>
      </c>
      <c r="C2280" s="15">
        <v>4</v>
      </c>
      <c r="D2280" s="17">
        <v>2051260</v>
      </c>
      <c r="E2280" s="17">
        <v>1552510</v>
      </c>
      <c r="F2280" s="17">
        <v>-498750</v>
      </c>
      <c r="G2280" s="18">
        <v>0.75685676121018297</v>
      </c>
      <c r="H2280" s="10">
        <v>2025</v>
      </c>
    </row>
    <row r="2281" spans="1:8" hidden="1" x14ac:dyDescent="0.3">
      <c r="A2281" s="16" t="s">
        <v>68</v>
      </c>
      <c r="B2281" s="16" t="s">
        <v>201</v>
      </c>
      <c r="C2281" s="15">
        <v>5</v>
      </c>
      <c r="D2281" s="17">
        <v>2060185</v>
      </c>
      <c r="E2281" s="17">
        <v>1782293</v>
      </c>
      <c r="F2281" s="17">
        <v>-277892</v>
      </c>
      <c r="G2281" s="18">
        <v>0.86511308450454694</v>
      </c>
      <c r="H2281" s="10">
        <v>2025</v>
      </c>
    </row>
    <row r="2282" spans="1:8" hidden="1" x14ac:dyDescent="0.3">
      <c r="A2282" s="16" t="s">
        <v>68</v>
      </c>
      <c r="B2282" s="16" t="s">
        <v>201</v>
      </c>
      <c r="C2282" s="15">
        <v>6</v>
      </c>
      <c r="D2282" s="17">
        <v>2060185</v>
      </c>
      <c r="E2282" s="17">
        <v>2164122</v>
      </c>
      <c r="F2282" s="17">
        <v>103937</v>
      </c>
      <c r="G2282" s="18">
        <v>1.0504503236359841</v>
      </c>
      <c r="H2282" s="10">
        <v>2025</v>
      </c>
    </row>
    <row r="2283" spans="1:8" hidden="1" x14ac:dyDescent="0.3">
      <c r="A2283" s="16" t="s">
        <v>68</v>
      </c>
      <c r="B2283" s="16" t="s">
        <v>201</v>
      </c>
      <c r="C2283" s="15">
        <v>7</v>
      </c>
      <c r="D2283" s="17">
        <v>2060185</v>
      </c>
      <c r="E2283" s="17">
        <v>2143342</v>
      </c>
      <c r="F2283" s="17">
        <v>83157</v>
      </c>
      <c r="G2283" s="18">
        <v>1.0403638508192226</v>
      </c>
      <c r="H2283" s="10">
        <v>2025</v>
      </c>
    </row>
    <row r="2284" spans="1:8" hidden="1" x14ac:dyDescent="0.3">
      <c r="A2284" s="16" t="s">
        <v>68</v>
      </c>
      <c r="B2284" s="16" t="s">
        <v>201</v>
      </c>
      <c r="C2284" s="15">
        <v>8</v>
      </c>
      <c r="D2284" s="17">
        <v>2060185</v>
      </c>
      <c r="E2284" s="17">
        <v>2164500</v>
      </c>
      <c r="F2284" s="17">
        <v>104315</v>
      </c>
      <c r="G2284" s="18">
        <v>1.0506338023041621</v>
      </c>
      <c r="H2284" s="10">
        <v>2025</v>
      </c>
    </row>
    <row r="2285" spans="1:8" hidden="1" x14ac:dyDescent="0.3">
      <c r="A2285" s="16" t="s">
        <v>68</v>
      </c>
      <c r="B2285" s="16" t="s">
        <v>201</v>
      </c>
      <c r="C2285" s="15">
        <v>9</v>
      </c>
      <c r="D2285" s="17">
        <v>2060185</v>
      </c>
      <c r="E2285" s="17">
        <v>2083637</v>
      </c>
      <c r="F2285" s="17">
        <v>23452</v>
      </c>
      <c r="G2285" s="18">
        <v>1.0113834437198601</v>
      </c>
      <c r="H2285" s="10">
        <v>2025</v>
      </c>
    </row>
    <row r="2286" spans="1:8" hidden="1" x14ac:dyDescent="0.3">
      <c r="A2286" s="16" t="s">
        <v>68</v>
      </c>
      <c r="B2286" s="16" t="s">
        <v>201</v>
      </c>
      <c r="C2286" s="15">
        <v>10</v>
      </c>
      <c r="D2286" s="17">
        <v>2060185</v>
      </c>
      <c r="E2286" s="17">
        <v>1827599</v>
      </c>
      <c r="F2286" s="17">
        <v>-232586</v>
      </c>
      <c r="G2286" s="18">
        <v>0.88710431344757879</v>
      </c>
      <c r="H2286" s="10">
        <v>2025</v>
      </c>
    </row>
    <row r="2287" spans="1:8" hidden="1" x14ac:dyDescent="0.3">
      <c r="A2287" s="16" t="s">
        <v>68</v>
      </c>
      <c r="B2287" s="16" t="s">
        <v>202</v>
      </c>
      <c r="C2287" s="15">
        <v>1</v>
      </c>
      <c r="D2287" s="17">
        <v>506609</v>
      </c>
      <c r="E2287" s="17">
        <v>500170</v>
      </c>
      <c r="F2287" s="17">
        <v>-6439</v>
      </c>
      <c r="G2287" s="18">
        <v>0.98729000076982454</v>
      </c>
      <c r="H2287" s="10">
        <v>2025</v>
      </c>
    </row>
    <row r="2288" spans="1:8" hidden="1" x14ac:dyDescent="0.3">
      <c r="A2288" s="16" t="s">
        <v>68</v>
      </c>
      <c r="B2288" s="16" t="s">
        <v>202</v>
      </c>
      <c r="C2288" s="15">
        <v>2</v>
      </c>
      <c r="D2288" s="17">
        <v>555714</v>
      </c>
      <c r="E2288" s="17">
        <v>500086</v>
      </c>
      <c r="F2288" s="17">
        <v>-55628</v>
      </c>
      <c r="G2288" s="18">
        <v>0.89989814904789156</v>
      </c>
      <c r="H2288" s="10">
        <v>2025</v>
      </c>
    </row>
    <row r="2289" spans="1:8" hidden="1" x14ac:dyDescent="0.3">
      <c r="A2289" s="16" t="s">
        <v>68</v>
      </c>
      <c r="B2289" s="16" t="s">
        <v>202</v>
      </c>
      <c r="C2289" s="15">
        <v>3</v>
      </c>
      <c r="D2289" s="17">
        <v>465347</v>
      </c>
      <c r="E2289" s="17">
        <v>356276</v>
      </c>
      <c r="F2289" s="17">
        <v>-109071</v>
      </c>
      <c r="G2289" s="18">
        <v>0.76561361736510603</v>
      </c>
      <c r="H2289" s="10">
        <v>2025</v>
      </c>
    </row>
    <row r="2290" spans="1:8" hidden="1" x14ac:dyDescent="0.3">
      <c r="A2290" s="16" t="s">
        <v>68</v>
      </c>
      <c r="B2290" s="16" t="s">
        <v>202</v>
      </c>
      <c r="C2290" s="15">
        <v>4</v>
      </c>
      <c r="D2290" s="17">
        <v>627108</v>
      </c>
      <c r="E2290" s="17">
        <v>474632</v>
      </c>
      <c r="F2290" s="17">
        <v>-152476</v>
      </c>
      <c r="G2290" s="18">
        <v>0.75685846775993926</v>
      </c>
      <c r="H2290" s="10">
        <v>2025</v>
      </c>
    </row>
    <row r="2291" spans="1:8" hidden="1" x14ac:dyDescent="0.3">
      <c r="A2291" s="16" t="s">
        <v>68</v>
      </c>
      <c r="B2291" s="16" t="s">
        <v>202</v>
      </c>
      <c r="C2291" s="15">
        <v>5</v>
      </c>
      <c r="D2291" s="17">
        <v>629836</v>
      </c>
      <c r="E2291" s="17">
        <v>544880</v>
      </c>
      <c r="F2291" s="17">
        <v>-84956</v>
      </c>
      <c r="G2291" s="18">
        <v>0.86511409319251364</v>
      </c>
      <c r="H2291" s="10">
        <v>2025</v>
      </c>
    </row>
    <row r="2292" spans="1:8" hidden="1" x14ac:dyDescent="0.3">
      <c r="A2292" s="16" t="s">
        <v>68</v>
      </c>
      <c r="B2292" s="16" t="s">
        <v>202</v>
      </c>
      <c r="C2292" s="15">
        <v>6</v>
      </c>
      <c r="D2292" s="17">
        <v>629836</v>
      </c>
      <c r="E2292" s="17">
        <v>632532</v>
      </c>
      <c r="F2292" s="17">
        <v>2696</v>
      </c>
      <c r="G2292" s="18">
        <v>1.0042804793628819</v>
      </c>
      <c r="H2292" s="10">
        <v>2025</v>
      </c>
    </row>
    <row r="2293" spans="1:8" hidden="1" x14ac:dyDescent="0.3">
      <c r="A2293" s="16" t="s">
        <v>68</v>
      </c>
      <c r="B2293" s="16" t="s">
        <v>202</v>
      </c>
      <c r="C2293" s="15">
        <v>7</v>
      </c>
      <c r="D2293" s="17">
        <v>629836</v>
      </c>
      <c r="E2293" s="17">
        <v>678111</v>
      </c>
      <c r="F2293" s="17">
        <v>48275</v>
      </c>
      <c r="G2293" s="18">
        <v>1.0766469366628775</v>
      </c>
      <c r="H2293" s="10">
        <v>2025</v>
      </c>
    </row>
    <row r="2294" spans="1:8" hidden="1" x14ac:dyDescent="0.3">
      <c r="A2294" s="16" t="s">
        <v>68</v>
      </c>
      <c r="B2294" s="16" t="s">
        <v>202</v>
      </c>
      <c r="C2294" s="15">
        <v>8</v>
      </c>
      <c r="D2294" s="17">
        <v>629836</v>
      </c>
      <c r="E2294" s="17">
        <v>661728</v>
      </c>
      <c r="F2294" s="17">
        <v>31892</v>
      </c>
      <c r="G2294" s="18">
        <v>1.0506354035018641</v>
      </c>
      <c r="H2294" s="10">
        <v>2025</v>
      </c>
    </row>
    <row r="2295" spans="1:8" hidden="1" x14ac:dyDescent="0.3">
      <c r="A2295" s="16" t="s">
        <v>68</v>
      </c>
      <c r="B2295" s="16" t="s">
        <v>202</v>
      </c>
      <c r="C2295" s="15">
        <v>9</v>
      </c>
      <c r="D2295" s="17">
        <v>629836</v>
      </c>
      <c r="E2295" s="17">
        <v>637007</v>
      </c>
      <c r="F2295" s="17">
        <v>7171</v>
      </c>
      <c r="G2295" s="18">
        <v>1.0113855035279025</v>
      </c>
      <c r="H2295" s="10">
        <v>2025</v>
      </c>
    </row>
    <row r="2296" spans="1:8" hidden="1" x14ac:dyDescent="0.3">
      <c r="A2296" s="16" t="s">
        <v>68</v>
      </c>
      <c r="B2296" s="16" t="s">
        <v>202</v>
      </c>
      <c r="C2296" s="15">
        <v>10</v>
      </c>
      <c r="D2296" s="17">
        <v>629836</v>
      </c>
      <c r="E2296" s="17">
        <v>558731</v>
      </c>
      <c r="F2296" s="17">
        <v>-71105</v>
      </c>
      <c r="G2296" s="18">
        <v>0.88710553223378785</v>
      </c>
      <c r="H2296" s="10">
        <v>2025</v>
      </c>
    </row>
    <row r="2297" spans="1:8" hidden="1" x14ac:dyDescent="0.3">
      <c r="A2297" s="16" t="s">
        <v>68</v>
      </c>
      <c r="B2297" s="16" t="s">
        <v>203</v>
      </c>
      <c r="C2297" s="15">
        <v>1</v>
      </c>
      <c r="D2297" s="17">
        <v>0</v>
      </c>
      <c r="E2297" s="17">
        <v>690648</v>
      </c>
      <c r="F2297" s="17">
        <v>690648</v>
      </c>
      <c r="G2297" s="18">
        <v>0</v>
      </c>
      <c r="H2297" s="10">
        <v>2025</v>
      </c>
    </row>
    <row r="2298" spans="1:8" hidden="1" x14ac:dyDescent="0.3">
      <c r="A2298" s="16" t="s">
        <v>68</v>
      </c>
      <c r="B2298" s="16" t="s">
        <v>203</v>
      </c>
      <c r="C2298" s="15">
        <v>2</v>
      </c>
      <c r="D2298" s="17">
        <v>0</v>
      </c>
      <c r="E2298" s="17">
        <v>289158</v>
      </c>
      <c r="F2298" s="17">
        <v>289158</v>
      </c>
      <c r="G2298" s="18">
        <v>0</v>
      </c>
      <c r="H2298" s="10">
        <v>2025</v>
      </c>
    </row>
    <row r="2299" spans="1:8" hidden="1" x14ac:dyDescent="0.3">
      <c r="A2299" s="16" t="s">
        <v>68</v>
      </c>
      <c r="B2299" s="16" t="s">
        <v>203</v>
      </c>
      <c r="C2299" s="15">
        <v>3</v>
      </c>
      <c r="D2299" s="17">
        <v>679036</v>
      </c>
      <c r="E2299" s="17">
        <v>234408</v>
      </c>
      <c r="F2299" s="17">
        <v>-444628</v>
      </c>
      <c r="G2299" s="18">
        <v>0.34520702878786985</v>
      </c>
      <c r="H2299" s="10">
        <v>2025</v>
      </c>
    </row>
    <row r="2300" spans="1:8" hidden="1" x14ac:dyDescent="0.3">
      <c r="A2300" s="16" t="s">
        <v>68</v>
      </c>
      <c r="B2300" s="16" t="s">
        <v>203</v>
      </c>
      <c r="C2300" s="15">
        <v>4</v>
      </c>
      <c r="D2300" s="17">
        <v>0</v>
      </c>
      <c r="E2300" s="17">
        <v>445178</v>
      </c>
      <c r="F2300" s="17">
        <v>445178</v>
      </c>
      <c r="G2300" s="18">
        <v>0</v>
      </c>
      <c r="H2300" s="10">
        <v>2025</v>
      </c>
    </row>
    <row r="2301" spans="1:8" hidden="1" x14ac:dyDescent="0.3">
      <c r="A2301" s="16" t="s">
        <v>68</v>
      </c>
      <c r="B2301" s="16" t="s">
        <v>203</v>
      </c>
      <c r="C2301" s="15">
        <v>5</v>
      </c>
      <c r="D2301" s="17">
        <v>0</v>
      </c>
      <c r="E2301" s="17">
        <v>210770</v>
      </c>
      <c r="F2301" s="17">
        <v>210770</v>
      </c>
      <c r="G2301" s="18">
        <v>0</v>
      </c>
      <c r="H2301" s="10">
        <v>2025</v>
      </c>
    </row>
    <row r="2302" spans="1:8" hidden="1" x14ac:dyDescent="0.3">
      <c r="A2302" s="16" t="s">
        <v>68</v>
      </c>
      <c r="B2302" s="16" t="s">
        <v>203</v>
      </c>
      <c r="C2302" s="15">
        <v>6</v>
      </c>
      <c r="D2302" s="17">
        <v>0</v>
      </c>
      <c r="E2302" s="17">
        <v>362667</v>
      </c>
      <c r="F2302" s="17">
        <v>362667</v>
      </c>
      <c r="G2302" s="18">
        <v>0</v>
      </c>
      <c r="H2302" s="10">
        <v>2025</v>
      </c>
    </row>
    <row r="2303" spans="1:8" hidden="1" x14ac:dyDescent="0.3">
      <c r="A2303" s="16" t="s">
        <v>68</v>
      </c>
      <c r="B2303" s="16" t="s">
        <v>203</v>
      </c>
      <c r="C2303" s="15">
        <v>7</v>
      </c>
      <c r="D2303" s="17">
        <v>0</v>
      </c>
      <c r="E2303" s="17">
        <v>210770</v>
      </c>
      <c r="F2303" s="17">
        <v>210770</v>
      </c>
      <c r="G2303" s="18">
        <v>0</v>
      </c>
      <c r="H2303" s="10">
        <v>2025</v>
      </c>
    </row>
    <row r="2304" spans="1:8" hidden="1" x14ac:dyDescent="0.3">
      <c r="A2304" s="16" t="s">
        <v>68</v>
      </c>
      <c r="B2304" s="16" t="s">
        <v>203</v>
      </c>
      <c r="C2304" s="15">
        <v>8</v>
      </c>
      <c r="D2304" s="17">
        <v>0</v>
      </c>
      <c r="E2304" s="17">
        <v>210770</v>
      </c>
      <c r="F2304" s="17">
        <v>210770</v>
      </c>
      <c r="G2304" s="18">
        <v>0</v>
      </c>
      <c r="H2304" s="10">
        <v>2025</v>
      </c>
    </row>
    <row r="2305" spans="1:8" hidden="1" x14ac:dyDescent="0.3">
      <c r="A2305" s="16" t="s">
        <v>68</v>
      </c>
      <c r="B2305" s="16" t="s">
        <v>208</v>
      </c>
      <c r="C2305" s="15">
        <v>1</v>
      </c>
      <c r="D2305" s="17">
        <v>0</v>
      </c>
      <c r="E2305" s="17">
        <v>65790</v>
      </c>
      <c r="F2305" s="17">
        <v>65790</v>
      </c>
      <c r="G2305" s="18">
        <v>0</v>
      </c>
      <c r="H2305" s="10">
        <v>2025</v>
      </c>
    </row>
    <row r="2306" spans="1:8" hidden="1" x14ac:dyDescent="0.3">
      <c r="A2306" s="16" t="s">
        <v>68</v>
      </c>
      <c r="B2306" s="16" t="s">
        <v>208</v>
      </c>
      <c r="C2306" s="15">
        <v>4</v>
      </c>
      <c r="D2306" s="17">
        <v>0</v>
      </c>
      <c r="E2306" s="17">
        <v>195690</v>
      </c>
      <c r="F2306" s="17">
        <v>195690</v>
      </c>
      <c r="G2306" s="18">
        <v>0</v>
      </c>
      <c r="H2306" s="10">
        <v>2025</v>
      </c>
    </row>
    <row r="2307" spans="1:8" hidden="1" x14ac:dyDescent="0.3">
      <c r="A2307" s="16" t="s">
        <v>68</v>
      </c>
      <c r="B2307" s="16" t="s">
        <v>181</v>
      </c>
      <c r="C2307" s="15">
        <v>11</v>
      </c>
      <c r="D2307" s="17">
        <v>821776</v>
      </c>
      <c r="E2307" s="17">
        <v>859274</v>
      </c>
      <c r="F2307" s="17">
        <v>37498</v>
      </c>
      <c r="G2307" s="18">
        <v>1.0456304394384845</v>
      </c>
      <c r="H2307" s="10">
        <v>2025</v>
      </c>
    </row>
    <row r="2308" spans="1:8" hidden="1" x14ac:dyDescent="0.3">
      <c r="A2308" s="16" t="s">
        <v>68</v>
      </c>
      <c r="B2308" s="16" t="s">
        <v>178</v>
      </c>
      <c r="C2308" s="15">
        <v>11</v>
      </c>
      <c r="D2308" s="17">
        <v>0</v>
      </c>
      <c r="E2308" s="17">
        <v>1648887</v>
      </c>
      <c r="F2308" s="17">
        <v>1648887</v>
      </c>
      <c r="G2308" s="18">
        <v>0</v>
      </c>
      <c r="H2308" s="10">
        <v>2025</v>
      </c>
    </row>
    <row r="2309" spans="1:8" hidden="1" x14ac:dyDescent="0.3">
      <c r="A2309" s="16" t="s">
        <v>68</v>
      </c>
      <c r="B2309" s="16" t="s">
        <v>208</v>
      </c>
      <c r="C2309" s="15">
        <v>11</v>
      </c>
      <c r="D2309" s="17">
        <v>0</v>
      </c>
      <c r="E2309" s="17">
        <v>164334</v>
      </c>
      <c r="F2309" s="17">
        <v>164334</v>
      </c>
      <c r="G2309" s="18">
        <v>0</v>
      </c>
      <c r="H2309" s="10">
        <v>2025</v>
      </c>
    </row>
    <row r="2310" spans="1:8" hidden="1" x14ac:dyDescent="0.3">
      <c r="A2310" s="16" t="s">
        <v>68</v>
      </c>
      <c r="B2310" s="16" t="s">
        <v>189</v>
      </c>
      <c r="C2310" s="15">
        <v>11</v>
      </c>
      <c r="D2310" s="17">
        <v>503123</v>
      </c>
      <c r="E2310" s="17">
        <v>0</v>
      </c>
      <c r="F2310" s="17">
        <v>-503123</v>
      </c>
      <c r="G2310" s="18">
        <v>0</v>
      </c>
      <c r="H2310" s="10">
        <v>2025</v>
      </c>
    </row>
    <row r="2311" spans="1:8" hidden="1" x14ac:dyDescent="0.3">
      <c r="A2311" s="16" t="s">
        <v>68</v>
      </c>
      <c r="B2311" s="16" t="s">
        <v>199</v>
      </c>
      <c r="C2311" s="15">
        <v>11</v>
      </c>
      <c r="D2311" s="17">
        <v>91365</v>
      </c>
      <c r="E2311" s="17">
        <v>0</v>
      </c>
      <c r="F2311" s="17">
        <v>-91365</v>
      </c>
      <c r="G2311" s="18">
        <v>0</v>
      </c>
      <c r="H2311" s="10">
        <v>2025</v>
      </c>
    </row>
    <row r="2312" spans="1:8" hidden="1" x14ac:dyDescent="0.3">
      <c r="A2312" s="16" t="s">
        <v>68</v>
      </c>
      <c r="B2312" s="16" t="s">
        <v>205</v>
      </c>
      <c r="C2312" s="15">
        <v>11</v>
      </c>
      <c r="D2312" s="17">
        <v>520266</v>
      </c>
      <c r="E2312" s="17">
        <v>928924</v>
      </c>
      <c r="F2312" s="17">
        <v>408658</v>
      </c>
      <c r="G2312" s="18">
        <v>1.7854789665286603</v>
      </c>
      <c r="H2312" s="10">
        <v>2025</v>
      </c>
    </row>
    <row r="2313" spans="1:8" hidden="1" x14ac:dyDescent="0.3">
      <c r="A2313" s="16" t="s">
        <v>68</v>
      </c>
      <c r="B2313" s="16" t="s">
        <v>182</v>
      </c>
      <c r="C2313" s="15">
        <v>11</v>
      </c>
      <c r="D2313" s="17">
        <v>98613</v>
      </c>
      <c r="E2313" s="17">
        <v>103154</v>
      </c>
      <c r="F2313" s="17">
        <v>4541</v>
      </c>
      <c r="G2313" s="18">
        <v>1.046048695405271</v>
      </c>
      <c r="H2313" s="10">
        <v>2025</v>
      </c>
    </row>
    <row r="2314" spans="1:8" hidden="1" x14ac:dyDescent="0.3">
      <c r="A2314" s="16" t="s">
        <v>68</v>
      </c>
      <c r="B2314" s="16" t="s">
        <v>187</v>
      </c>
      <c r="C2314" s="15">
        <v>11</v>
      </c>
      <c r="D2314" s="17">
        <v>364666.5</v>
      </c>
      <c r="E2314" s="17">
        <v>357223</v>
      </c>
      <c r="F2314" s="17">
        <v>-7443.5</v>
      </c>
      <c r="G2314" s="18">
        <v>0.97958819908052974</v>
      </c>
      <c r="H2314" s="10">
        <v>2025</v>
      </c>
    </row>
    <row r="2315" spans="1:8" hidden="1" x14ac:dyDescent="0.3">
      <c r="A2315" s="16" t="s">
        <v>68</v>
      </c>
      <c r="B2315" s="16" t="s">
        <v>202</v>
      </c>
      <c r="C2315" s="15">
        <v>11</v>
      </c>
      <c r="D2315" s="17">
        <v>629836</v>
      </c>
      <c r="E2315" s="17">
        <v>556105</v>
      </c>
      <c r="F2315" s="17">
        <v>-73731</v>
      </c>
      <c r="G2315" s="18">
        <v>0.88293619291371095</v>
      </c>
      <c r="H2315" s="10">
        <v>2025</v>
      </c>
    </row>
    <row r="2316" spans="1:8" hidden="1" x14ac:dyDescent="0.3">
      <c r="A2316" s="16" t="s">
        <v>68</v>
      </c>
      <c r="B2316" s="16" t="s">
        <v>185</v>
      </c>
      <c r="C2316" s="15">
        <v>11</v>
      </c>
      <c r="D2316" s="17">
        <v>127860</v>
      </c>
      <c r="E2316" s="17">
        <v>131036</v>
      </c>
      <c r="F2316" s="17">
        <v>3176</v>
      </c>
      <c r="G2316" s="18">
        <v>1.0248396683872987</v>
      </c>
      <c r="H2316" s="10">
        <v>2025</v>
      </c>
    </row>
    <row r="2317" spans="1:8" hidden="1" x14ac:dyDescent="0.3">
      <c r="A2317" s="16" t="s">
        <v>68</v>
      </c>
      <c r="B2317" s="16" t="s">
        <v>192</v>
      </c>
      <c r="C2317" s="15">
        <v>11</v>
      </c>
      <c r="D2317" s="17">
        <v>231631</v>
      </c>
      <c r="E2317" s="17">
        <v>303400</v>
      </c>
      <c r="F2317" s="17">
        <v>71769</v>
      </c>
      <c r="G2317" s="18">
        <v>1.3098419468896652</v>
      </c>
      <c r="H2317" s="10">
        <v>2025</v>
      </c>
    </row>
    <row r="2318" spans="1:8" hidden="1" x14ac:dyDescent="0.3">
      <c r="A2318" s="16" t="s">
        <v>68</v>
      </c>
      <c r="B2318" s="16" t="s">
        <v>195</v>
      </c>
      <c r="C2318" s="15">
        <v>11</v>
      </c>
      <c r="D2318" s="17">
        <v>370610</v>
      </c>
      <c r="E2318" s="17">
        <v>446000</v>
      </c>
      <c r="F2318" s="17">
        <v>75390</v>
      </c>
      <c r="G2318" s="18">
        <v>1.2034213863630232</v>
      </c>
      <c r="H2318" s="10">
        <v>2025</v>
      </c>
    </row>
    <row r="2319" spans="1:8" hidden="1" x14ac:dyDescent="0.3">
      <c r="A2319" s="16" t="s">
        <v>68</v>
      </c>
      <c r="B2319" s="16" t="s">
        <v>194</v>
      </c>
      <c r="C2319" s="15">
        <v>11</v>
      </c>
      <c r="D2319" s="17">
        <v>1111831</v>
      </c>
      <c r="E2319" s="17">
        <v>1352000</v>
      </c>
      <c r="F2319" s="17">
        <v>240169</v>
      </c>
      <c r="G2319" s="18">
        <v>1.2160121457307811</v>
      </c>
      <c r="H2319" s="10">
        <v>2025</v>
      </c>
    </row>
    <row r="2320" spans="1:8" hidden="1" x14ac:dyDescent="0.3">
      <c r="A2320" s="16" t="s">
        <v>68</v>
      </c>
      <c r="B2320" s="16" t="s">
        <v>186</v>
      </c>
      <c r="C2320" s="15">
        <v>11</v>
      </c>
      <c r="D2320" s="17">
        <v>1192818</v>
      </c>
      <c r="E2320" s="17">
        <v>1168466</v>
      </c>
      <c r="F2320" s="17">
        <v>-24352</v>
      </c>
      <c r="G2320" s="18">
        <v>0.97958447977813889</v>
      </c>
      <c r="H2320" s="10">
        <v>2025</v>
      </c>
    </row>
    <row r="2321" spans="1:8" hidden="1" x14ac:dyDescent="0.3">
      <c r="A2321" s="16" t="s">
        <v>68</v>
      </c>
      <c r="B2321" s="16" t="s">
        <v>201</v>
      </c>
      <c r="C2321" s="15">
        <v>11</v>
      </c>
      <c r="D2321" s="17">
        <v>2060185</v>
      </c>
      <c r="E2321" s="17">
        <v>1819008</v>
      </c>
      <c r="F2321" s="17">
        <v>-241177</v>
      </c>
      <c r="G2321" s="18">
        <v>0.88293429958960001</v>
      </c>
      <c r="H2321" s="10">
        <v>2025</v>
      </c>
    </row>
    <row r="2322" spans="1:8" hidden="1" x14ac:dyDescent="0.3">
      <c r="A2322" s="16" t="s">
        <v>68</v>
      </c>
      <c r="B2322" s="16" t="s">
        <v>200</v>
      </c>
      <c r="C2322" s="15">
        <v>11</v>
      </c>
      <c r="D2322" s="17">
        <v>25944814</v>
      </c>
      <c r="E2322" s="17">
        <v>26464762</v>
      </c>
      <c r="F2322" s="17">
        <v>519948</v>
      </c>
      <c r="G2322" s="18">
        <v>1.0200405368101695</v>
      </c>
      <c r="H2322" s="10">
        <v>2025</v>
      </c>
    </row>
    <row r="2323" spans="1:8" hidden="1" x14ac:dyDescent="0.3">
      <c r="A2323" s="16" t="s">
        <v>68</v>
      </c>
      <c r="B2323" s="16" t="s">
        <v>183</v>
      </c>
      <c r="C2323" s="15">
        <v>11</v>
      </c>
      <c r="D2323" s="17">
        <v>821776</v>
      </c>
      <c r="E2323" s="17">
        <v>859274</v>
      </c>
      <c r="F2323" s="17">
        <v>37498</v>
      </c>
      <c r="G2323" s="18">
        <v>1.0456304394384845</v>
      </c>
      <c r="H2323" s="10">
        <v>2025</v>
      </c>
    </row>
    <row r="2324" spans="1:8" hidden="1" x14ac:dyDescent="0.3">
      <c r="A2324" s="16" t="s">
        <v>68</v>
      </c>
      <c r="B2324" s="16" t="s">
        <v>203</v>
      </c>
      <c r="C2324" s="15">
        <v>11</v>
      </c>
      <c r="D2324" s="17">
        <v>0</v>
      </c>
      <c r="E2324" s="17">
        <v>421540</v>
      </c>
      <c r="F2324" s="17">
        <v>421540</v>
      </c>
      <c r="G2324" s="18">
        <v>0</v>
      </c>
      <c r="H2324" s="10">
        <v>2025</v>
      </c>
    </row>
    <row r="2325" spans="1:8" hidden="1" x14ac:dyDescent="0.3">
      <c r="A2325" s="16" t="s">
        <v>68</v>
      </c>
      <c r="B2325" s="16" t="s">
        <v>206</v>
      </c>
      <c r="C2325" s="15">
        <v>11</v>
      </c>
      <c r="D2325" s="17">
        <v>600000</v>
      </c>
      <c r="E2325" s="17">
        <v>820000</v>
      </c>
      <c r="F2325" s="17">
        <v>220000</v>
      </c>
      <c r="G2325" s="18">
        <v>1.3666666666666667</v>
      </c>
      <c r="H2325" s="10">
        <v>2025</v>
      </c>
    </row>
    <row r="2326" spans="1:8" hidden="1" x14ac:dyDescent="0.3">
      <c r="A2326" s="16" t="s">
        <v>68</v>
      </c>
      <c r="B2326" s="16" t="s">
        <v>177</v>
      </c>
      <c r="C2326" s="15">
        <v>11</v>
      </c>
      <c r="D2326" s="17">
        <v>8745000</v>
      </c>
      <c r="E2326" s="17">
        <v>8005000</v>
      </c>
      <c r="F2326" s="17">
        <v>-740000</v>
      </c>
      <c r="G2326" s="18">
        <v>0.9153802172670098</v>
      </c>
      <c r="H2326" s="10">
        <v>2025</v>
      </c>
    </row>
    <row r="2327" spans="1:8" hidden="1" x14ac:dyDescent="0.3">
      <c r="A2327" s="16" t="s">
        <v>68</v>
      </c>
      <c r="B2327" s="16" t="s">
        <v>184</v>
      </c>
      <c r="C2327" s="15">
        <v>11</v>
      </c>
      <c r="D2327" s="17">
        <v>386361</v>
      </c>
      <c r="E2327" s="17">
        <v>395960</v>
      </c>
      <c r="F2327" s="17">
        <v>9599</v>
      </c>
      <c r="G2327" s="18">
        <v>1.024844640116368</v>
      </c>
      <c r="H2327" s="10">
        <v>2025</v>
      </c>
    </row>
    <row r="2328" spans="1:8" hidden="1" x14ac:dyDescent="0.3">
      <c r="A2328" s="16" t="s">
        <v>68</v>
      </c>
      <c r="B2328" s="16" t="s">
        <v>177</v>
      </c>
      <c r="C2328" s="15">
        <v>12</v>
      </c>
      <c r="D2328" s="17">
        <v>8745000</v>
      </c>
      <c r="E2328" s="17">
        <v>8621666</v>
      </c>
      <c r="F2328" s="17">
        <v>-123334</v>
      </c>
      <c r="G2328" s="18">
        <v>0.98589662664379651</v>
      </c>
      <c r="H2328" s="10">
        <v>2025</v>
      </c>
    </row>
    <row r="2329" spans="1:8" hidden="1" x14ac:dyDescent="0.3">
      <c r="A2329" s="16" t="s">
        <v>68</v>
      </c>
      <c r="B2329" s="16" t="s">
        <v>178</v>
      </c>
      <c r="C2329" s="15">
        <v>12</v>
      </c>
      <c r="D2329" s="17">
        <v>0</v>
      </c>
      <c r="E2329" s="17">
        <v>1423500</v>
      </c>
      <c r="F2329" s="17">
        <v>1423500</v>
      </c>
      <c r="G2329" s="18">
        <v>0</v>
      </c>
      <c r="H2329" s="10">
        <v>2025</v>
      </c>
    </row>
    <row r="2330" spans="1:8" hidden="1" x14ac:dyDescent="0.3">
      <c r="A2330" s="16" t="s">
        <v>68</v>
      </c>
      <c r="B2330" s="16" t="s">
        <v>205</v>
      </c>
      <c r="C2330" s="15">
        <v>12</v>
      </c>
      <c r="D2330" s="17">
        <v>405154</v>
      </c>
      <c r="E2330" s="17">
        <v>1122381</v>
      </c>
      <c r="F2330" s="17">
        <v>717227</v>
      </c>
      <c r="G2330" s="18">
        <v>2.7702577291597765</v>
      </c>
      <c r="H2330" s="10">
        <v>2025</v>
      </c>
    </row>
    <row r="2331" spans="1:8" hidden="1" x14ac:dyDescent="0.3">
      <c r="A2331" s="16" t="s">
        <v>68</v>
      </c>
      <c r="B2331" s="16" t="s">
        <v>179</v>
      </c>
      <c r="C2331" s="15">
        <v>12</v>
      </c>
      <c r="D2331" s="17">
        <v>0</v>
      </c>
      <c r="E2331" s="17">
        <v>94900</v>
      </c>
      <c r="F2331" s="17">
        <v>94900</v>
      </c>
      <c r="G2331" s="18">
        <v>0</v>
      </c>
      <c r="H2331" s="10">
        <v>2025</v>
      </c>
    </row>
    <row r="2332" spans="1:8" hidden="1" x14ac:dyDescent="0.3">
      <c r="A2332" s="16" t="s">
        <v>68</v>
      </c>
      <c r="B2332" s="16" t="s">
        <v>206</v>
      </c>
      <c r="C2332" s="15">
        <v>12</v>
      </c>
      <c r="D2332" s="17">
        <v>600000</v>
      </c>
      <c r="E2332" s="17">
        <v>733334</v>
      </c>
      <c r="F2332" s="17">
        <v>133334</v>
      </c>
      <c r="G2332" s="18">
        <v>1.2222233333333334</v>
      </c>
      <c r="H2332" s="10">
        <v>2025</v>
      </c>
    </row>
    <row r="2333" spans="1:8" hidden="1" x14ac:dyDescent="0.3">
      <c r="A2333" s="16" t="s">
        <v>68</v>
      </c>
      <c r="B2333" s="16" t="s">
        <v>181</v>
      </c>
      <c r="C2333" s="15">
        <v>12</v>
      </c>
      <c r="D2333" s="17">
        <v>812187</v>
      </c>
      <c r="E2333" s="17">
        <v>988725</v>
      </c>
      <c r="F2333" s="17">
        <v>176538</v>
      </c>
      <c r="G2333" s="18">
        <v>1.2173612727118264</v>
      </c>
      <c r="H2333" s="10">
        <v>2025</v>
      </c>
    </row>
    <row r="2334" spans="1:8" hidden="1" x14ac:dyDescent="0.3">
      <c r="A2334" s="16" t="s">
        <v>68</v>
      </c>
      <c r="B2334" s="16" t="s">
        <v>182</v>
      </c>
      <c r="C2334" s="15">
        <v>12</v>
      </c>
      <c r="D2334" s="17">
        <v>97462</v>
      </c>
      <c r="E2334" s="17">
        <v>115893</v>
      </c>
      <c r="F2334" s="17">
        <v>18431</v>
      </c>
      <c r="G2334" s="18">
        <v>1.1891096016909155</v>
      </c>
      <c r="H2334" s="10">
        <v>2025</v>
      </c>
    </row>
    <row r="2335" spans="1:8" hidden="1" x14ac:dyDescent="0.3">
      <c r="A2335" s="16" t="s">
        <v>68</v>
      </c>
      <c r="B2335" s="16" t="s">
        <v>183</v>
      </c>
      <c r="C2335" s="15">
        <v>12</v>
      </c>
      <c r="D2335" s="17">
        <v>812187</v>
      </c>
      <c r="E2335" s="17">
        <v>897753</v>
      </c>
      <c r="F2335" s="17">
        <v>85566</v>
      </c>
      <c r="G2335" s="18">
        <v>1.1053525850573822</v>
      </c>
      <c r="H2335" s="10">
        <v>2025</v>
      </c>
    </row>
    <row r="2336" spans="1:8" hidden="1" x14ac:dyDescent="0.3">
      <c r="A2336" s="16" t="s">
        <v>68</v>
      </c>
      <c r="B2336" s="16" t="s">
        <v>184</v>
      </c>
      <c r="C2336" s="15">
        <v>12</v>
      </c>
      <c r="D2336" s="17">
        <v>381561</v>
      </c>
      <c r="E2336" s="17">
        <v>-3348273</v>
      </c>
      <c r="F2336" s="17">
        <v>-3729834</v>
      </c>
      <c r="G2336" s="18">
        <v>-8.7751971506521897</v>
      </c>
      <c r="H2336" s="10">
        <v>2025</v>
      </c>
    </row>
    <row r="2337" spans="1:8" hidden="1" x14ac:dyDescent="0.3">
      <c r="A2337" s="16" t="s">
        <v>68</v>
      </c>
      <c r="B2337" s="16" t="s">
        <v>185</v>
      </c>
      <c r="C2337" s="15">
        <v>12</v>
      </c>
      <c r="D2337" s="17">
        <v>126272</v>
      </c>
      <c r="E2337" s="17">
        <v>135777</v>
      </c>
      <c r="F2337" s="17">
        <v>9505</v>
      </c>
      <c r="G2337" s="18">
        <v>1.0752740116573747</v>
      </c>
      <c r="H2337" s="10">
        <v>2025</v>
      </c>
    </row>
    <row r="2338" spans="1:8" hidden="1" x14ac:dyDescent="0.3">
      <c r="A2338" s="16" t="s">
        <v>68</v>
      </c>
      <c r="B2338" s="16" t="s">
        <v>186</v>
      </c>
      <c r="C2338" s="15">
        <v>12</v>
      </c>
      <c r="D2338" s="17">
        <v>1192818</v>
      </c>
      <c r="E2338" s="17">
        <v>-3166045</v>
      </c>
      <c r="F2338" s="17">
        <v>-4358863</v>
      </c>
      <c r="G2338" s="18">
        <v>-2.6542565588379787</v>
      </c>
      <c r="H2338" s="10">
        <v>2025</v>
      </c>
    </row>
    <row r="2339" spans="1:8" hidden="1" x14ac:dyDescent="0.3">
      <c r="A2339" s="16" t="s">
        <v>68</v>
      </c>
      <c r="B2339" s="16" t="s">
        <v>187</v>
      </c>
      <c r="C2339" s="15">
        <v>12</v>
      </c>
      <c r="D2339" s="17">
        <v>364666.5</v>
      </c>
      <c r="E2339" s="17">
        <v>402737</v>
      </c>
      <c r="F2339" s="17">
        <v>38070.5</v>
      </c>
      <c r="G2339" s="18">
        <v>1.1043981281527095</v>
      </c>
      <c r="H2339" s="10">
        <v>2025</v>
      </c>
    </row>
    <row r="2340" spans="1:8" hidden="1" x14ac:dyDescent="0.3">
      <c r="A2340" s="16" t="s">
        <v>68</v>
      </c>
      <c r="B2340" s="16" t="s">
        <v>188</v>
      </c>
      <c r="C2340" s="15">
        <v>12</v>
      </c>
      <c r="D2340" s="17">
        <v>523061</v>
      </c>
      <c r="E2340" s="17">
        <v>509665</v>
      </c>
      <c r="F2340" s="17">
        <v>-13396</v>
      </c>
      <c r="G2340" s="18">
        <v>0.97438922037773801</v>
      </c>
      <c r="H2340" s="10">
        <v>2025</v>
      </c>
    </row>
    <row r="2341" spans="1:8" hidden="1" x14ac:dyDescent="0.3">
      <c r="A2341" s="16" t="s">
        <v>68</v>
      </c>
      <c r="B2341" s="16" t="s">
        <v>189</v>
      </c>
      <c r="C2341" s="15">
        <v>12</v>
      </c>
      <c r="D2341" s="17">
        <v>503123</v>
      </c>
      <c r="E2341" s="17">
        <v>191446</v>
      </c>
      <c r="F2341" s="17">
        <v>-311677</v>
      </c>
      <c r="G2341" s="18">
        <v>0.38051530142728518</v>
      </c>
      <c r="H2341" s="10">
        <v>2025</v>
      </c>
    </row>
    <row r="2342" spans="1:8" hidden="1" x14ac:dyDescent="0.3">
      <c r="A2342" s="16" t="s">
        <v>68</v>
      </c>
      <c r="B2342" s="16" t="s">
        <v>192</v>
      </c>
      <c r="C2342" s="15">
        <v>12</v>
      </c>
      <c r="D2342" s="17">
        <v>228753</v>
      </c>
      <c r="E2342" s="17">
        <v>296950</v>
      </c>
      <c r="F2342" s="17">
        <v>68197</v>
      </c>
      <c r="G2342" s="18">
        <v>1.2981250519118877</v>
      </c>
      <c r="H2342" s="10">
        <v>2025</v>
      </c>
    </row>
    <row r="2343" spans="1:8" hidden="1" x14ac:dyDescent="0.3">
      <c r="A2343" s="16" t="s">
        <v>68</v>
      </c>
      <c r="B2343" s="16" t="s">
        <v>194</v>
      </c>
      <c r="C2343" s="15">
        <v>12</v>
      </c>
      <c r="D2343" s="17">
        <v>1098018</v>
      </c>
      <c r="E2343" s="17">
        <v>1360500</v>
      </c>
      <c r="F2343" s="17">
        <v>262482</v>
      </c>
      <c r="G2343" s="18">
        <v>1.2390507259443835</v>
      </c>
      <c r="H2343" s="10">
        <v>2025</v>
      </c>
    </row>
    <row r="2344" spans="1:8" hidden="1" x14ac:dyDescent="0.3">
      <c r="A2344" s="16" t="s">
        <v>68</v>
      </c>
      <c r="B2344" s="16" t="s">
        <v>195</v>
      </c>
      <c r="C2344" s="15">
        <v>12</v>
      </c>
      <c r="D2344" s="17">
        <v>366006</v>
      </c>
      <c r="E2344" s="17">
        <v>447050</v>
      </c>
      <c r="F2344" s="17">
        <v>81044</v>
      </c>
      <c r="G2344" s="18">
        <v>1.2214280640208084</v>
      </c>
      <c r="H2344" s="10">
        <v>2025</v>
      </c>
    </row>
    <row r="2345" spans="1:8" hidden="1" x14ac:dyDescent="0.3">
      <c r="A2345" s="16" t="s">
        <v>68</v>
      </c>
      <c r="B2345" s="16" t="s">
        <v>199</v>
      </c>
      <c r="C2345" s="15">
        <v>12</v>
      </c>
      <c r="D2345" s="17">
        <v>91365</v>
      </c>
      <c r="E2345" s="17">
        <v>141340</v>
      </c>
      <c r="F2345" s="17">
        <v>49975</v>
      </c>
      <c r="G2345" s="18">
        <v>1.5469818858425</v>
      </c>
      <c r="H2345" s="10">
        <v>2025</v>
      </c>
    </row>
    <row r="2346" spans="1:8" hidden="1" x14ac:dyDescent="0.3">
      <c r="A2346" s="16" t="s">
        <v>68</v>
      </c>
      <c r="B2346" s="16" t="s">
        <v>200</v>
      </c>
      <c r="C2346" s="15">
        <v>12</v>
      </c>
      <c r="D2346" s="17">
        <v>25648158</v>
      </c>
      <c r="E2346" s="17">
        <v>24411096</v>
      </c>
      <c r="F2346" s="17">
        <v>-1237062</v>
      </c>
      <c r="G2346" s="18">
        <v>0.9517679983100541</v>
      </c>
      <c r="H2346" s="10">
        <v>2025</v>
      </c>
    </row>
    <row r="2347" spans="1:8" hidden="1" x14ac:dyDescent="0.3">
      <c r="A2347" s="16" t="s">
        <v>68</v>
      </c>
      <c r="B2347" s="16" t="s">
        <v>201</v>
      </c>
      <c r="C2347" s="15">
        <v>12</v>
      </c>
      <c r="D2347" s="17">
        <v>2060185</v>
      </c>
      <c r="E2347" s="17">
        <v>-3859291</v>
      </c>
      <c r="F2347" s="17">
        <v>-5919476</v>
      </c>
      <c r="G2347" s="18">
        <v>-1.8732740020920453</v>
      </c>
      <c r="H2347" s="10">
        <v>2025</v>
      </c>
    </row>
    <row r="2348" spans="1:8" hidden="1" x14ac:dyDescent="0.3">
      <c r="A2348" s="16" t="s">
        <v>68</v>
      </c>
      <c r="B2348" s="16" t="s">
        <v>202</v>
      </c>
      <c r="C2348" s="15">
        <v>12</v>
      </c>
      <c r="D2348" s="17">
        <v>629836</v>
      </c>
      <c r="E2348" s="17">
        <v>-707333</v>
      </c>
      <c r="F2348" s="17">
        <v>-1337169</v>
      </c>
      <c r="G2348" s="18">
        <v>-1.123043141389187</v>
      </c>
      <c r="H2348" s="10">
        <v>2025</v>
      </c>
    </row>
    <row r="2349" spans="1:8" hidden="1" x14ac:dyDescent="0.3">
      <c r="A2349" s="16" t="s">
        <v>75</v>
      </c>
      <c r="B2349" s="16" t="s">
        <v>177</v>
      </c>
      <c r="C2349" s="15">
        <v>12</v>
      </c>
      <c r="D2349" s="17">
        <v>15246000</v>
      </c>
      <c r="E2349" s="17">
        <v>11334920</v>
      </c>
      <c r="F2349" s="17">
        <v>-3911080</v>
      </c>
      <c r="G2349" s="18">
        <v>0.74346845074117807</v>
      </c>
      <c r="H2349" s="10">
        <v>2025</v>
      </c>
    </row>
    <row r="2350" spans="1:8" hidden="1" x14ac:dyDescent="0.3">
      <c r="A2350" s="16" t="s">
        <v>75</v>
      </c>
      <c r="B2350" s="16" t="s">
        <v>210</v>
      </c>
      <c r="C2350" s="15">
        <v>12</v>
      </c>
      <c r="D2350" s="17">
        <v>1423500</v>
      </c>
      <c r="E2350" s="17">
        <v>0</v>
      </c>
      <c r="F2350" s="17">
        <v>-1423500</v>
      </c>
      <c r="G2350" s="18">
        <v>0</v>
      </c>
      <c r="H2350" s="10">
        <v>2025</v>
      </c>
    </row>
    <row r="2351" spans="1:8" hidden="1" x14ac:dyDescent="0.3">
      <c r="A2351" s="16" t="s">
        <v>75</v>
      </c>
      <c r="B2351" s="16" t="s">
        <v>205</v>
      </c>
      <c r="C2351" s="15">
        <v>12</v>
      </c>
      <c r="D2351" s="17">
        <v>1997042</v>
      </c>
      <c r="E2351" s="17">
        <v>974678</v>
      </c>
      <c r="F2351" s="17">
        <v>-1022364</v>
      </c>
      <c r="G2351" s="18">
        <v>0.48806084198529626</v>
      </c>
      <c r="H2351" s="10">
        <v>2025</v>
      </c>
    </row>
    <row r="2352" spans="1:8" hidden="1" x14ac:dyDescent="0.3">
      <c r="A2352" s="16" t="s">
        <v>75</v>
      </c>
      <c r="B2352" s="16" t="s">
        <v>179</v>
      </c>
      <c r="C2352" s="15">
        <v>12</v>
      </c>
      <c r="D2352" s="17">
        <v>0</v>
      </c>
      <c r="E2352" s="17">
        <v>168675</v>
      </c>
      <c r="F2352" s="17">
        <v>168675</v>
      </c>
      <c r="G2352" s="18">
        <v>0</v>
      </c>
      <c r="H2352" s="10">
        <v>2025</v>
      </c>
    </row>
    <row r="2353" spans="1:8" hidden="1" x14ac:dyDescent="0.3">
      <c r="A2353" s="16" t="s">
        <v>75</v>
      </c>
      <c r="B2353" s="16" t="s">
        <v>206</v>
      </c>
      <c r="C2353" s="15">
        <v>12</v>
      </c>
      <c r="D2353" s="17">
        <v>1000000</v>
      </c>
      <c r="E2353" s="17">
        <v>646668</v>
      </c>
      <c r="F2353" s="17">
        <v>-353332</v>
      </c>
      <c r="G2353" s="18">
        <v>0.64666800000000002</v>
      </c>
      <c r="H2353" s="10">
        <v>2025</v>
      </c>
    </row>
    <row r="2354" spans="1:8" hidden="1" x14ac:dyDescent="0.3">
      <c r="A2354" s="16" t="s">
        <v>75</v>
      </c>
      <c r="B2354" s="16" t="s">
        <v>181</v>
      </c>
      <c r="C2354" s="15">
        <v>12</v>
      </c>
      <c r="D2354" s="17">
        <v>1519645</v>
      </c>
      <c r="E2354" s="17">
        <v>1306862</v>
      </c>
      <c r="F2354" s="17">
        <v>-212783</v>
      </c>
      <c r="G2354" s="18">
        <v>0.85997848181647685</v>
      </c>
      <c r="H2354" s="10">
        <v>2025</v>
      </c>
    </row>
    <row r="2355" spans="1:8" hidden="1" x14ac:dyDescent="0.3">
      <c r="A2355" s="16" t="s">
        <v>75</v>
      </c>
      <c r="B2355" s="16" t="s">
        <v>182</v>
      </c>
      <c r="C2355" s="15">
        <v>12</v>
      </c>
      <c r="D2355" s="17">
        <v>182357</v>
      </c>
      <c r="E2355" s="17">
        <v>132995</v>
      </c>
      <c r="F2355" s="17">
        <v>-49362</v>
      </c>
      <c r="G2355" s="18">
        <v>0.72931118629940173</v>
      </c>
      <c r="H2355" s="10">
        <v>2025</v>
      </c>
    </row>
    <row r="2356" spans="1:8" hidden="1" x14ac:dyDescent="0.3">
      <c r="A2356" s="16" t="s">
        <v>75</v>
      </c>
      <c r="B2356" s="16" t="s">
        <v>183</v>
      </c>
      <c r="C2356" s="15">
        <v>12</v>
      </c>
      <c r="D2356" s="17">
        <v>1519645</v>
      </c>
      <c r="E2356" s="17">
        <v>1169841</v>
      </c>
      <c r="F2356" s="17">
        <v>-349804</v>
      </c>
      <c r="G2356" s="18">
        <v>0.76981202846717489</v>
      </c>
      <c r="H2356" s="10">
        <v>2025</v>
      </c>
    </row>
    <row r="2357" spans="1:8" hidden="1" x14ac:dyDescent="0.3">
      <c r="A2357" s="16" t="s">
        <v>75</v>
      </c>
      <c r="B2357" s="16" t="s">
        <v>184</v>
      </c>
      <c r="C2357" s="15">
        <v>12</v>
      </c>
      <c r="D2357" s="17">
        <v>719034</v>
      </c>
      <c r="E2357" s="17">
        <v>-294284</v>
      </c>
      <c r="F2357" s="17">
        <v>-1013318</v>
      </c>
      <c r="G2357" s="18">
        <v>-0.4092768909397887</v>
      </c>
      <c r="H2357" s="10">
        <v>2025</v>
      </c>
    </row>
    <row r="2358" spans="1:8" hidden="1" x14ac:dyDescent="0.3">
      <c r="A2358" s="16" t="s">
        <v>75</v>
      </c>
      <c r="B2358" s="16" t="s">
        <v>185</v>
      </c>
      <c r="C2358" s="15">
        <v>12</v>
      </c>
      <c r="D2358" s="17">
        <v>237953</v>
      </c>
      <c r="E2358" s="17">
        <v>184414</v>
      </c>
      <c r="F2358" s="17">
        <v>-53539</v>
      </c>
      <c r="G2358" s="18">
        <v>0.77500178606699643</v>
      </c>
      <c r="H2358" s="10">
        <v>2025</v>
      </c>
    </row>
    <row r="2359" spans="1:8" hidden="1" x14ac:dyDescent="0.3">
      <c r="A2359" s="16" t="s">
        <v>75</v>
      </c>
      <c r="B2359" s="16" t="s">
        <v>186</v>
      </c>
      <c r="C2359" s="15">
        <v>12</v>
      </c>
      <c r="D2359" s="17">
        <v>2079554</v>
      </c>
      <c r="E2359" s="17">
        <v>-7574932</v>
      </c>
      <c r="F2359" s="17">
        <v>-9654486</v>
      </c>
      <c r="G2359" s="18">
        <v>-3.6425752829693292</v>
      </c>
      <c r="H2359" s="10">
        <v>2025</v>
      </c>
    </row>
    <row r="2360" spans="1:8" hidden="1" x14ac:dyDescent="0.3">
      <c r="A2360" s="16" t="s">
        <v>75</v>
      </c>
      <c r="B2360" s="16" t="s">
        <v>187</v>
      </c>
      <c r="C2360" s="15">
        <v>12</v>
      </c>
      <c r="D2360" s="17">
        <v>635758</v>
      </c>
      <c r="E2360" s="17">
        <v>460427</v>
      </c>
      <c r="F2360" s="17">
        <v>-175331</v>
      </c>
      <c r="G2360" s="18">
        <v>0.72421739089401949</v>
      </c>
      <c r="H2360" s="10">
        <v>2025</v>
      </c>
    </row>
    <row r="2361" spans="1:8" hidden="1" x14ac:dyDescent="0.3">
      <c r="A2361" s="16" t="s">
        <v>75</v>
      </c>
      <c r="B2361" s="16" t="s">
        <v>188</v>
      </c>
      <c r="C2361" s="15">
        <v>12</v>
      </c>
      <c r="D2361" s="17">
        <v>577876</v>
      </c>
      <c r="E2361" s="17">
        <v>485456</v>
      </c>
      <c r="F2361" s="17">
        <v>-92420</v>
      </c>
      <c r="G2361" s="18">
        <v>0.8400694958780085</v>
      </c>
      <c r="H2361" s="10">
        <v>2025</v>
      </c>
    </row>
    <row r="2362" spans="1:8" hidden="1" x14ac:dyDescent="0.3">
      <c r="A2362" s="16" t="s">
        <v>75</v>
      </c>
      <c r="B2362" s="16" t="s">
        <v>189</v>
      </c>
      <c r="C2362" s="15">
        <v>12</v>
      </c>
      <c r="D2362" s="17">
        <v>464766.75</v>
      </c>
      <c r="E2362" s="17">
        <v>350688</v>
      </c>
      <c r="F2362" s="17">
        <v>-114078.75</v>
      </c>
      <c r="G2362" s="18">
        <v>0.75454623206156635</v>
      </c>
      <c r="H2362" s="10">
        <v>2025</v>
      </c>
    </row>
    <row r="2363" spans="1:8" hidden="1" x14ac:dyDescent="0.3">
      <c r="A2363" s="16" t="s">
        <v>75</v>
      </c>
      <c r="B2363" s="16" t="s">
        <v>191</v>
      </c>
      <c r="C2363" s="15">
        <v>12</v>
      </c>
      <c r="D2363" s="17">
        <v>265000</v>
      </c>
      <c r="E2363" s="17">
        <v>0</v>
      </c>
      <c r="F2363" s="17">
        <v>-265000</v>
      </c>
      <c r="G2363" s="18">
        <v>0</v>
      </c>
      <c r="H2363" s="10">
        <v>2025</v>
      </c>
    </row>
    <row r="2364" spans="1:8" hidden="1" x14ac:dyDescent="0.3">
      <c r="A2364" s="16" t="s">
        <v>75</v>
      </c>
      <c r="B2364" s="16" t="s">
        <v>192</v>
      </c>
      <c r="C2364" s="15">
        <v>12</v>
      </c>
      <c r="D2364" s="17">
        <v>462327</v>
      </c>
      <c r="E2364" s="17">
        <v>278900</v>
      </c>
      <c r="F2364" s="17">
        <v>-183427</v>
      </c>
      <c r="G2364" s="18">
        <v>0.60325267613615474</v>
      </c>
      <c r="H2364" s="10">
        <v>2025</v>
      </c>
    </row>
    <row r="2365" spans="1:8" hidden="1" x14ac:dyDescent="0.3">
      <c r="A2365" s="16" t="s">
        <v>75</v>
      </c>
      <c r="B2365" s="16" t="s">
        <v>193</v>
      </c>
      <c r="C2365" s="15">
        <v>12</v>
      </c>
      <c r="D2365" s="17">
        <v>178000</v>
      </c>
      <c r="E2365" s="17">
        <v>37400</v>
      </c>
      <c r="F2365" s="17">
        <v>-140600</v>
      </c>
      <c r="G2365" s="18">
        <v>0.21011235955056182</v>
      </c>
      <c r="H2365" s="10">
        <v>2025</v>
      </c>
    </row>
    <row r="2366" spans="1:8" hidden="1" x14ac:dyDescent="0.3">
      <c r="A2366" s="16" t="s">
        <v>75</v>
      </c>
      <c r="B2366" s="16" t="s">
        <v>194</v>
      </c>
      <c r="C2366" s="15">
        <v>12</v>
      </c>
      <c r="D2366" s="17">
        <v>2069165</v>
      </c>
      <c r="E2366" s="17">
        <v>1777700</v>
      </c>
      <c r="F2366" s="17">
        <v>-291465</v>
      </c>
      <c r="G2366" s="18">
        <v>0.85913883136434266</v>
      </c>
      <c r="H2366" s="10">
        <v>2025</v>
      </c>
    </row>
    <row r="2367" spans="1:8" hidden="1" x14ac:dyDescent="0.3">
      <c r="A2367" s="16" t="s">
        <v>75</v>
      </c>
      <c r="B2367" s="16" t="s">
        <v>195</v>
      </c>
      <c r="C2367" s="15">
        <v>12</v>
      </c>
      <c r="D2367" s="17">
        <v>689721</v>
      </c>
      <c r="E2367" s="17">
        <v>528500</v>
      </c>
      <c r="F2367" s="17">
        <v>-161221</v>
      </c>
      <c r="G2367" s="18">
        <v>0.76625186125984279</v>
      </c>
      <c r="H2367" s="10">
        <v>2025</v>
      </c>
    </row>
    <row r="2368" spans="1:8" hidden="1" x14ac:dyDescent="0.3">
      <c r="A2368" s="16" t="s">
        <v>75</v>
      </c>
      <c r="B2368" s="16" t="s">
        <v>199</v>
      </c>
      <c r="C2368" s="15">
        <v>12</v>
      </c>
      <c r="D2368" s="17">
        <v>98394</v>
      </c>
      <c r="E2368" s="17">
        <v>0</v>
      </c>
      <c r="F2368" s="17">
        <v>-98394</v>
      </c>
      <c r="G2368" s="18">
        <v>0</v>
      </c>
      <c r="H2368" s="10">
        <v>2025</v>
      </c>
    </row>
    <row r="2369" spans="1:8" hidden="1" x14ac:dyDescent="0.3">
      <c r="A2369" s="16" t="s">
        <v>75</v>
      </c>
      <c r="B2369" s="16" t="s">
        <v>200</v>
      </c>
      <c r="C2369" s="15">
        <v>12</v>
      </c>
      <c r="D2369" s="17">
        <v>17195881</v>
      </c>
      <c r="E2369" s="17">
        <v>11668546</v>
      </c>
      <c r="F2369" s="17">
        <v>-5527335</v>
      </c>
      <c r="G2369" s="18">
        <v>0.67856633806665678</v>
      </c>
      <c r="H2369" s="10">
        <v>2025</v>
      </c>
    </row>
    <row r="2370" spans="1:8" hidden="1" x14ac:dyDescent="0.3">
      <c r="A2370" s="16" t="s">
        <v>75</v>
      </c>
      <c r="B2370" s="16" t="s">
        <v>201</v>
      </c>
      <c r="C2370" s="15">
        <v>12</v>
      </c>
      <c r="D2370" s="17">
        <v>1285460</v>
      </c>
      <c r="E2370" s="17">
        <v>-3031983</v>
      </c>
      <c r="F2370" s="17">
        <v>-4317443</v>
      </c>
      <c r="G2370" s="18">
        <v>-2.3586754935976226</v>
      </c>
      <c r="H2370" s="10">
        <v>2025</v>
      </c>
    </row>
    <row r="2371" spans="1:8" hidden="1" x14ac:dyDescent="0.3">
      <c r="A2371" s="16" t="s">
        <v>75</v>
      </c>
      <c r="B2371" s="16" t="s">
        <v>202</v>
      </c>
      <c r="C2371" s="15">
        <v>12</v>
      </c>
      <c r="D2371" s="17">
        <v>392989</v>
      </c>
      <c r="E2371" s="17">
        <v>-785614</v>
      </c>
      <c r="F2371" s="17">
        <v>-1178603</v>
      </c>
      <c r="G2371" s="18">
        <v>-1.9990737654234596</v>
      </c>
      <c r="H2371" s="10">
        <v>2025</v>
      </c>
    </row>
    <row r="2372" spans="1:8" hidden="1" x14ac:dyDescent="0.3">
      <c r="A2372" s="16" t="s">
        <v>75</v>
      </c>
      <c r="B2372" s="16" t="s">
        <v>203</v>
      </c>
      <c r="C2372" s="15">
        <v>12</v>
      </c>
      <c r="D2372" s="17">
        <v>0</v>
      </c>
      <c r="E2372" s="17">
        <v>210770</v>
      </c>
      <c r="F2372" s="17">
        <v>210770</v>
      </c>
      <c r="G2372" s="18">
        <v>0</v>
      </c>
      <c r="H2372" s="10">
        <v>2025</v>
      </c>
    </row>
    <row r="2373" spans="1:8" hidden="1" x14ac:dyDescent="0.3">
      <c r="A2373" s="16" t="s">
        <v>75</v>
      </c>
      <c r="B2373" s="16" t="s">
        <v>208</v>
      </c>
      <c r="C2373" s="15">
        <v>12</v>
      </c>
      <c r="D2373" s="17">
        <v>0</v>
      </c>
      <c r="E2373" s="17">
        <v>117498</v>
      </c>
      <c r="F2373" s="17">
        <v>117498</v>
      </c>
      <c r="G2373" s="18">
        <v>0</v>
      </c>
      <c r="H2373" s="10">
        <v>2025</v>
      </c>
    </row>
    <row r="2374" spans="1:8" hidden="1" x14ac:dyDescent="0.3">
      <c r="A2374" s="16" t="s">
        <v>75</v>
      </c>
      <c r="B2374" s="16" t="s">
        <v>177</v>
      </c>
      <c r="C2374" s="15">
        <v>1</v>
      </c>
      <c r="D2374" s="17">
        <v>12010000</v>
      </c>
      <c r="E2374" s="17">
        <v>11393500</v>
      </c>
      <c r="F2374" s="17">
        <v>-616500</v>
      </c>
      <c r="G2374" s="18">
        <v>0.94866777685262282</v>
      </c>
      <c r="H2374" s="10">
        <v>2025</v>
      </c>
    </row>
    <row r="2375" spans="1:8" hidden="1" x14ac:dyDescent="0.3">
      <c r="A2375" s="16" t="s">
        <v>75</v>
      </c>
      <c r="B2375" s="16" t="s">
        <v>177</v>
      </c>
      <c r="C2375" s="15">
        <v>2</v>
      </c>
      <c r="D2375" s="17">
        <v>13246000</v>
      </c>
      <c r="E2375" s="17">
        <v>13238400</v>
      </c>
      <c r="F2375" s="17">
        <v>-7600</v>
      </c>
      <c r="G2375" s="18">
        <v>0.99942624188434248</v>
      </c>
      <c r="H2375" s="10">
        <v>2025</v>
      </c>
    </row>
    <row r="2376" spans="1:8" hidden="1" x14ac:dyDescent="0.3">
      <c r="A2376" s="16" t="s">
        <v>75</v>
      </c>
      <c r="B2376" s="16" t="s">
        <v>177</v>
      </c>
      <c r="C2376" s="15">
        <v>3</v>
      </c>
      <c r="D2376" s="17">
        <v>13246000</v>
      </c>
      <c r="E2376" s="17">
        <v>14239646</v>
      </c>
      <c r="F2376" s="17">
        <v>993646</v>
      </c>
      <c r="G2376" s="18">
        <v>1.0750147969198249</v>
      </c>
      <c r="H2376" s="10">
        <v>2025</v>
      </c>
    </row>
    <row r="2377" spans="1:8" hidden="1" x14ac:dyDescent="0.3">
      <c r="A2377" s="16" t="s">
        <v>75</v>
      </c>
      <c r="B2377" s="16" t="s">
        <v>177</v>
      </c>
      <c r="C2377" s="15">
        <v>4</v>
      </c>
      <c r="D2377" s="17">
        <v>13246000</v>
      </c>
      <c r="E2377" s="17">
        <v>12251066</v>
      </c>
      <c r="F2377" s="17">
        <v>-994934</v>
      </c>
      <c r="G2377" s="18">
        <v>0.92488796617846902</v>
      </c>
      <c r="H2377" s="10">
        <v>2025</v>
      </c>
    </row>
    <row r="2378" spans="1:8" hidden="1" x14ac:dyDescent="0.3">
      <c r="A2378" s="16" t="s">
        <v>75</v>
      </c>
      <c r="B2378" s="16" t="s">
        <v>177</v>
      </c>
      <c r="C2378" s="15">
        <v>5</v>
      </c>
      <c r="D2378" s="17">
        <v>15246000</v>
      </c>
      <c r="E2378" s="17">
        <v>12665333</v>
      </c>
      <c r="F2378" s="17">
        <v>-2580667</v>
      </c>
      <c r="G2378" s="18">
        <v>0.83073153614062711</v>
      </c>
      <c r="H2378" s="10">
        <v>2025</v>
      </c>
    </row>
    <row r="2379" spans="1:8" hidden="1" x14ac:dyDescent="0.3">
      <c r="A2379" s="16" t="s">
        <v>75</v>
      </c>
      <c r="B2379" s="16" t="s">
        <v>177</v>
      </c>
      <c r="C2379" s="15">
        <v>6</v>
      </c>
      <c r="D2379" s="17">
        <v>15246000</v>
      </c>
      <c r="E2379" s="17">
        <v>12505000</v>
      </c>
      <c r="F2379" s="17">
        <v>-2741000</v>
      </c>
      <c r="G2379" s="18">
        <v>0.82021513839695659</v>
      </c>
      <c r="H2379" s="10">
        <v>2025</v>
      </c>
    </row>
    <row r="2380" spans="1:8" hidden="1" x14ac:dyDescent="0.3">
      <c r="A2380" s="16" t="s">
        <v>75</v>
      </c>
      <c r="B2380" s="16" t="s">
        <v>177</v>
      </c>
      <c r="C2380" s="15">
        <v>7</v>
      </c>
      <c r="D2380" s="17">
        <v>15246000</v>
      </c>
      <c r="E2380" s="17">
        <v>13238400</v>
      </c>
      <c r="F2380" s="17">
        <v>-2007600</v>
      </c>
      <c r="G2380" s="18">
        <v>0.86831955922865012</v>
      </c>
      <c r="H2380" s="10">
        <v>2025</v>
      </c>
    </row>
    <row r="2381" spans="1:8" hidden="1" x14ac:dyDescent="0.3">
      <c r="A2381" s="16" t="s">
        <v>75</v>
      </c>
      <c r="B2381" s="16" t="s">
        <v>177</v>
      </c>
      <c r="C2381" s="15">
        <v>8</v>
      </c>
      <c r="D2381" s="17">
        <v>15246000</v>
      </c>
      <c r="E2381" s="17">
        <v>13069733</v>
      </c>
      <c r="F2381" s="17">
        <v>-2176267</v>
      </c>
      <c r="G2381" s="18">
        <v>0.8572565263019809</v>
      </c>
      <c r="H2381" s="10">
        <v>2025</v>
      </c>
    </row>
    <row r="2382" spans="1:8" hidden="1" x14ac:dyDescent="0.3">
      <c r="A2382" s="16" t="s">
        <v>75</v>
      </c>
      <c r="B2382" s="16" t="s">
        <v>177</v>
      </c>
      <c r="C2382" s="15">
        <v>9</v>
      </c>
      <c r="D2382" s="17">
        <v>15246000</v>
      </c>
      <c r="E2382" s="17">
        <v>12395067</v>
      </c>
      <c r="F2382" s="17">
        <v>-2850933</v>
      </c>
      <c r="G2382" s="18">
        <v>0.81300452577725313</v>
      </c>
      <c r="H2382" s="10">
        <v>2025</v>
      </c>
    </row>
    <row r="2383" spans="1:8" hidden="1" x14ac:dyDescent="0.3">
      <c r="A2383" s="16" t="s">
        <v>75</v>
      </c>
      <c r="B2383" s="16" t="s">
        <v>177</v>
      </c>
      <c r="C2383" s="15">
        <v>10</v>
      </c>
      <c r="D2383" s="17">
        <v>15246000</v>
      </c>
      <c r="E2383" s="17">
        <v>11643293</v>
      </c>
      <c r="F2383" s="17">
        <v>-3602707</v>
      </c>
      <c r="G2383" s="18">
        <v>0.76369493637675456</v>
      </c>
      <c r="H2383" s="10">
        <v>2025</v>
      </c>
    </row>
    <row r="2384" spans="1:8" hidden="1" x14ac:dyDescent="0.3">
      <c r="A2384" s="16" t="s">
        <v>75</v>
      </c>
      <c r="B2384" s="16" t="s">
        <v>210</v>
      </c>
      <c r="C2384" s="15">
        <v>4</v>
      </c>
      <c r="D2384" s="17">
        <v>0</v>
      </c>
      <c r="E2384" s="17">
        <v>142350</v>
      </c>
      <c r="F2384" s="17">
        <v>142350</v>
      </c>
      <c r="G2384" s="18">
        <v>0</v>
      </c>
      <c r="H2384" s="10">
        <v>2025</v>
      </c>
    </row>
    <row r="2385" spans="1:8" hidden="1" x14ac:dyDescent="0.3">
      <c r="A2385" s="16" t="s">
        <v>75</v>
      </c>
      <c r="B2385" s="16" t="s">
        <v>210</v>
      </c>
      <c r="C2385" s="15">
        <v>5</v>
      </c>
      <c r="D2385" s="17">
        <v>1423500</v>
      </c>
      <c r="E2385" s="17">
        <v>1233681</v>
      </c>
      <c r="F2385" s="17">
        <v>-189819</v>
      </c>
      <c r="G2385" s="18">
        <v>0.86665331928345635</v>
      </c>
      <c r="H2385" s="10">
        <v>2025</v>
      </c>
    </row>
    <row r="2386" spans="1:8" hidden="1" x14ac:dyDescent="0.3">
      <c r="A2386" s="16" t="s">
        <v>75</v>
      </c>
      <c r="B2386" s="16" t="s">
        <v>210</v>
      </c>
      <c r="C2386" s="15">
        <v>6</v>
      </c>
      <c r="D2386" s="17">
        <v>1423500</v>
      </c>
      <c r="E2386" s="17">
        <v>1423500</v>
      </c>
      <c r="F2386" s="17">
        <v>0</v>
      </c>
      <c r="G2386" s="18">
        <v>1</v>
      </c>
      <c r="H2386" s="10">
        <v>2025</v>
      </c>
    </row>
    <row r="2387" spans="1:8" hidden="1" x14ac:dyDescent="0.3">
      <c r="A2387" s="16" t="s">
        <v>75</v>
      </c>
      <c r="B2387" s="16" t="s">
        <v>210</v>
      </c>
      <c r="C2387" s="15">
        <v>7</v>
      </c>
      <c r="D2387" s="17">
        <v>1423500</v>
      </c>
      <c r="E2387" s="17">
        <v>1423500</v>
      </c>
      <c r="F2387" s="17">
        <v>0</v>
      </c>
      <c r="G2387" s="18">
        <v>1</v>
      </c>
      <c r="H2387" s="10">
        <v>2025</v>
      </c>
    </row>
    <row r="2388" spans="1:8" hidden="1" x14ac:dyDescent="0.3">
      <c r="A2388" s="16" t="s">
        <v>75</v>
      </c>
      <c r="B2388" s="16" t="s">
        <v>210</v>
      </c>
      <c r="C2388" s="15">
        <v>8</v>
      </c>
      <c r="D2388" s="17">
        <v>1423500</v>
      </c>
      <c r="E2388" s="17">
        <v>1423500</v>
      </c>
      <c r="F2388" s="17">
        <v>0</v>
      </c>
      <c r="G2388" s="18">
        <v>1</v>
      </c>
      <c r="H2388" s="10">
        <v>2025</v>
      </c>
    </row>
    <row r="2389" spans="1:8" hidden="1" x14ac:dyDescent="0.3">
      <c r="A2389" s="16" t="s">
        <v>75</v>
      </c>
      <c r="B2389" s="16" t="s">
        <v>210</v>
      </c>
      <c r="C2389" s="15">
        <v>9</v>
      </c>
      <c r="D2389" s="17">
        <v>1423500</v>
      </c>
      <c r="E2389" s="17">
        <v>1423500</v>
      </c>
      <c r="F2389" s="17">
        <v>0</v>
      </c>
      <c r="G2389" s="18">
        <v>1</v>
      </c>
      <c r="H2389" s="10">
        <v>2025</v>
      </c>
    </row>
    <row r="2390" spans="1:8" hidden="1" x14ac:dyDescent="0.3">
      <c r="A2390" s="16" t="s">
        <v>75</v>
      </c>
      <c r="B2390" s="16" t="s">
        <v>210</v>
      </c>
      <c r="C2390" s="15">
        <v>10</v>
      </c>
      <c r="D2390" s="17">
        <v>1423500</v>
      </c>
      <c r="E2390" s="17">
        <v>1186250</v>
      </c>
      <c r="F2390" s="17">
        <v>-237250</v>
      </c>
      <c r="G2390" s="18">
        <v>0.83333333333333337</v>
      </c>
      <c r="H2390" s="10">
        <v>2025</v>
      </c>
    </row>
    <row r="2391" spans="1:8" hidden="1" x14ac:dyDescent="0.3">
      <c r="A2391" s="16" t="s">
        <v>75</v>
      </c>
      <c r="B2391" s="16" t="s">
        <v>205</v>
      </c>
      <c r="C2391" s="15">
        <v>1</v>
      </c>
      <c r="D2391" s="17">
        <v>621446</v>
      </c>
      <c r="E2391" s="17">
        <v>1710732</v>
      </c>
      <c r="F2391" s="17">
        <v>1089286</v>
      </c>
      <c r="G2391" s="18">
        <v>2.7528248633026844</v>
      </c>
      <c r="H2391" s="10">
        <v>2025</v>
      </c>
    </row>
    <row r="2392" spans="1:8" hidden="1" x14ac:dyDescent="0.3">
      <c r="A2392" s="16" t="s">
        <v>75</v>
      </c>
      <c r="B2392" s="16" t="s">
        <v>205</v>
      </c>
      <c r="C2392" s="15">
        <v>2</v>
      </c>
      <c r="D2392" s="17">
        <v>339606</v>
      </c>
      <c r="E2392" s="17">
        <v>857298</v>
      </c>
      <c r="F2392" s="17">
        <v>517692</v>
      </c>
      <c r="G2392" s="18">
        <v>2.5243900284447274</v>
      </c>
      <c r="H2392" s="10">
        <v>2025</v>
      </c>
    </row>
    <row r="2393" spans="1:8" hidden="1" x14ac:dyDescent="0.3">
      <c r="A2393" s="16" t="s">
        <v>75</v>
      </c>
      <c r="B2393" s="16" t="s">
        <v>205</v>
      </c>
      <c r="C2393" s="15">
        <v>3</v>
      </c>
      <c r="D2393" s="17">
        <v>1551216</v>
      </c>
      <c r="E2393" s="17">
        <v>1922009</v>
      </c>
      <c r="F2393" s="17">
        <v>370793</v>
      </c>
      <c r="G2393" s="18">
        <v>1.2390337644789637</v>
      </c>
      <c r="H2393" s="10">
        <v>2025</v>
      </c>
    </row>
    <row r="2394" spans="1:8" hidden="1" x14ac:dyDescent="0.3">
      <c r="A2394" s="16" t="s">
        <v>75</v>
      </c>
      <c r="B2394" s="16" t="s">
        <v>205</v>
      </c>
      <c r="C2394" s="15">
        <v>4</v>
      </c>
      <c r="D2394" s="17">
        <v>862939</v>
      </c>
      <c r="E2394" s="17">
        <v>1388938</v>
      </c>
      <c r="F2394" s="17">
        <v>525999</v>
      </c>
      <c r="G2394" s="18">
        <v>1.6095436641523908</v>
      </c>
      <c r="H2394" s="10">
        <v>2025</v>
      </c>
    </row>
    <row r="2395" spans="1:8" hidden="1" x14ac:dyDescent="0.3">
      <c r="A2395" s="16" t="s">
        <v>75</v>
      </c>
      <c r="B2395" s="16" t="s">
        <v>205</v>
      </c>
      <c r="C2395" s="15">
        <v>5</v>
      </c>
      <c r="D2395" s="17">
        <v>1081622</v>
      </c>
      <c r="E2395" s="17">
        <v>1266733</v>
      </c>
      <c r="F2395" s="17">
        <v>185111</v>
      </c>
      <c r="G2395" s="18">
        <v>1.1711420440782454</v>
      </c>
      <c r="H2395" s="10">
        <v>2025</v>
      </c>
    </row>
    <row r="2396" spans="1:8" hidden="1" x14ac:dyDescent="0.3">
      <c r="A2396" s="16" t="s">
        <v>75</v>
      </c>
      <c r="B2396" s="16" t="s">
        <v>205</v>
      </c>
      <c r="C2396" s="15">
        <v>6</v>
      </c>
      <c r="D2396" s="17">
        <v>266029</v>
      </c>
      <c r="E2396" s="17">
        <v>1543278</v>
      </c>
      <c r="F2396" s="17">
        <v>1277249</v>
      </c>
      <c r="G2396" s="18">
        <v>5.8011645346935863</v>
      </c>
      <c r="H2396" s="10">
        <v>2025</v>
      </c>
    </row>
    <row r="2397" spans="1:8" hidden="1" x14ac:dyDescent="0.3">
      <c r="A2397" s="16" t="s">
        <v>75</v>
      </c>
      <c r="B2397" s="16" t="s">
        <v>205</v>
      </c>
      <c r="C2397" s="15">
        <v>7</v>
      </c>
      <c r="D2397" s="17">
        <v>1027339</v>
      </c>
      <c r="E2397" s="17">
        <v>1656397</v>
      </c>
      <c r="F2397" s="17">
        <v>629058</v>
      </c>
      <c r="G2397" s="18">
        <v>1.612317842503789</v>
      </c>
      <c r="H2397" s="10">
        <v>2025</v>
      </c>
    </row>
    <row r="2398" spans="1:8" hidden="1" x14ac:dyDescent="0.3">
      <c r="A2398" s="16" t="s">
        <v>75</v>
      </c>
      <c r="B2398" s="16" t="s">
        <v>205</v>
      </c>
      <c r="C2398" s="15">
        <v>8</v>
      </c>
      <c r="D2398" s="17">
        <v>39767</v>
      </c>
      <c r="E2398" s="17">
        <v>1082142</v>
      </c>
      <c r="F2398" s="17">
        <v>1042375</v>
      </c>
      <c r="G2398" s="18">
        <v>27.212060250961851</v>
      </c>
      <c r="H2398" s="10">
        <v>2025</v>
      </c>
    </row>
    <row r="2399" spans="1:8" hidden="1" x14ac:dyDescent="0.3">
      <c r="A2399" s="16" t="s">
        <v>75</v>
      </c>
      <c r="B2399" s="16" t="s">
        <v>205</v>
      </c>
      <c r="C2399" s="15">
        <v>9</v>
      </c>
      <c r="D2399" s="17">
        <v>948351</v>
      </c>
      <c r="E2399" s="17">
        <v>1471821</v>
      </c>
      <c r="F2399" s="17">
        <v>523470</v>
      </c>
      <c r="G2399" s="18">
        <v>1.5519791722684957</v>
      </c>
      <c r="H2399" s="10">
        <v>2025</v>
      </c>
    </row>
    <row r="2400" spans="1:8" hidden="1" x14ac:dyDescent="0.3">
      <c r="A2400" s="16" t="s">
        <v>75</v>
      </c>
      <c r="B2400" s="16" t="s">
        <v>205</v>
      </c>
      <c r="C2400" s="15">
        <v>10</v>
      </c>
      <c r="D2400" s="17">
        <v>383358</v>
      </c>
      <c r="E2400" s="17">
        <v>2199922</v>
      </c>
      <c r="F2400" s="17">
        <v>1816564</v>
      </c>
      <c r="G2400" s="18">
        <v>5.7385576928093327</v>
      </c>
      <c r="H2400" s="10">
        <v>2025</v>
      </c>
    </row>
    <row r="2401" spans="1:8" hidden="1" x14ac:dyDescent="0.3">
      <c r="A2401" s="16" t="s">
        <v>75</v>
      </c>
      <c r="B2401" s="16" t="s">
        <v>179</v>
      </c>
      <c r="C2401" s="15">
        <v>1</v>
      </c>
      <c r="D2401" s="17">
        <v>0</v>
      </c>
      <c r="E2401" s="17">
        <v>451038</v>
      </c>
      <c r="F2401" s="17">
        <v>451038</v>
      </c>
      <c r="G2401" s="18">
        <v>0</v>
      </c>
      <c r="H2401" s="10">
        <v>2025</v>
      </c>
    </row>
    <row r="2402" spans="1:8" hidden="1" x14ac:dyDescent="0.3">
      <c r="A2402" s="16" t="s">
        <v>75</v>
      </c>
      <c r="B2402" s="16" t="s">
        <v>179</v>
      </c>
      <c r="C2402" s="15">
        <v>4</v>
      </c>
      <c r="D2402" s="17">
        <v>0</v>
      </c>
      <c r="E2402" s="17">
        <v>112450</v>
      </c>
      <c r="F2402" s="17">
        <v>112450</v>
      </c>
      <c r="G2402" s="18">
        <v>0</v>
      </c>
      <c r="H2402" s="10">
        <v>2025</v>
      </c>
    </row>
    <row r="2403" spans="1:8" hidden="1" x14ac:dyDescent="0.3">
      <c r="A2403" s="16" t="s">
        <v>75</v>
      </c>
      <c r="B2403" s="16" t="s">
        <v>179</v>
      </c>
      <c r="C2403" s="15">
        <v>5</v>
      </c>
      <c r="D2403" s="17">
        <v>0</v>
      </c>
      <c r="E2403" s="17">
        <v>189800</v>
      </c>
      <c r="F2403" s="17">
        <v>189800</v>
      </c>
      <c r="G2403" s="18">
        <v>0</v>
      </c>
      <c r="H2403" s="10">
        <v>2025</v>
      </c>
    </row>
    <row r="2404" spans="1:8" hidden="1" x14ac:dyDescent="0.3">
      <c r="A2404" s="16" t="s">
        <v>75</v>
      </c>
      <c r="B2404" s="16" t="s">
        <v>179</v>
      </c>
      <c r="C2404" s="15">
        <v>8</v>
      </c>
      <c r="D2404" s="17">
        <v>0</v>
      </c>
      <c r="E2404" s="17">
        <v>112450</v>
      </c>
      <c r="F2404" s="17">
        <v>112450</v>
      </c>
      <c r="G2404" s="18">
        <v>0</v>
      </c>
      <c r="H2404" s="10">
        <v>2025</v>
      </c>
    </row>
    <row r="2405" spans="1:8" hidden="1" x14ac:dyDescent="0.3">
      <c r="A2405" s="16" t="s">
        <v>75</v>
      </c>
      <c r="B2405" s="16" t="s">
        <v>179</v>
      </c>
      <c r="C2405" s="15">
        <v>9</v>
      </c>
      <c r="D2405" s="17">
        <v>0</v>
      </c>
      <c r="E2405" s="17">
        <v>562250</v>
      </c>
      <c r="F2405" s="17">
        <v>562250</v>
      </c>
      <c r="G2405" s="18">
        <v>0</v>
      </c>
      <c r="H2405" s="10">
        <v>2025</v>
      </c>
    </row>
    <row r="2406" spans="1:8" hidden="1" x14ac:dyDescent="0.3">
      <c r="A2406" s="16" t="s">
        <v>75</v>
      </c>
      <c r="B2406" s="16" t="s">
        <v>179</v>
      </c>
      <c r="C2406" s="15">
        <v>10</v>
      </c>
      <c r="D2406" s="17">
        <v>0</v>
      </c>
      <c r="E2406" s="17">
        <v>281125</v>
      </c>
      <c r="F2406" s="17">
        <v>281125</v>
      </c>
      <c r="G2406" s="18">
        <v>0</v>
      </c>
      <c r="H2406" s="10">
        <v>2025</v>
      </c>
    </row>
    <row r="2407" spans="1:8" hidden="1" x14ac:dyDescent="0.3">
      <c r="A2407" s="16" t="s">
        <v>75</v>
      </c>
      <c r="B2407" s="16" t="s">
        <v>206</v>
      </c>
      <c r="C2407" s="15">
        <v>1</v>
      </c>
      <c r="D2407" s="17">
        <v>800000</v>
      </c>
      <c r="E2407" s="17">
        <v>740000</v>
      </c>
      <c r="F2407" s="17">
        <v>-60000</v>
      </c>
      <c r="G2407" s="18">
        <v>0.92500000000000004</v>
      </c>
      <c r="H2407" s="10">
        <v>2025</v>
      </c>
    </row>
    <row r="2408" spans="1:8" hidden="1" x14ac:dyDescent="0.3">
      <c r="A2408" s="16" t="s">
        <v>75</v>
      </c>
      <c r="B2408" s="16" t="s">
        <v>206</v>
      </c>
      <c r="C2408" s="15">
        <v>2</v>
      </c>
      <c r="D2408" s="17">
        <v>800000</v>
      </c>
      <c r="E2408" s="17">
        <v>800000</v>
      </c>
      <c r="F2408" s="17">
        <v>0</v>
      </c>
      <c r="G2408" s="18">
        <v>1</v>
      </c>
      <c r="H2408" s="10">
        <v>2025</v>
      </c>
    </row>
    <row r="2409" spans="1:8" hidden="1" x14ac:dyDescent="0.3">
      <c r="A2409" s="16" t="s">
        <v>75</v>
      </c>
      <c r="B2409" s="16" t="s">
        <v>206</v>
      </c>
      <c r="C2409" s="15">
        <v>3</v>
      </c>
      <c r="D2409" s="17">
        <v>800000</v>
      </c>
      <c r="E2409" s="17">
        <v>800000</v>
      </c>
      <c r="F2409" s="17">
        <v>0</v>
      </c>
      <c r="G2409" s="18">
        <v>1</v>
      </c>
      <c r="H2409" s="10">
        <v>2025</v>
      </c>
    </row>
    <row r="2410" spans="1:8" hidden="1" x14ac:dyDescent="0.3">
      <c r="A2410" s="16" t="s">
        <v>75</v>
      </c>
      <c r="B2410" s="16" t="s">
        <v>206</v>
      </c>
      <c r="C2410" s="15">
        <v>4</v>
      </c>
      <c r="D2410" s="17">
        <v>800000</v>
      </c>
      <c r="E2410" s="17">
        <v>720000</v>
      </c>
      <c r="F2410" s="17">
        <v>-80000</v>
      </c>
      <c r="G2410" s="18">
        <v>0.9</v>
      </c>
      <c r="H2410" s="10">
        <v>2025</v>
      </c>
    </row>
    <row r="2411" spans="1:8" hidden="1" x14ac:dyDescent="0.3">
      <c r="A2411" s="16" t="s">
        <v>75</v>
      </c>
      <c r="B2411" s="16" t="s">
        <v>206</v>
      </c>
      <c r="C2411" s="15">
        <v>5</v>
      </c>
      <c r="D2411" s="17">
        <v>1000000</v>
      </c>
      <c r="E2411" s="17">
        <v>753333</v>
      </c>
      <c r="F2411" s="17">
        <v>-246667</v>
      </c>
      <c r="G2411" s="18">
        <v>0.75333300000000003</v>
      </c>
      <c r="H2411" s="10">
        <v>2025</v>
      </c>
    </row>
    <row r="2412" spans="1:8" hidden="1" x14ac:dyDescent="0.3">
      <c r="A2412" s="16" t="s">
        <v>75</v>
      </c>
      <c r="B2412" s="16" t="s">
        <v>206</v>
      </c>
      <c r="C2412" s="15">
        <v>6</v>
      </c>
      <c r="D2412" s="17">
        <v>1000000</v>
      </c>
      <c r="E2412" s="17">
        <v>800000</v>
      </c>
      <c r="F2412" s="17">
        <v>-200000</v>
      </c>
      <c r="G2412" s="18">
        <v>0.8</v>
      </c>
      <c r="H2412" s="10">
        <v>2025</v>
      </c>
    </row>
    <row r="2413" spans="1:8" hidden="1" x14ac:dyDescent="0.3">
      <c r="A2413" s="16" t="s">
        <v>75</v>
      </c>
      <c r="B2413" s="16" t="s">
        <v>206</v>
      </c>
      <c r="C2413" s="15">
        <v>7</v>
      </c>
      <c r="D2413" s="17">
        <v>1000000</v>
      </c>
      <c r="E2413" s="17">
        <v>800000</v>
      </c>
      <c r="F2413" s="17">
        <v>-200000</v>
      </c>
      <c r="G2413" s="18">
        <v>0.8</v>
      </c>
      <c r="H2413" s="10">
        <v>2025</v>
      </c>
    </row>
    <row r="2414" spans="1:8" hidden="1" x14ac:dyDescent="0.3">
      <c r="A2414" s="16" t="s">
        <v>75</v>
      </c>
      <c r="B2414" s="16" t="s">
        <v>206</v>
      </c>
      <c r="C2414" s="15">
        <v>8</v>
      </c>
      <c r="D2414" s="17">
        <v>1000000</v>
      </c>
      <c r="E2414" s="17">
        <v>1213333</v>
      </c>
      <c r="F2414" s="17">
        <v>213333</v>
      </c>
      <c r="G2414" s="18">
        <v>1.213333</v>
      </c>
      <c r="H2414" s="10">
        <v>2025</v>
      </c>
    </row>
    <row r="2415" spans="1:8" hidden="1" x14ac:dyDescent="0.3">
      <c r="A2415" s="16" t="s">
        <v>75</v>
      </c>
      <c r="B2415" s="16" t="s">
        <v>206</v>
      </c>
      <c r="C2415" s="15">
        <v>9</v>
      </c>
      <c r="D2415" s="17">
        <v>1000000</v>
      </c>
      <c r="E2415" s="17">
        <v>933333</v>
      </c>
      <c r="F2415" s="17">
        <v>-66667</v>
      </c>
      <c r="G2415" s="18">
        <v>0.93333299999999997</v>
      </c>
      <c r="H2415" s="10">
        <v>2025</v>
      </c>
    </row>
    <row r="2416" spans="1:8" hidden="1" x14ac:dyDescent="0.3">
      <c r="A2416" s="16" t="s">
        <v>75</v>
      </c>
      <c r="B2416" s="16" t="s">
        <v>206</v>
      </c>
      <c r="C2416" s="15">
        <v>10</v>
      </c>
      <c r="D2416" s="17">
        <v>1000000</v>
      </c>
      <c r="E2416" s="17">
        <v>933334</v>
      </c>
      <c r="F2416" s="17">
        <v>-66666</v>
      </c>
      <c r="G2416" s="18">
        <v>0.933334</v>
      </c>
      <c r="H2416" s="10">
        <v>2025</v>
      </c>
    </row>
    <row r="2417" spans="1:8" hidden="1" x14ac:dyDescent="0.3">
      <c r="A2417" s="16" t="s">
        <v>75</v>
      </c>
      <c r="B2417" s="16" t="s">
        <v>181</v>
      </c>
      <c r="C2417" s="15">
        <v>1</v>
      </c>
      <c r="D2417" s="17">
        <v>1118839</v>
      </c>
      <c r="E2417" s="17">
        <v>1190797</v>
      </c>
      <c r="F2417" s="17">
        <v>71958</v>
      </c>
      <c r="G2417" s="18">
        <v>1.0643148835533978</v>
      </c>
      <c r="H2417" s="10">
        <v>2025</v>
      </c>
    </row>
    <row r="2418" spans="1:8" hidden="1" x14ac:dyDescent="0.3">
      <c r="A2418" s="16" t="s">
        <v>75</v>
      </c>
      <c r="B2418" s="16" t="s">
        <v>181</v>
      </c>
      <c r="C2418" s="15">
        <v>2</v>
      </c>
      <c r="D2418" s="17">
        <v>1198320</v>
      </c>
      <c r="E2418" s="17">
        <v>1240812</v>
      </c>
      <c r="F2418" s="17">
        <v>42492</v>
      </c>
      <c r="G2418" s="18">
        <v>1.0354596435009014</v>
      </c>
      <c r="H2418" s="10">
        <v>2025</v>
      </c>
    </row>
    <row r="2419" spans="1:8" hidden="1" x14ac:dyDescent="0.3">
      <c r="A2419" s="16" t="s">
        <v>75</v>
      </c>
      <c r="B2419" s="16" t="s">
        <v>181</v>
      </c>
      <c r="C2419" s="15">
        <v>3</v>
      </c>
      <c r="D2419" s="17">
        <v>1299248</v>
      </c>
      <c r="E2419" s="17">
        <v>1412907</v>
      </c>
      <c r="F2419" s="17">
        <v>113659</v>
      </c>
      <c r="G2419" s="18">
        <v>1.0874806041648708</v>
      </c>
      <c r="H2419" s="10">
        <v>2025</v>
      </c>
    </row>
    <row r="2420" spans="1:8" hidden="1" x14ac:dyDescent="0.3">
      <c r="A2420" s="16" t="s">
        <v>75</v>
      </c>
      <c r="B2420" s="16" t="s">
        <v>181</v>
      </c>
      <c r="C2420" s="15">
        <v>4</v>
      </c>
      <c r="D2420" s="17">
        <v>1241914</v>
      </c>
      <c r="E2420" s="17">
        <v>1322351</v>
      </c>
      <c r="F2420" s="17">
        <v>80437</v>
      </c>
      <c r="G2420" s="18">
        <v>1.0647685749576863</v>
      </c>
      <c r="H2420" s="10">
        <v>2025</v>
      </c>
    </row>
    <row r="2421" spans="1:8" hidden="1" x14ac:dyDescent="0.3">
      <c r="A2421" s="16" t="s">
        <v>75</v>
      </c>
      <c r="B2421" s="16" t="s">
        <v>181</v>
      </c>
      <c r="C2421" s="15">
        <v>5</v>
      </c>
      <c r="D2421" s="17">
        <v>1443390</v>
      </c>
      <c r="E2421" s="17">
        <v>1239103</v>
      </c>
      <c r="F2421" s="17">
        <v>-204287</v>
      </c>
      <c r="G2421" s="18">
        <v>0.85846721953179672</v>
      </c>
      <c r="H2421" s="10">
        <v>2025</v>
      </c>
    </row>
    <row r="2422" spans="1:8" hidden="1" x14ac:dyDescent="0.3">
      <c r="A2422" s="16" t="s">
        <v>75</v>
      </c>
      <c r="B2422" s="16" t="s">
        <v>181</v>
      </c>
      <c r="C2422" s="15">
        <v>6</v>
      </c>
      <c r="D2422" s="17">
        <v>1375452</v>
      </c>
      <c r="E2422" s="17">
        <v>1297954</v>
      </c>
      <c r="F2422" s="17">
        <v>-77498</v>
      </c>
      <c r="G2422" s="18">
        <v>0.94365633987954511</v>
      </c>
      <c r="H2422" s="10">
        <v>2025</v>
      </c>
    </row>
    <row r="2423" spans="1:8" hidden="1" x14ac:dyDescent="0.3">
      <c r="A2423" s="16" t="s">
        <v>75</v>
      </c>
      <c r="B2423" s="16" t="s">
        <v>181</v>
      </c>
      <c r="C2423" s="15">
        <v>7</v>
      </c>
      <c r="D2423" s="17">
        <v>1438869</v>
      </c>
      <c r="E2423" s="17">
        <v>1307378</v>
      </c>
      <c r="F2423" s="17">
        <v>-131491</v>
      </c>
      <c r="G2423" s="18">
        <v>0.90861503027725254</v>
      </c>
      <c r="H2423" s="10">
        <v>2025</v>
      </c>
    </row>
    <row r="2424" spans="1:8" hidden="1" x14ac:dyDescent="0.3">
      <c r="A2424" s="16" t="s">
        <v>75</v>
      </c>
      <c r="B2424" s="16" t="s">
        <v>181</v>
      </c>
      <c r="C2424" s="15">
        <v>8</v>
      </c>
      <c r="D2424" s="17">
        <v>1356604</v>
      </c>
      <c r="E2424" s="17">
        <v>1407868</v>
      </c>
      <c r="F2424" s="17">
        <v>51264</v>
      </c>
      <c r="G2424" s="18">
        <v>1.0377884776987243</v>
      </c>
      <c r="H2424" s="10">
        <v>2025</v>
      </c>
    </row>
    <row r="2425" spans="1:8" hidden="1" x14ac:dyDescent="0.3">
      <c r="A2425" s="16" t="s">
        <v>75</v>
      </c>
      <c r="B2425" s="16" t="s">
        <v>181</v>
      </c>
      <c r="C2425" s="15">
        <v>9</v>
      </c>
      <c r="D2425" s="17">
        <v>1432289</v>
      </c>
      <c r="E2425" s="17">
        <v>1279694</v>
      </c>
      <c r="F2425" s="17">
        <v>-152595</v>
      </c>
      <c r="G2425" s="18">
        <v>0.8934607470978273</v>
      </c>
      <c r="H2425" s="10">
        <v>2025</v>
      </c>
    </row>
    <row r="2426" spans="1:8" hidden="1" x14ac:dyDescent="0.3">
      <c r="A2426" s="16" t="s">
        <v>75</v>
      </c>
      <c r="B2426" s="16" t="s">
        <v>181</v>
      </c>
      <c r="C2426" s="15">
        <v>10</v>
      </c>
      <c r="D2426" s="17">
        <v>1385225</v>
      </c>
      <c r="E2426" s="17">
        <v>1382806</v>
      </c>
      <c r="F2426" s="17">
        <v>-2419</v>
      </c>
      <c r="G2426" s="18">
        <v>0.99825371329567403</v>
      </c>
      <c r="H2426" s="10">
        <v>2025</v>
      </c>
    </row>
    <row r="2427" spans="1:8" hidden="1" x14ac:dyDescent="0.3">
      <c r="A2427" s="16" t="s">
        <v>75</v>
      </c>
      <c r="B2427" s="16" t="s">
        <v>182</v>
      </c>
      <c r="C2427" s="15">
        <v>1</v>
      </c>
      <c r="D2427" s="17">
        <v>134260</v>
      </c>
      <c r="E2427" s="17">
        <v>142952</v>
      </c>
      <c r="F2427" s="17">
        <v>8692</v>
      </c>
      <c r="G2427" s="18">
        <v>1.0647400566065843</v>
      </c>
      <c r="H2427" s="10">
        <v>2025</v>
      </c>
    </row>
    <row r="2428" spans="1:8" hidden="1" x14ac:dyDescent="0.3">
      <c r="A2428" s="16" t="s">
        <v>75</v>
      </c>
      <c r="B2428" s="16" t="s">
        <v>182</v>
      </c>
      <c r="C2428" s="15">
        <v>2</v>
      </c>
      <c r="D2428" s="17">
        <v>143798</v>
      </c>
      <c r="E2428" s="17">
        <v>148957</v>
      </c>
      <c r="F2428" s="17">
        <v>5159</v>
      </c>
      <c r="G2428" s="18">
        <v>1.0358767159487614</v>
      </c>
      <c r="H2428" s="10">
        <v>2025</v>
      </c>
    </row>
    <row r="2429" spans="1:8" hidden="1" x14ac:dyDescent="0.3">
      <c r="A2429" s="16" t="s">
        <v>75</v>
      </c>
      <c r="B2429" s="16" t="s">
        <v>182</v>
      </c>
      <c r="C2429" s="15">
        <v>3</v>
      </c>
      <c r="D2429" s="17">
        <v>155909</v>
      </c>
      <c r="E2429" s="17">
        <v>169616</v>
      </c>
      <c r="F2429" s="17">
        <v>13707</v>
      </c>
      <c r="G2429" s="18">
        <v>1.0879166693391658</v>
      </c>
      <c r="H2429" s="10">
        <v>2025</v>
      </c>
    </row>
    <row r="2430" spans="1:8" hidden="1" x14ac:dyDescent="0.3">
      <c r="A2430" s="16" t="s">
        <v>75</v>
      </c>
      <c r="B2430" s="16" t="s">
        <v>182</v>
      </c>
      <c r="C2430" s="15">
        <v>4</v>
      </c>
      <c r="D2430" s="17">
        <v>149029</v>
      </c>
      <c r="E2430" s="17">
        <v>158745</v>
      </c>
      <c r="F2430" s="17">
        <v>9716</v>
      </c>
      <c r="G2430" s="18">
        <v>1.0651953646605694</v>
      </c>
      <c r="H2430" s="10">
        <v>2025</v>
      </c>
    </row>
    <row r="2431" spans="1:8" hidden="1" x14ac:dyDescent="0.3">
      <c r="A2431" s="16" t="s">
        <v>75</v>
      </c>
      <c r="B2431" s="16" t="s">
        <v>182</v>
      </c>
      <c r="C2431" s="15">
        <v>5</v>
      </c>
      <c r="D2431" s="17">
        <v>173206</v>
      </c>
      <c r="E2431" s="17">
        <v>148752</v>
      </c>
      <c r="F2431" s="17">
        <v>-24454</v>
      </c>
      <c r="G2431" s="18">
        <v>0.85881551447409443</v>
      </c>
      <c r="H2431" s="10">
        <v>2025</v>
      </c>
    </row>
    <row r="2432" spans="1:8" hidden="1" x14ac:dyDescent="0.3">
      <c r="A2432" s="16" t="s">
        <v>75</v>
      </c>
      <c r="B2432" s="16" t="s">
        <v>182</v>
      </c>
      <c r="C2432" s="15">
        <v>6</v>
      </c>
      <c r="D2432" s="17">
        <v>165054</v>
      </c>
      <c r="E2432" s="17">
        <v>155816</v>
      </c>
      <c r="F2432" s="17">
        <v>-9238</v>
      </c>
      <c r="G2432" s="18">
        <v>0.94403043852315005</v>
      </c>
      <c r="H2432" s="10">
        <v>2025</v>
      </c>
    </row>
    <row r="2433" spans="1:8" hidden="1" x14ac:dyDescent="0.3">
      <c r="A2433" s="16" t="s">
        <v>75</v>
      </c>
      <c r="B2433" s="16" t="s">
        <v>182</v>
      </c>
      <c r="C2433" s="15">
        <v>7</v>
      </c>
      <c r="D2433" s="17">
        <v>172664</v>
      </c>
      <c r="E2433" s="17">
        <v>156948</v>
      </c>
      <c r="F2433" s="17">
        <v>-15716</v>
      </c>
      <c r="G2433" s="18">
        <v>0.90897928925543259</v>
      </c>
      <c r="H2433" s="10">
        <v>2025</v>
      </c>
    </row>
    <row r="2434" spans="1:8" hidden="1" x14ac:dyDescent="0.3">
      <c r="A2434" s="16" t="s">
        <v>75</v>
      </c>
      <c r="B2434" s="16" t="s">
        <v>182</v>
      </c>
      <c r="C2434" s="15">
        <v>8</v>
      </c>
      <c r="D2434" s="17">
        <v>162792</v>
      </c>
      <c r="E2434" s="17">
        <v>169010</v>
      </c>
      <c r="F2434" s="17">
        <v>6218</v>
      </c>
      <c r="G2434" s="18">
        <v>1.0381959801464447</v>
      </c>
      <c r="H2434" s="10">
        <v>2025</v>
      </c>
    </row>
    <row r="2435" spans="1:8" hidden="1" x14ac:dyDescent="0.3">
      <c r="A2435" s="16" t="s">
        <v>75</v>
      </c>
      <c r="B2435" s="16" t="s">
        <v>182</v>
      </c>
      <c r="C2435" s="15">
        <v>9</v>
      </c>
      <c r="D2435" s="17">
        <v>171874</v>
      </c>
      <c r="E2435" s="17">
        <v>153623</v>
      </c>
      <c r="F2435" s="17">
        <v>-18251</v>
      </c>
      <c r="G2435" s="18">
        <v>0.89381174581379386</v>
      </c>
      <c r="H2435" s="10">
        <v>2025</v>
      </c>
    </row>
    <row r="2436" spans="1:8" hidden="1" x14ac:dyDescent="0.3">
      <c r="A2436" s="16" t="s">
        <v>75</v>
      </c>
      <c r="B2436" s="16" t="s">
        <v>182</v>
      </c>
      <c r="C2436" s="15">
        <v>10</v>
      </c>
      <c r="D2436" s="17">
        <v>166227</v>
      </c>
      <c r="E2436" s="17">
        <v>166003</v>
      </c>
      <c r="F2436" s="17">
        <v>-224</v>
      </c>
      <c r="G2436" s="18">
        <v>0.9986524451503066</v>
      </c>
      <c r="H2436" s="10">
        <v>2025</v>
      </c>
    </row>
    <row r="2437" spans="1:8" hidden="1" x14ac:dyDescent="0.3">
      <c r="A2437" s="16" t="s">
        <v>75</v>
      </c>
      <c r="B2437" s="16" t="s">
        <v>183</v>
      </c>
      <c r="C2437" s="15">
        <v>1</v>
      </c>
      <c r="D2437" s="17">
        <v>1118839</v>
      </c>
      <c r="E2437" s="17">
        <v>1190797</v>
      </c>
      <c r="F2437" s="17">
        <v>71958</v>
      </c>
      <c r="G2437" s="18">
        <v>1.0643148835533978</v>
      </c>
      <c r="H2437" s="10">
        <v>2025</v>
      </c>
    </row>
    <row r="2438" spans="1:8" hidden="1" x14ac:dyDescent="0.3">
      <c r="A2438" s="16" t="s">
        <v>75</v>
      </c>
      <c r="B2438" s="16" t="s">
        <v>183</v>
      </c>
      <c r="C2438" s="15">
        <v>2</v>
      </c>
      <c r="D2438" s="17">
        <v>1198320</v>
      </c>
      <c r="E2438" s="17">
        <v>1240812</v>
      </c>
      <c r="F2438" s="17">
        <v>42492</v>
      </c>
      <c r="G2438" s="18">
        <v>1.0354596435009014</v>
      </c>
      <c r="H2438" s="10">
        <v>2025</v>
      </c>
    </row>
    <row r="2439" spans="1:8" hidden="1" x14ac:dyDescent="0.3">
      <c r="A2439" s="16" t="s">
        <v>75</v>
      </c>
      <c r="B2439" s="16" t="s">
        <v>183</v>
      </c>
      <c r="C2439" s="15">
        <v>3</v>
      </c>
      <c r="D2439" s="17">
        <v>1299248</v>
      </c>
      <c r="E2439" s="17">
        <v>1412907</v>
      </c>
      <c r="F2439" s="17">
        <v>113659</v>
      </c>
      <c r="G2439" s="18">
        <v>1.0874806041648708</v>
      </c>
      <c r="H2439" s="10">
        <v>2025</v>
      </c>
    </row>
    <row r="2440" spans="1:8" hidden="1" x14ac:dyDescent="0.3">
      <c r="A2440" s="16" t="s">
        <v>75</v>
      </c>
      <c r="B2440" s="16" t="s">
        <v>183</v>
      </c>
      <c r="C2440" s="15">
        <v>4</v>
      </c>
      <c r="D2440" s="17">
        <v>1241914</v>
      </c>
      <c r="E2440" s="17">
        <v>1322351</v>
      </c>
      <c r="F2440" s="17">
        <v>80437</v>
      </c>
      <c r="G2440" s="18">
        <v>1.0647685749576863</v>
      </c>
      <c r="H2440" s="10">
        <v>2025</v>
      </c>
    </row>
    <row r="2441" spans="1:8" hidden="1" x14ac:dyDescent="0.3">
      <c r="A2441" s="16" t="s">
        <v>75</v>
      </c>
      <c r="B2441" s="16" t="s">
        <v>183</v>
      </c>
      <c r="C2441" s="15">
        <v>5</v>
      </c>
      <c r="D2441" s="17">
        <v>1443390</v>
      </c>
      <c r="E2441" s="17">
        <v>1239103</v>
      </c>
      <c r="F2441" s="17">
        <v>-204287</v>
      </c>
      <c r="G2441" s="18">
        <v>0.85846721953179672</v>
      </c>
      <c r="H2441" s="10">
        <v>2025</v>
      </c>
    </row>
    <row r="2442" spans="1:8" hidden="1" x14ac:dyDescent="0.3">
      <c r="A2442" s="16" t="s">
        <v>75</v>
      </c>
      <c r="B2442" s="16" t="s">
        <v>183</v>
      </c>
      <c r="C2442" s="15">
        <v>6</v>
      </c>
      <c r="D2442" s="17">
        <v>1375452</v>
      </c>
      <c r="E2442" s="17">
        <v>1297954</v>
      </c>
      <c r="F2442" s="17">
        <v>-77498</v>
      </c>
      <c r="G2442" s="18">
        <v>0.94365633987954511</v>
      </c>
      <c r="H2442" s="10">
        <v>2025</v>
      </c>
    </row>
    <row r="2443" spans="1:8" hidden="1" x14ac:dyDescent="0.3">
      <c r="A2443" s="16" t="s">
        <v>75</v>
      </c>
      <c r="B2443" s="16" t="s">
        <v>183</v>
      </c>
      <c r="C2443" s="15">
        <v>7</v>
      </c>
      <c r="D2443" s="17">
        <v>1438869</v>
      </c>
      <c r="E2443" s="17">
        <v>1307378</v>
      </c>
      <c r="F2443" s="17">
        <v>-131491</v>
      </c>
      <c r="G2443" s="18">
        <v>0.90861503027725254</v>
      </c>
      <c r="H2443" s="10">
        <v>2025</v>
      </c>
    </row>
    <row r="2444" spans="1:8" hidden="1" x14ac:dyDescent="0.3">
      <c r="A2444" s="16" t="s">
        <v>75</v>
      </c>
      <c r="B2444" s="16" t="s">
        <v>183</v>
      </c>
      <c r="C2444" s="15">
        <v>8</v>
      </c>
      <c r="D2444" s="17">
        <v>1356604</v>
      </c>
      <c r="E2444" s="17">
        <v>1407868</v>
      </c>
      <c r="F2444" s="17">
        <v>51264</v>
      </c>
      <c r="G2444" s="18">
        <v>1.0377884776987243</v>
      </c>
      <c r="H2444" s="10">
        <v>2025</v>
      </c>
    </row>
    <row r="2445" spans="1:8" hidden="1" x14ac:dyDescent="0.3">
      <c r="A2445" s="16" t="s">
        <v>75</v>
      </c>
      <c r="B2445" s="16" t="s">
        <v>183</v>
      </c>
      <c r="C2445" s="15">
        <v>9</v>
      </c>
      <c r="D2445" s="17">
        <v>1432289</v>
      </c>
      <c r="E2445" s="17">
        <v>1279694</v>
      </c>
      <c r="F2445" s="17">
        <v>-152595</v>
      </c>
      <c r="G2445" s="18">
        <v>0.8934607470978273</v>
      </c>
      <c r="H2445" s="10">
        <v>2025</v>
      </c>
    </row>
    <row r="2446" spans="1:8" hidden="1" x14ac:dyDescent="0.3">
      <c r="A2446" s="16" t="s">
        <v>75</v>
      </c>
      <c r="B2446" s="16" t="s">
        <v>183</v>
      </c>
      <c r="C2446" s="15">
        <v>10</v>
      </c>
      <c r="D2446" s="17">
        <v>1385225</v>
      </c>
      <c r="E2446" s="17">
        <v>1382806</v>
      </c>
      <c r="F2446" s="17">
        <v>-2419</v>
      </c>
      <c r="G2446" s="18">
        <v>0.99825371329567403</v>
      </c>
      <c r="H2446" s="10">
        <v>2025</v>
      </c>
    </row>
    <row r="2447" spans="1:8" hidden="1" x14ac:dyDescent="0.3">
      <c r="A2447" s="16" t="s">
        <v>75</v>
      </c>
      <c r="B2447" s="16" t="s">
        <v>184</v>
      </c>
      <c r="C2447" s="15">
        <v>1</v>
      </c>
      <c r="D2447" s="17">
        <v>526731</v>
      </c>
      <c r="E2447" s="17">
        <v>565256</v>
      </c>
      <c r="F2447" s="17">
        <v>38525</v>
      </c>
      <c r="G2447" s="18">
        <v>1.0731398000117707</v>
      </c>
      <c r="H2447" s="10">
        <v>2025</v>
      </c>
    </row>
    <row r="2448" spans="1:8" hidden="1" x14ac:dyDescent="0.3">
      <c r="A2448" s="16" t="s">
        <v>75</v>
      </c>
      <c r="B2448" s="16" t="s">
        <v>184</v>
      </c>
      <c r="C2448" s="15">
        <v>2</v>
      </c>
      <c r="D2448" s="17">
        <v>566519</v>
      </c>
      <c r="E2448" s="17">
        <v>587790</v>
      </c>
      <c r="F2448" s="17">
        <v>21271</v>
      </c>
      <c r="G2448" s="18">
        <v>1.0375468430891108</v>
      </c>
      <c r="H2448" s="10">
        <v>2025</v>
      </c>
    </row>
    <row r="2449" spans="1:8" hidden="1" x14ac:dyDescent="0.3">
      <c r="A2449" s="16" t="s">
        <v>75</v>
      </c>
      <c r="B2449" s="16" t="s">
        <v>184</v>
      </c>
      <c r="C2449" s="15">
        <v>3</v>
      </c>
      <c r="D2449" s="17">
        <v>617043</v>
      </c>
      <c r="E2449" s="17">
        <v>673940</v>
      </c>
      <c r="F2449" s="17">
        <v>56897</v>
      </c>
      <c r="G2449" s="18">
        <v>1.0922091329129413</v>
      </c>
      <c r="H2449" s="10">
        <v>2025</v>
      </c>
    </row>
    <row r="2450" spans="1:8" hidden="1" x14ac:dyDescent="0.3">
      <c r="A2450" s="16" t="s">
        <v>75</v>
      </c>
      <c r="B2450" s="16" t="s">
        <v>184</v>
      </c>
      <c r="C2450" s="15">
        <v>4</v>
      </c>
      <c r="D2450" s="17">
        <v>588342</v>
      </c>
      <c r="E2450" s="17">
        <v>631946</v>
      </c>
      <c r="F2450" s="17">
        <v>43604</v>
      </c>
      <c r="G2450" s="18">
        <v>1.0741133558372511</v>
      </c>
      <c r="H2450" s="10">
        <v>2025</v>
      </c>
    </row>
    <row r="2451" spans="1:8" hidden="1" x14ac:dyDescent="0.3">
      <c r="A2451" s="16" t="s">
        <v>75</v>
      </c>
      <c r="B2451" s="16" t="s">
        <v>184</v>
      </c>
      <c r="C2451" s="15">
        <v>5</v>
      </c>
      <c r="D2451" s="17">
        <v>680861</v>
      </c>
      <c r="E2451" s="17">
        <v>588882</v>
      </c>
      <c r="F2451" s="17">
        <v>-91979</v>
      </c>
      <c r="G2451" s="18">
        <v>0.86490781525157123</v>
      </c>
      <c r="H2451" s="10">
        <v>2025</v>
      </c>
    </row>
    <row r="2452" spans="1:8" hidden="1" x14ac:dyDescent="0.3">
      <c r="A2452" s="16" t="s">
        <v>75</v>
      </c>
      <c r="B2452" s="16" t="s">
        <v>184</v>
      </c>
      <c r="C2452" s="15">
        <v>6</v>
      </c>
      <c r="D2452" s="17">
        <v>646851</v>
      </c>
      <c r="E2452" s="17">
        <v>616395</v>
      </c>
      <c r="F2452" s="17">
        <v>-30456</v>
      </c>
      <c r="G2452" s="18">
        <v>0.95291651400399791</v>
      </c>
      <c r="H2452" s="10">
        <v>2025</v>
      </c>
    </row>
    <row r="2453" spans="1:8" hidden="1" x14ac:dyDescent="0.3">
      <c r="A2453" s="16" t="s">
        <v>75</v>
      </c>
      <c r="B2453" s="16" t="s">
        <v>184</v>
      </c>
      <c r="C2453" s="15">
        <v>7</v>
      </c>
      <c r="D2453" s="17">
        <v>678598</v>
      </c>
      <c r="E2453" s="17">
        <v>621112</v>
      </c>
      <c r="F2453" s="17">
        <v>-57486</v>
      </c>
      <c r="G2453" s="18">
        <v>0.91528710665224478</v>
      </c>
      <c r="H2453" s="10">
        <v>2025</v>
      </c>
    </row>
    <row r="2454" spans="1:8" hidden="1" x14ac:dyDescent="0.3">
      <c r="A2454" s="16" t="s">
        <v>75</v>
      </c>
      <c r="B2454" s="16" t="s">
        <v>184</v>
      </c>
      <c r="C2454" s="15">
        <v>8</v>
      </c>
      <c r="D2454" s="17">
        <v>637416</v>
      </c>
      <c r="E2454" s="17">
        <v>654183</v>
      </c>
      <c r="F2454" s="17">
        <v>16767</v>
      </c>
      <c r="G2454" s="18">
        <v>1.0263046424940698</v>
      </c>
      <c r="H2454" s="10">
        <v>2025</v>
      </c>
    </row>
    <row r="2455" spans="1:8" hidden="1" x14ac:dyDescent="0.3">
      <c r="A2455" s="16" t="s">
        <v>75</v>
      </c>
      <c r="B2455" s="16" t="s">
        <v>184</v>
      </c>
      <c r="C2455" s="15">
        <v>9</v>
      </c>
      <c r="D2455" s="17">
        <v>675304</v>
      </c>
      <c r="E2455" s="17">
        <v>601695</v>
      </c>
      <c r="F2455" s="17">
        <v>-73609</v>
      </c>
      <c r="G2455" s="18">
        <v>0.89099872057621465</v>
      </c>
      <c r="H2455" s="10">
        <v>2025</v>
      </c>
    </row>
    <row r="2456" spans="1:8" hidden="1" x14ac:dyDescent="0.3">
      <c r="A2456" s="16" t="s">
        <v>75</v>
      </c>
      <c r="B2456" s="16" t="s">
        <v>184</v>
      </c>
      <c r="C2456" s="15">
        <v>10</v>
      </c>
      <c r="D2456" s="17">
        <v>651744</v>
      </c>
      <c r="E2456" s="17">
        <v>653314</v>
      </c>
      <c r="F2456" s="17">
        <v>1570</v>
      </c>
      <c r="G2456" s="18">
        <v>1.0024089212942506</v>
      </c>
      <c r="H2456" s="10">
        <v>2025</v>
      </c>
    </row>
    <row r="2457" spans="1:8" hidden="1" x14ac:dyDescent="0.3">
      <c r="A2457" s="16" t="s">
        <v>75</v>
      </c>
      <c r="B2457" s="16" t="s">
        <v>185</v>
      </c>
      <c r="C2457" s="15">
        <v>1</v>
      </c>
      <c r="D2457" s="17">
        <v>174313</v>
      </c>
      <c r="E2457" s="17">
        <v>187063</v>
      </c>
      <c r="F2457" s="17">
        <v>12750</v>
      </c>
      <c r="G2457" s="18">
        <v>1.0731442864272889</v>
      </c>
      <c r="H2457" s="10">
        <v>2025</v>
      </c>
    </row>
    <row r="2458" spans="1:8" hidden="1" x14ac:dyDescent="0.3">
      <c r="A2458" s="16" t="s">
        <v>75</v>
      </c>
      <c r="B2458" s="16" t="s">
        <v>185</v>
      </c>
      <c r="C2458" s="15">
        <v>2</v>
      </c>
      <c r="D2458" s="17">
        <v>187481</v>
      </c>
      <c r="E2458" s="17">
        <v>194521</v>
      </c>
      <c r="F2458" s="17">
        <v>7040</v>
      </c>
      <c r="G2458" s="18">
        <v>1.0375504717811406</v>
      </c>
      <c r="H2458" s="10">
        <v>2025</v>
      </c>
    </row>
    <row r="2459" spans="1:8" hidden="1" x14ac:dyDescent="0.3">
      <c r="A2459" s="16" t="s">
        <v>75</v>
      </c>
      <c r="B2459" s="16" t="s">
        <v>185</v>
      </c>
      <c r="C2459" s="15">
        <v>3</v>
      </c>
      <c r="D2459" s="17">
        <v>204201</v>
      </c>
      <c r="E2459" s="17">
        <v>223031</v>
      </c>
      <c r="F2459" s="17">
        <v>18830</v>
      </c>
      <c r="G2459" s="18">
        <v>1.092213064578528</v>
      </c>
      <c r="H2459" s="10">
        <v>2025</v>
      </c>
    </row>
    <row r="2460" spans="1:8" hidden="1" x14ac:dyDescent="0.3">
      <c r="A2460" s="16" t="s">
        <v>75</v>
      </c>
      <c r="B2460" s="16" t="s">
        <v>185</v>
      </c>
      <c r="C2460" s="15">
        <v>4</v>
      </c>
      <c r="D2460" s="17">
        <v>194703</v>
      </c>
      <c r="E2460" s="17">
        <v>209133</v>
      </c>
      <c r="F2460" s="17">
        <v>14430</v>
      </c>
      <c r="G2460" s="18">
        <v>1.074112879616647</v>
      </c>
      <c r="H2460" s="10">
        <v>2025</v>
      </c>
    </row>
    <row r="2461" spans="1:8" hidden="1" x14ac:dyDescent="0.3">
      <c r="A2461" s="16" t="s">
        <v>75</v>
      </c>
      <c r="B2461" s="16" t="s">
        <v>185</v>
      </c>
      <c r="C2461" s="15">
        <v>5</v>
      </c>
      <c r="D2461" s="17">
        <v>225321</v>
      </c>
      <c r="E2461" s="17">
        <v>194882</v>
      </c>
      <c r="F2461" s="17">
        <v>-30439</v>
      </c>
      <c r="G2461" s="18">
        <v>0.86490828640029116</v>
      </c>
      <c r="H2461" s="10">
        <v>2025</v>
      </c>
    </row>
    <row r="2462" spans="1:8" hidden="1" x14ac:dyDescent="0.3">
      <c r="A2462" s="16" t="s">
        <v>75</v>
      </c>
      <c r="B2462" s="16" t="s">
        <v>185</v>
      </c>
      <c r="C2462" s="15">
        <v>6</v>
      </c>
      <c r="D2462" s="17">
        <v>214066</v>
      </c>
      <c r="E2462" s="17">
        <v>203988</v>
      </c>
      <c r="F2462" s="17">
        <v>-10078</v>
      </c>
      <c r="G2462" s="18">
        <v>0.95292106172862578</v>
      </c>
      <c r="H2462" s="10">
        <v>2025</v>
      </c>
    </row>
    <row r="2463" spans="1:8" hidden="1" x14ac:dyDescent="0.3">
      <c r="A2463" s="16" t="s">
        <v>75</v>
      </c>
      <c r="B2463" s="16" t="s">
        <v>185</v>
      </c>
      <c r="C2463" s="15">
        <v>7</v>
      </c>
      <c r="D2463" s="17">
        <v>224572</v>
      </c>
      <c r="E2463" s="17">
        <v>205548</v>
      </c>
      <c r="F2463" s="17">
        <v>-19024</v>
      </c>
      <c r="G2463" s="18">
        <v>0.91528774735942153</v>
      </c>
      <c r="H2463" s="10">
        <v>2025</v>
      </c>
    </row>
    <row r="2464" spans="1:8" hidden="1" x14ac:dyDescent="0.3">
      <c r="A2464" s="16" t="s">
        <v>75</v>
      </c>
      <c r="B2464" s="16" t="s">
        <v>185</v>
      </c>
      <c r="C2464" s="15">
        <v>8</v>
      </c>
      <c r="D2464" s="17">
        <v>210943</v>
      </c>
      <c r="E2464" s="17">
        <v>216493</v>
      </c>
      <c r="F2464" s="17">
        <v>5550</v>
      </c>
      <c r="G2464" s="18">
        <v>1.0263104250911383</v>
      </c>
      <c r="H2464" s="10">
        <v>2025</v>
      </c>
    </row>
    <row r="2465" spans="1:8" hidden="1" x14ac:dyDescent="0.3">
      <c r="A2465" s="16" t="s">
        <v>75</v>
      </c>
      <c r="B2465" s="16" t="s">
        <v>185</v>
      </c>
      <c r="C2465" s="15">
        <v>9</v>
      </c>
      <c r="D2465" s="17">
        <v>223482</v>
      </c>
      <c r="E2465" s="17">
        <v>199123</v>
      </c>
      <c r="F2465" s="17">
        <v>-24359</v>
      </c>
      <c r="G2465" s="18">
        <v>0.89100240735271752</v>
      </c>
      <c r="H2465" s="10">
        <v>2025</v>
      </c>
    </row>
    <row r="2466" spans="1:8" hidden="1" x14ac:dyDescent="0.3">
      <c r="A2466" s="16" t="s">
        <v>75</v>
      </c>
      <c r="B2466" s="16" t="s">
        <v>185</v>
      </c>
      <c r="C2466" s="15">
        <v>10</v>
      </c>
      <c r="D2466" s="17">
        <v>215685</v>
      </c>
      <c r="E2466" s="17">
        <v>216206</v>
      </c>
      <c r="F2466" s="17">
        <v>521</v>
      </c>
      <c r="G2466" s="18">
        <v>1.0024155597283075</v>
      </c>
      <c r="H2466" s="10">
        <v>2025</v>
      </c>
    </row>
    <row r="2467" spans="1:8" hidden="1" x14ac:dyDescent="0.3">
      <c r="A2467" s="16" t="s">
        <v>75</v>
      </c>
      <c r="B2467" s="16" t="s">
        <v>186</v>
      </c>
      <c r="C2467" s="15">
        <v>1</v>
      </c>
      <c r="D2467" s="17">
        <v>6000000</v>
      </c>
      <c r="E2467" s="17">
        <v>6000000</v>
      </c>
      <c r="F2467" s="17">
        <v>0</v>
      </c>
      <c r="G2467" s="18">
        <v>1</v>
      </c>
      <c r="H2467" s="10">
        <v>2025</v>
      </c>
    </row>
    <row r="2468" spans="1:8" hidden="1" x14ac:dyDescent="0.3">
      <c r="A2468" s="16" t="s">
        <v>75</v>
      </c>
      <c r="B2468" s="16" t="s">
        <v>186</v>
      </c>
      <c r="C2468" s="15">
        <v>2</v>
      </c>
      <c r="D2468" s="17">
        <v>1806754</v>
      </c>
      <c r="E2468" s="17">
        <v>1805717</v>
      </c>
      <c r="F2468" s="17">
        <v>-1037</v>
      </c>
      <c r="G2468" s="18">
        <v>0.99942604250495637</v>
      </c>
      <c r="H2468" s="10">
        <v>2025</v>
      </c>
    </row>
    <row r="2469" spans="1:8" hidden="1" x14ac:dyDescent="0.3">
      <c r="A2469" s="16" t="s">
        <v>75</v>
      </c>
      <c r="B2469" s="16" t="s">
        <v>186</v>
      </c>
      <c r="C2469" s="15">
        <v>3</v>
      </c>
      <c r="D2469" s="17">
        <v>1806754</v>
      </c>
      <c r="E2469" s="17">
        <v>1942289</v>
      </c>
      <c r="F2469" s="17">
        <v>135535</v>
      </c>
      <c r="G2469" s="18">
        <v>1.0750157464712962</v>
      </c>
      <c r="H2469" s="10">
        <v>2025</v>
      </c>
    </row>
    <row r="2470" spans="1:8" hidden="1" x14ac:dyDescent="0.3">
      <c r="A2470" s="16" t="s">
        <v>75</v>
      </c>
      <c r="B2470" s="16" t="s">
        <v>186</v>
      </c>
      <c r="C2470" s="15">
        <v>4</v>
      </c>
      <c r="D2470" s="17">
        <v>1806754</v>
      </c>
      <c r="E2470" s="17">
        <v>1877629</v>
      </c>
      <c r="F2470" s="17">
        <v>70875</v>
      </c>
      <c r="G2470" s="18">
        <v>1.0392278085450481</v>
      </c>
      <c r="H2470" s="10">
        <v>2025</v>
      </c>
    </row>
    <row r="2471" spans="1:8" hidden="1" x14ac:dyDescent="0.3">
      <c r="A2471" s="16" t="s">
        <v>75</v>
      </c>
      <c r="B2471" s="16" t="s">
        <v>186</v>
      </c>
      <c r="C2471" s="15">
        <v>5</v>
      </c>
      <c r="D2471" s="17">
        <v>2079554</v>
      </c>
      <c r="E2471" s="17">
        <v>1753440</v>
      </c>
      <c r="F2471" s="17">
        <v>-326114</v>
      </c>
      <c r="G2471" s="18">
        <v>0.84318079742098551</v>
      </c>
      <c r="H2471" s="10">
        <v>2025</v>
      </c>
    </row>
    <row r="2472" spans="1:8" hidden="1" x14ac:dyDescent="0.3">
      <c r="A2472" s="16" t="s">
        <v>75</v>
      </c>
      <c r="B2472" s="16" t="s">
        <v>186</v>
      </c>
      <c r="C2472" s="15">
        <v>6</v>
      </c>
      <c r="D2472" s="17">
        <v>2079554</v>
      </c>
      <c r="E2472" s="17">
        <v>1805717</v>
      </c>
      <c r="F2472" s="17">
        <v>-273837</v>
      </c>
      <c r="G2472" s="18">
        <v>0.86831936078601468</v>
      </c>
      <c r="H2472" s="10">
        <v>2025</v>
      </c>
    </row>
    <row r="2473" spans="1:8" hidden="1" x14ac:dyDescent="0.3">
      <c r="A2473" s="16" t="s">
        <v>75</v>
      </c>
      <c r="B2473" s="16" t="s">
        <v>186</v>
      </c>
      <c r="C2473" s="15">
        <v>7</v>
      </c>
      <c r="D2473" s="17">
        <v>2079554</v>
      </c>
      <c r="E2473" s="17">
        <v>1805717</v>
      </c>
      <c r="F2473" s="17">
        <v>-273837</v>
      </c>
      <c r="G2473" s="18">
        <v>0.86831936078601468</v>
      </c>
      <c r="H2473" s="10">
        <v>2025</v>
      </c>
    </row>
    <row r="2474" spans="1:8" hidden="1" x14ac:dyDescent="0.3">
      <c r="A2474" s="16" t="s">
        <v>75</v>
      </c>
      <c r="B2474" s="16" t="s">
        <v>186</v>
      </c>
      <c r="C2474" s="15">
        <v>8</v>
      </c>
      <c r="D2474" s="17">
        <v>2079554</v>
      </c>
      <c r="E2474" s="17">
        <v>1992214</v>
      </c>
      <c r="F2474" s="17">
        <v>-87340</v>
      </c>
      <c r="G2474" s="18">
        <v>0.95800060974612833</v>
      </c>
      <c r="H2474" s="10">
        <v>2025</v>
      </c>
    </row>
    <row r="2475" spans="1:8" hidden="1" x14ac:dyDescent="0.3">
      <c r="A2475" s="16" t="s">
        <v>75</v>
      </c>
      <c r="B2475" s="16" t="s">
        <v>186</v>
      </c>
      <c r="C2475" s="15">
        <v>9</v>
      </c>
      <c r="D2475" s="17">
        <v>2079554</v>
      </c>
      <c r="E2475" s="17">
        <v>1767377</v>
      </c>
      <c r="F2475" s="17">
        <v>-312177</v>
      </c>
      <c r="G2475" s="18">
        <v>0.84988271523605541</v>
      </c>
      <c r="H2475" s="10">
        <v>2025</v>
      </c>
    </row>
    <row r="2476" spans="1:8" hidden="1" x14ac:dyDescent="0.3">
      <c r="A2476" s="16" t="s">
        <v>75</v>
      </c>
      <c r="B2476" s="16" t="s">
        <v>186</v>
      </c>
      <c r="C2476" s="15">
        <v>10</v>
      </c>
      <c r="D2476" s="17">
        <v>2079554</v>
      </c>
      <c r="E2476" s="17">
        <v>1836908</v>
      </c>
      <c r="F2476" s="17">
        <v>-242646</v>
      </c>
      <c r="G2476" s="18">
        <v>0.88331824997090724</v>
      </c>
      <c r="H2476" s="10">
        <v>2025</v>
      </c>
    </row>
    <row r="2477" spans="1:8" hidden="1" x14ac:dyDescent="0.3">
      <c r="A2477" s="16" t="s">
        <v>75</v>
      </c>
      <c r="B2477" s="16" t="s">
        <v>187</v>
      </c>
      <c r="C2477" s="15">
        <v>1</v>
      </c>
      <c r="D2477" s="17">
        <v>500817</v>
      </c>
      <c r="E2477" s="17">
        <v>493918</v>
      </c>
      <c r="F2477" s="17">
        <v>-6899</v>
      </c>
      <c r="G2477" s="18">
        <v>0.98622450915204563</v>
      </c>
      <c r="H2477" s="10">
        <v>2025</v>
      </c>
    </row>
    <row r="2478" spans="1:8" hidden="1" x14ac:dyDescent="0.3">
      <c r="A2478" s="16" t="s">
        <v>75</v>
      </c>
      <c r="B2478" s="16" t="s">
        <v>187</v>
      </c>
      <c r="C2478" s="15">
        <v>2</v>
      </c>
      <c r="D2478" s="17">
        <v>552358</v>
      </c>
      <c r="E2478" s="17">
        <v>552041</v>
      </c>
      <c r="F2478" s="17">
        <v>-317</v>
      </c>
      <c r="G2478" s="18">
        <v>0.99942609684298944</v>
      </c>
      <c r="H2478" s="10">
        <v>2025</v>
      </c>
    </row>
    <row r="2479" spans="1:8" hidden="1" x14ac:dyDescent="0.3">
      <c r="A2479" s="16" t="s">
        <v>75</v>
      </c>
      <c r="B2479" s="16" t="s">
        <v>187</v>
      </c>
      <c r="C2479" s="15">
        <v>3</v>
      </c>
      <c r="D2479" s="17">
        <v>552358</v>
      </c>
      <c r="E2479" s="17">
        <v>593793</v>
      </c>
      <c r="F2479" s="17">
        <v>41435</v>
      </c>
      <c r="G2479" s="18">
        <v>1.0750147549234372</v>
      </c>
      <c r="H2479" s="10">
        <v>2025</v>
      </c>
    </row>
    <row r="2480" spans="1:8" hidden="1" x14ac:dyDescent="0.3">
      <c r="A2480" s="16" t="s">
        <v>75</v>
      </c>
      <c r="B2480" s="16" t="s">
        <v>187</v>
      </c>
      <c r="C2480" s="15">
        <v>4</v>
      </c>
      <c r="D2480" s="17">
        <v>552358</v>
      </c>
      <c r="E2480" s="17">
        <v>574027</v>
      </c>
      <c r="F2480" s="17">
        <v>21669</v>
      </c>
      <c r="G2480" s="18">
        <v>1.039229992142777</v>
      </c>
      <c r="H2480" s="10">
        <v>2025</v>
      </c>
    </row>
    <row r="2481" spans="1:8" hidden="1" x14ac:dyDescent="0.3">
      <c r="A2481" s="16" t="s">
        <v>75</v>
      </c>
      <c r="B2481" s="16" t="s">
        <v>187</v>
      </c>
      <c r="C2481" s="15">
        <v>5</v>
      </c>
      <c r="D2481" s="17">
        <v>635758</v>
      </c>
      <c r="E2481" s="17">
        <v>536059</v>
      </c>
      <c r="F2481" s="17">
        <v>-99699</v>
      </c>
      <c r="G2481" s="18">
        <v>0.84318089587547462</v>
      </c>
      <c r="H2481" s="10">
        <v>2025</v>
      </c>
    </row>
    <row r="2482" spans="1:8" hidden="1" x14ac:dyDescent="0.3">
      <c r="A2482" s="16" t="s">
        <v>75</v>
      </c>
      <c r="B2482" s="16" t="s">
        <v>187</v>
      </c>
      <c r="C2482" s="15">
        <v>6</v>
      </c>
      <c r="D2482" s="17">
        <v>635758</v>
      </c>
      <c r="E2482" s="17">
        <v>552041</v>
      </c>
      <c r="F2482" s="17">
        <v>-83717</v>
      </c>
      <c r="G2482" s="18">
        <v>0.86831939196990049</v>
      </c>
      <c r="H2482" s="10">
        <v>2025</v>
      </c>
    </row>
    <row r="2483" spans="1:8" hidden="1" x14ac:dyDescent="0.3">
      <c r="A2483" s="16" t="s">
        <v>75</v>
      </c>
      <c r="B2483" s="16" t="s">
        <v>187</v>
      </c>
      <c r="C2483" s="15">
        <v>7</v>
      </c>
      <c r="D2483" s="17">
        <v>635758</v>
      </c>
      <c r="E2483" s="17">
        <v>552041</v>
      </c>
      <c r="F2483" s="17">
        <v>-83717</v>
      </c>
      <c r="G2483" s="18">
        <v>0.86831939196990049</v>
      </c>
      <c r="H2483" s="10">
        <v>2025</v>
      </c>
    </row>
    <row r="2484" spans="1:8" hidden="1" x14ac:dyDescent="0.3">
      <c r="A2484" s="16" t="s">
        <v>75</v>
      </c>
      <c r="B2484" s="16" t="s">
        <v>187</v>
      </c>
      <c r="C2484" s="15">
        <v>8</v>
      </c>
      <c r="D2484" s="17">
        <v>635758</v>
      </c>
      <c r="E2484" s="17">
        <v>609057</v>
      </c>
      <c r="F2484" s="17">
        <v>-26701</v>
      </c>
      <c r="G2484" s="18">
        <v>0.95800131496575747</v>
      </c>
      <c r="H2484" s="10">
        <v>2025</v>
      </c>
    </row>
    <row r="2485" spans="1:8" hidden="1" x14ac:dyDescent="0.3">
      <c r="A2485" s="16" t="s">
        <v>75</v>
      </c>
      <c r="B2485" s="16" t="s">
        <v>187</v>
      </c>
      <c r="C2485" s="15">
        <v>9</v>
      </c>
      <c r="D2485" s="17">
        <v>635758</v>
      </c>
      <c r="E2485" s="17">
        <v>540320</v>
      </c>
      <c r="F2485" s="17">
        <v>-95438</v>
      </c>
      <c r="G2485" s="18">
        <v>0.84988313163184737</v>
      </c>
      <c r="H2485" s="10">
        <v>2025</v>
      </c>
    </row>
    <row r="2486" spans="1:8" hidden="1" x14ac:dyDescent="0.3">
      <c r="A2486" s="16" t="s">
        <v>75</v>
      </c>
      <c r="B2486" s="16" t="s">
        <v>187</v>
      </c>
      <c r="C2486" s="15">
        <v>10</v>
      </c>
      <c r="D2486" s="17">
        <v>635758</v>
      </c>
      <c r="E2486" s="17">
        <v>561576</v>
      </c>
      <c r="F2486" s="17">
        <v>-74182</v>
      </c>
      <c r="G2486" s="18">
        <v>0.88331723706190091</v>
      </c>
      <c r="H2486" s="10">
        <v>2025</v>
      </c>
    </row>
    <row r="2487" spans="1:8" hidden="1" x14ac:dyDescent="0.3">
      <c r="A2487" s="16" t="s">
        <v>75</v>
      </c>
      <c r="B2487" s="16" t="s">
        <v>212</v>
      </c>
      <c r="C2487" s="15">
        <v>1</v>
      </c>
      <c r="D2487" s="17">
        <v>0</v>
      </c>
      <c r="E2487" s="17">
        <v>500000</v>
      </c>
      <c r="F2487" s="17">
        <v>500000</v>
      </c>
      <c r="G2487" s="18">
        <v>0</v>
      </c>
      <c r="H2487" s="10">
        <v>2025</v>
      </c>
    </row>
    <row r="2488" spans="1:8" hidden="1" x14ac:dyDescent="0.3">
      <c r="A2488" s="16" t="s">
        <v>75</v>
      </c>
      <c r="B2488" s="16" t="s">
        <v>188</v>
      </c>
      <c r="C2488" s="15">
        <v>1</v>
      </c>
      <c r="D2488" s="17">
        <v>1401221</v>
      </c>
      <c r="E2488" s="17">
        <v>0</v>
      </c>
      <c r="F2488" s="17">
        <v>-1401221</v>
      </c>
      <c r="G2488" s="18">
        <v>0</v>
      </c>
      <c r="H2488" s="10">
        <v>2025</v>
      </c>
    </row>
    <row r="2489" spans="1:8" hidden="1" x14ac:dyDescent="0.3">
      <c r="A2489" s="16" t="s">
        <v>75</v>
      </c>
      <c r="B2489" s="16" t="s">
        <v>188</v>
      </c>
      <c r="C2489" s="15">
        <v>3</v>
      </c>
      <c r="D2489" s="17">
        <v>721819</v>
      </c>
      <c r="E2489" s="17">
        <v>0</v>
      </c>
      <c r="F2489" s="17">
        <v>-721819</v>
      </c>
      <c r="G2489" s="18">
        <v>0</v>
      </c>
      <c r="H2489" s="10">
        <v>2025</v>
      </c>
    </row>
    <row r="2490" spans="1:8" hidden="1" x14ac:dyDescent="0.3">
      <c r="A2490" s="16" t="s">
        <v>75</v>
      </c>
      <c r="B2490" s="16" t="s">
        <v>188</v>
      </c>
      <c r="C2490" s="15">
        <v>4</v>
      </c>
      <c r="D2490" s="17">
        <v>0</v>
      </c>
      <c r="E2490" s="17">
        <v>29338</v>
      </c>
      <c r="F2490" s="17">
        <v>29338</v>
      </c>
      <c r="G2490" s="18">
        <v>0</v>
      </c>
      <c r="H2490" s="10">
        <v>2025</v>
      </c>
    </row>
    <row r="2491" spans="1:8" hidden="1" x14ac:dyDescent="0.3">
      <c r="A2491" s="16" t="s">
        <v>75</v>
      </c>
      <c r="B2491" s="16" t="s">
        <v>188</v>
      </c>
      <c r="C2491" s="15">
        <v>5</v>
      </c>
      <c r="D2491" s="17">
        <v>0</v>
      </c>
      <c r="E2491" s="17">
        <v>875877</v>
      </c>
      <c r="F2491" s="17">
        <v>875877</v>
      </c>
      <c r="G2491" s="18">
        <v>0</v>
      </c>
      <c r="H2491" s="10">
        <v>2025</v>
      </c>
    </row>
    <row r="2492" spans="1:8" hidden="1" x14ac:dyDescent="0.3">
      <c r="A2492" s="16" t="s">
        <v>75</v>
      </c>
      <c r="B2492" s="16" t="s">
        <v>188</v>
      </c>
      <c r="C2492" s="15">
        <v>6</v>
      </c>
      <c r="D2492" s="17">
        <v>573183</v>
      </c>
      <c r="E2492" s="17">
        <v>0</v>
      </c>
      <c r="F2492" s="17">
        <v>-573183</v>
      </c>
      <c r="G2492" s="18">
        <v>0</v>
      </c>
      <c r="H2492" s="10">
        <v>2025</v>
      </c>
    </row>
    <row r="2493" spans="1:8" hidden="1" x14ac:dyDescent="0.3">
      <c r="A2493" s="16" t="s">
        <v>75</v>
      </c>
      <c r="B2493" s="16" t="s">
        <v>188</v>
      </c>
      <c r="C2493" s="15">
        <v>7</v>
      </c>
      <c r="D2493" s="17">
        <v>721819</v>
      </c>
      <c r="E2493" s="17">
        <v>0</v>
      </c>
      <c r="F2493" s="17">
        <v>-721819</v>
      </c>
      <c r="G2493" s="18">
        <v>0</v>
      </c>
      <c r="H2493" s="10">
        <v>2025</v>
      </c>
    </row>
    <row r="2494" spans="1:8" hidden="1" x14ac:dyDescent="0.3">
      <c r="A2494" s="16" t="s">
        <v>75</v>
      </c>
      <c r="B2494" s="16" t="s">
        <v>188</v>
      </c>
      <c r="C2494" s="15">
        <v>8</v>
      </c>
      <c r="D2494" s="17">
        <v>0</v>
      </c>
      <c r="E2494" s="17">
        <v>636790</v>
      </c>
      <c r="F2494" s="17">
        <v>636790</v>
      </c>
      <c r="G2494" s="18">
        <v>0</v>
      </c>
      <c r="H2494" s="10">
        <v>2025</v>
      </c>
    </row>
    <row r="2495" spans="1:8" hidden="1" x14ac:dyDescent="0.3">
      <c r="A2495" s="16" t="s">
        <v>75</v>
      </c>
      <c r="B2495" s="16" t="s">
        <v>188</v>
      </c>
      <c r="C2495" s="15">
        <v>10</v>
      </c>
      <c r="D2495" s="17">
        <v>234180</v>
      </c>
      <c r="E2495" s="17">
        <v>0</v>
      </c>
      <c r="F2495" s="17">
        <v>-234180</v>
      </c>
      <c r="G2495" s="18">
        <v>0</v>
      </c>
      <c r="H2495" s="10">
        <v>2025</v>
      </c>
    </row>
    <row r="2496" spans="1:8" hidden="1" x14ac:dyDescent="0.3">
      <c r="A2496" s="16" t="s">
        <v>75</v>
      </c>
      <c r="B2496" s="16" t="s">
        <v>189</v>
      </c>
      <c r="C2496" s="15">
        <v>1</v>
      </c>
      <c r="D2496" s="17">
        <v>464766.75</v>
      </c>
      <c r="E2496" s="17">
        <v>472913</v>
      </c>
      <c r="F2496" s="17">
        <v>8146.25</v>
      </c>
      <c r="G2496" s="18">
        <v>1.0175276092792782</v>
      </c>
      <c r="H2496" s="10">
        <v>2025</v>
      </c>
    </row>
    <row r="2497" spans="1:8" hidden="1" x14ac:dyDescent="0.3">
      <c r="A2497" s="16" t="s">
        <v>75</v>
      </c>
      <c r="B2497" s="16" t="s">
        <v>189</v>
      </c>
      <c r="C2497" s="15">
        <v>2</v>
      </c>
      <c r="D2497" s="17">
        <v>464766.75</v>
      </c>
      <c r="E2497" s="17">
        <v>363338</v>
      </c>
      <c r="F2497" s="17">
        <v>-101428.75</v>
      </c>
      <c r="G2497" s="18">
        <v>0.78176418601373698</v>
      </c>
      <c r="H2497" s="10">
        <v>2025</v>
      </c>
    </row>
    <row r="2498" spans="1:8" hidden="1" x14ac:dyDescent="0.3">
      <c r="A2498" s="16" t="s">
        <v>75</v>
      </c>
      <c r="B2498" s="16" t="s">
        <v>189</v>
      </c>
      <c r="C2498" s="15">
        <v>3</v>
      </c>
      <c r="D2498" s="17">
        <v>464766.75</v>
      </c>
      <c r="E2498" s="17">
        <v>284325</v>
      </c>
      <c r="F2498" s="17">
        <v>-180441.75</v>
      </c>
      <c r="G2498" s="18">
        <v>0.61175847884987478</v>
      </c>
      <c r="H2498" s="10">
        <v>2025</v>
      </c>
    </row>
    <row r="2499" spans="1:8" hidden="1" x14ac:dyDescent="0.3">
      <c r="A2499" s="16" t="s">
        <v>75</v>
      </c>
      <c r="B2499" s="16" t="s">
        <v>189</v>
      </c>
      <c r="C2499" s="15">
        <v>4</v>
      </c>
      <c r="D2499" s="17">
        <v>464766.75</v>
      </c>
      <c r="E2499" s="17">
        <v>273265</v>
      </c>
      <c r="F2499" s="17">
        <v>-191501.75</v>
      </c>
      <c r="G2499" s="18">
        <v>0.58796159578971607</v>
      </c>
      <c r="H2499" s="10">
        <v>2025</v>
      </c>
    </row>
    <row r="2500" spans="1:8" hidden="1" x14ac:dyDescent="0.3">
      <c r="A2500" s="16" t="s">
        <v>75</v>
      </c>
      <c r="B2500" s="16" t="s">
        <v>189</v>
      </c>
      <c r="C2500" s="15">
        <v>5</v>
      </c>
      <c r="D2500" s="17">
        <v>464766.75</v>
      </c>
      <c r="E2500" s="17">
        <v>298132</v>
      </c>
      <c r="F2500" s="17">
        <v>-166634.75</v>
      </c>
      <c r="G2500" s="18">
        <v>0.64146585357063524</v>
      </c>
      <c r="H2500" s="10">
        <v>2025</v>
      </c>
    </row>
    <row r="2501" spans="1:8" hidden="1" x14ac:dyDescent="0.3">
      <c r="A2501" s="16" t="s">
        <v>75</v>
      </c>
      <c r="B2501" s="16" t="s">
        <v>189</v>
      </c>
      <c r="C2501" s="15">
        <v>6</v>
      </c>
      <c r="D2501" s="17">
        <v>464766.75</v>
      </c>
      <c r="E2501" s="17">
        <v>279585</v>
      </c>
      <c r="F2501" s="17">
        <v>-185181.75</v>
      </c>
      <c r="G2501" s="18">
        <v>0.60155981468123532</v>
      </c>
      <c r="H2501" s="10">
        <v>2025</v>
      </c>
    </row>
    <row r="2502" spans="1:8" hidden="1" x14ac:dyDescent="0.3">
      <c r="A2502" s="16" t="s">
        <v>75</v>
      </c>
      <c r="B2502" s="16" t="s">
        <v>189</v>
      </c>
      <c r="C2502" s="15">
        <v>7</v>
      </c>
      <c r="D2502" s="17">
        <v>464766.75</v>
      </c>
      <c r="E2502" s="17">
        <v>276535</v>
      </c>
      <c r="F2502" s="17">
        <v>-188231.75</v>
      </c>
      <c r="G2502" s="18">
        <v>0.59499738309592931</v>
      </c>
      <c r="H2502" s="10">
        <v>2025</v>
      </c>
    </row>
    <row r="2503" spans="1:8" hidden="1" x14ac:dyDescent="0.3">
      <c r="A2503" s="16" t="s">
        <v>75</v>
      </c>
      <c r="B2503" s="16" t="s">
        <v>189</v>
      </c>
      <c r="C2503" s="15">
        <v>8</v>
      </c>
      <c r="D2503" s="17">
        <v>464766.75</v>
      </c>
      <c r="E2503" s="17">
        <v>303515</v>
      </c>
      <c r="F2503" s="17">
        <v>-161251.75</v>
      </c>
      <c r="G2503" s="18">
        <v>0.65304800741447189</v>
      </c>
      <c r="H2503" s="10">
        <v>2025</v>
      </c>
    </row>
    <row r="2504" spans="1:8" hidden="1" x14ac:dyDescent="0.3">
      <c r="A2504" s="16" t="s">
        <v>75</v>
      </c>
      <c r="B2504" s="16" t="s">
        <v>189</v>
      </c>
      <c r="C2504" s="15">
        <v>9</v>
      </c>
      <c r="D2504" s="17">
        <v>464766.75</v>
      </c>
      <c r="E2504" s="17">
        <v>438893</v>
      </c>
      <c r="F2504" s="17">
        <v>-25873.75</v>
      </c>
      <c r="G2504" s="18">
        <v>0.94432960189170168</v>
      </c>
      <c r="H2504" s="10">
        <v>2025</v>
      </c>
    </row>
    <row r="2505" spans="1:8" hidden="1" x14ac:dyDescent="0.3">
      <c r="A2505" s="16" t="s">
        <v>75</v>
      </c>
      <c r="B2505" s="16" t="s">
        <v>189</v>
      </c>
      <c r="C2505" s="15">
        <v>10</v>
      </c>
      <c r="D2505" s="17">
        <v>464766.75</v>
      </c>
      <c r="E2505" s="17">
        <v>261176</v>
      </c>
      <c r="F2505" s="17">
        <v>-203590.75</v>
      </c>
      <c r="G2505" s="18">
        <v>0.56195069892585903</v>
      </c>
      <c r="H2505" s="10">
        <v>2025</v>
      </c>
    </row>
    <row r="2506" spans="1:8" hidden="1" x14ac:dyDescent="0.3">
      <c r="A2506" s="16" t="s">
        <v>75</v>
      </c>
      <c r="B2506" s="16" t="s">
        <v>191</v>
      </c>
      <c r="C2506" s="15">
        <v>3</v>
      </c>
      <c r="D2506" s="17">
        <v>265000</v>
      </c>
      <c r="E2506" s="17">
        <v>0</v>
      </c>
      <c r="F2506" s="17">
        <v>-265000</v>
      </c>
      <c r="G2506" s="18">
        <v>0</v>
      </c>
      <c r="H2506" s="10">
        <v>2025</v>
      </c>
    </row>
    <row r="2507" spans="1:8" hidden="1" x14ac:dyDescent="0.3">
      <c r="A2507" s="16" t="s">
        <v>75</v>
      </c>
      <c r="B2507" s="16" t="s">
        <v>191</v>
      </c>
      <c r="C2507" s="15">
        <v>4</v>
      </c>
      <c r="D2507" s="17">
        <v>0</v>
      </c>
      <c r="E2507" s="17">
        <v>150000</v>
      </c>
      <c r="F2507" s="17">
        <v>150000</v>
      </c>
      <c r="G2507" s="18">
        <v>0</v>
      </c>
      <c r="H2507" s="10">
        <v>2025</v>
      </c>
    </row>
    <row r="2508" spans="1:8" hidden="1" x14ac:dyDescent="0.3">
      <c r="A2508" s="16" t="s">
        <v>75</v>
      </c>
      <c r="B2508" s="16" t="s">
        <v>191</v>
      </c>
      <c r="C2508" s="15">
        <v>6</v>
      </c>
      <c r="D2508" s="17">
        <v>265000</v>
      </c>
      <c r="E2508" s="17">
        <v>0</v>
      </c>
      <c r="F2508" s="17">
        <v>-265000</v>
      </c>
      <c r="G2508" s="18">
        <v>0</v>
      </c>
      <c r="H2508" s="10">
        <v>2025</v>
      </c>
    </row>
    <row r="2509" spans="1:8" hidden="1" x14ac:dyDescent="0.3">
      <c r="A2509" s="16" t="s">
        <v>75</v>
      </c>
      <c r="B2509" s="16" t="s">
        <v>191</v>
      </c>
      <c r="C2509" s="15">
        <v>9</v>
      </c>
      <c r="D2509" s="17">
        <v>265000</v>
      </c>
      <c r="E2509" s="17">
        <v>0</v>
      </c>
      <c r="F2509" s="17">
        <v>-265000</v>
      </c>
      <c r="G2509" s="18">
        <v>0</v>
      </c>
      <c r="H2509" s="10">
        <v>2025</v>
      </c>
    </row>
    <row r="2510" spans="1:8" hidden="1" x14ac:dyDescent="0.3">
      <c r="A2510" s="16" t="s">
        <v>75</v>
      </c>
      <c r="B2510" s="16" t="s">
        <v>192</v>
      </c>
      <c r="C2510" s="15">
        <v>1</v>
      </c>
      <c r="D2510" s="17">
        <v>313259</v>
      </c>
      <c r="E2510" s="17">
        <v>319500</v>
      </c>
      <c r="F2510" s="17">
        <v>6241</v>
      </c>
      <c r="G2510" s="18">
        <v>1.0199228114754884</v>
      </c>
      <c r="H2510" s="10">
        <v>2025</v>
      </c>
    </row>
    <row r="2511" spans="1:8" hidden="1" x14ac:dyDescent="0.3">
      <c r="A2511" s="16" t="s">
        <v>75</v>
      </c>
      <c r="B2511" s="16" t="s">
        <v>192</v>
      </c>
      <c r="C2511" s="15">
        <v>2</v>
      </c>
      <c r="D2511" s="17">
        <v>336923</v>
      </c>
      <c r="E2511" s="17">
        <v>343500</v>
      </c>
      <c r="F2511" s="17">
        <v>6577</v>
      </c>
      <c r="G2511" s="18">
        <v>1.0195207807125071</v>
      </c>
      <c r="H2511" s="10">
        <v>2025</v>
      </c>
    </row>
    <row r="2512" spans="1:8" hidden="1" x14ac:dyDescent="0.3">
      <c r="A2512" s="16" t="s">
        <v>75</v>
      </c>
      <c r="B2512" s="16" t="s">
        <v>192</v>
      </c>
      <c r="C2512" s="15">
        <v>3</v>
      </c>
      <c r="D2512" s="17">
        <v>366970</v>
      </c>
      <c r="E2512" s="17">
        <v>393900</v>
      </c>
      <c r="F2512" s="17">
        <v>26930</v>
      </c>
      <c r="G2512" s="18">
        <v>1.0733847453470311</v>
      </c>
      <c r="H2512" s="10">
        <v>2025</v>
      </c>
    </row>
    <row r="2513" spans="1:8" hidden="1" x14ac:dyDescent="0.3">
      <c r="A2513" s="16" t="s">
        <v>75</v>
      </c>
      <c r="B2513" s="16" t="s">
        <v>192</v>
      </c>
      <c r="C2513" s="15">
        <v>4</v>
      </c>
      <c r="D2513" s="17">
        <v>349901</v>
      </c>
      <c r="E2513" s="17">
        <v>338300</v>
      </c>
      <c r="F2513" s="17">
        <v>-11601</v>
      </c>
      <c r="G2513" s="18">
        <v>0.96684490755956687</v>
      </c>
      <c r="H2513" s="10">
        <v>2025</v>
      </c>
    </row>
    <row r="2514" spans="1:8" hidden="1" x14ac:dyDescent="0.3">
      <c r="A2514" s="16" t="s">
        <v>75</v>
      </c>
      <c r="B2514" s="16" t="s">
        <v>192</v>
      </c>
      <c r="C2514" s="15">
        <v>5</v>
      </c>
      <c r="D2514" s="17">
        <v>439625</v>
      </c>
      <c r="E2514" s="17">
        <v>369700</v>
      </c>
      <c r="F2514" s="17">
        <v>-69925</v>
      </c>
      <c r="G2514" s="18">
        <v>0.84094398635200462</v>
      </c>
      <c r="H2514" s="10">
        <v>2025</v>
      </c>
    </row>
    <row r="2515" spans="1:8" hidden="1" x14ac:dyDescent="0.3">
      <c r="A2515" s="16" t="s">
        <v>75</v>
      </c>
      <c r="B2515" s="16" t="s">
        <v>192</v>
      </c>
      <c r="C2515" s="15">
        <v>6</v>
      </c>
      <c r="D2515" s="17">
        <v>419398</v>
      </c>
      <c r="E2515" s="17">
        <v>377200</v>
      </c>
      <c r="F2515" s="17">
        <v>-42198</v>
      </c>
      <c r="G2515" s="18">
        <v>0.89938435567170094</v>
      </c>
      <c r="H2515" s="10">
        <v>2025</v>
      </c>
    </row>
    <row r="2516" spans="1:8" hidden="1" x14ac:dyDescent="0.3">
      <c r="A2516" s="16" t="s">
        <v>75</v>
      </c>
      <c r="B2516" s="16" t="s">
        <v>192</v>
      </c>
      <c r="C2516" s="15">
        <v>7</v>
      </c>
      <c r="D2516" s="17">
        <v>438278</v>
      </c>
      <c r="E2516" s="17">
        <v>397700</v>
      </c>
      <c r="F2516" s="17">
        <v>-40578</v>
      </c>
      <c r="G2516" s="18">
        <v>0.90741492842442473</v>
      </c>
      <c r="H2516" s="10">
        <v>2025</v>
      </c>
    </row>
    <row r="2517" spans="1:8" hidden="1" x14ac:dyDescent="0.3">
      <c r="A2517" s="16" t="s">
        <v>75</v>
      </c>
      <c r="B2517" s="16" t="s">
        <v>192</v>
      </c>
      <c r="C2517" s="15">
        <v>8</v>
      </c>
      <c r="D2517" s="17">
        <v>413787</v>
      </c>
      <c r="E2517" s="17">
        <v>379700</v>
      </c>
      <c r="F2517" s="17">
        <v>-34087</v>
      </c>
      <c r="G2517" s="18">
        <v>0.91762186825589009</v>
      </c>
      <c r="H2517" s="10">
        <v>2025</v>
      </c>
    </row>
    <row r="2518" spans="1:8" hidden="1" x14ac:dyDescent="0.3">
      <c r="A2518" s="16" t="s">
        <v>75</v>
      </c>
      <c r="B2518" s="16" t="s">
        <v>192</v>
      </c>
      <c r="C2518" s="15">
        <v>9</v>
      </c>
      <c r="D2518" s="17">
        <v>436319</v>
      </c>
      <c r="E2518" s="17">
        <v>373000</v>
      </c>
      <c r="F2518" s="17">
        <v>-63319</v>
      </c>
      <c r="G2518" s="18">
        <v>0.85487911367600311</v>
      </c>
      <c r="H2518" s="10">
        <v>2025</v>
      </c>
    </row>
    <row r="2519" spans="1:8" hidden="1" x14ac:dyDescent="0.3">
      <c r="A2519" s="16" t="s">
        <v>75</v>
      </c>
      <c r="B2519" s="16" t="s">
        <v>192</v>
      </c>
      <c r="C2519" s="15">
        <v>10</v>
      </c>
      <c r="D2519" s="17">
        <v>422308</v>
      </c>
      <c r="E2519" s="17">
        <v>366900</v>
      </c>
      <c r="F2519" s="17">
        <v>-55408</v>
      </c>
      <c r="G2519" s="18">
        <v>0.86879718120423954</v>
      </c>
      <c r="H2519" s="10">
        <v>2025</v>
      </c>
    </row>
    <row r="2520" spans="1:8" hidden="1" x14ac:dyDescent="0.3">
      <c r="A2520" s="16" t="s">
        <v>75</v>
      </c>
      <c r="B2520" s="16" t="s">
        <v>193</v>
      </c>
      <c r="C2520" s="15">
        <v>1</v>
      </c>
      <c r="D2520" s="17">
        <v>0</v>
      </c>
      <c r="E2520" s="17">
        <v>187</v>
      </c>
      <c r="F2520" s="17">
        <v>187</v>
      </c>
      <c r="G2520" s="18">
        <v>0</v>
      </c>
      <c r="H2520" s="10">
        <v>2025</v>
      </c>
    </row>
    <row r="2521" spans="1:8" hidden="1" x14ac:dyDescent="0.3">
      <c r="A2521" s="16" t="s">
        <v>75</v>
      </c>
      <c r="B2521" s="16" t="s">
        <v>193</v>
      </c>
      <c r="C2521" s="15">
        <v>2</v>
      </c>
      <c r="D2521" s="17">
        <v>0</v>
      </c>
      <c r="E2521" s="17">
        <v>372</v>
      </c>
      <c r="F2521" s="17">
        <v>372</v>
      </c>
      <c r="G2521" s="18">
        <v>0</v>
      </c>
      <c r="H2521" s="10">
        <v>2025</v>
      </c>
    </row>
    <row r="2522" spans="1:8" hidden="1" x14ac:dyDescent="0.3">
      <c r="A2522" s="16" t="s">
        <v>75</v>
      </c>
      <c r="B2522" s="16" t="s">
        <v>193</v>
      </c>
      <c r="C2522" s="15">
        <v>3</v>
      </c>
      <c r="D2522" s="17">
        <v>0</v>
      </c>
      <c r="E2522" s="17">
        <v>334</v>
      </c>
      <c r="F2522" s="17">
        <v>334</v>
      </c>
      <c r="G2522" s="18">
        <v>0</v>
      </c>
      <c r="H2522" s="10">
        <v>2025</v>
      </c>
    </row>
    <row r="2523" spans="1:8" hidden="1" x14ac:dyDescent="0.3">
      <c r="A2523" s="16" t="s">
        <v>75</v>
      </c>
      <c r="B2523" s="16" t="s">
        <v>193</v>
      </c>
      <c r="C2523" s="15">
        <v>4</v>
      </c>
      <c r="D2523" s="17">
        <v>0</v>
      </c>
      <c r="E2523" s="17">
        <v>6820</v>
      </c>
      <c r="F2523" s="17">
        <v>6820</v>
      </c>
      <c r="G2523" s="18">
        <v>0</v>
      </c>
      <c r="H2523" s="10">
        <v>2025</v>
      </c>
    </row>
    <row r="2524" spans="1:8" hidden="1" x14ac:dyDescent="0.3">
      <c r="A2524" s="16" t="s">
        <v>75</v>
      </c>
      <c r="B2524" s="16" t="s">
        <v>193</v>
      </c>
      <c r="C2524" s="15">
        <v>5</v>
      </c>
      <c r="D2524" s="17">
        <v>178000</v>
      </c>
      <c r="E2524" s="17">
        <v>201517</v>
      </c>
      <c r="F2524" s="17">
        <v>23517</v>
      </c>
      <c r="G2524" s="18">
        <v>1.1321179775280898</v>
      </c>
      <c r="H2524" s="10">
        <v>2025</v>
      </c>
    </row>
    <row r="2525" spans="1:8" hidden="1" x14ac:dyDescent="0.3">
      <c r="A2525" s="16" t="s">
        <v>75</v>
      </c>
      <c r="B2525" s="16" t="s">
        <v>193</v>
      </c>
      <c r="C2525" s="15">
        <v>6</v>
      </c>
      <c r="D2525" s="17">
        <v>178000</v>
      </c>
      <c r="E2525" s="17">
        <v>178333</v>
      </c>
      <c r="F2525" s="17">
        <v>333</v>
      </c>
      <c r="G2525" s="18">
        <v>1.0018707865168539</v>
      </c>
      <c r="H2525" s="10">
        <v>2025</v>
      </c>
    </row>
    <row r="2526" spans="1:8" hidden="1" x14ac:dyDescent="0.3">
      <c r="A2526" s="16" t="s">
        <v>75</v>
      </c>
      <c r="B2526" s="16" t="s">
        <v>193</v>
      </c>
      <c r="C2526" s="15">
        <v>7</v>
      </c>
      <c r="D2526" s="17">
        <v>178000</v>
      </c>
      <c r="E2526" s="17">
        <v>57208</v>
      </c>
      <c r="F2526" s="17">
        <v>-120792</v>
      </c>
      <c r="G2526" s="18">
        <v>0.32139325842696631</v>
      </c>
      <c r="H2526" s="10">
        <v>2025</v>
      </c>
    </row>
    <row r="2527" spans="1:8" hidden="1" x14ac:dyDescent="0.3">
      <c r="A2527" s="16" t="s">
        <v>75</v>
      </c>
      <c r="B2527" s="16" t="s">
        <v>193</v>
      </c>
      <c r="C2527" s="15">
        <v>8</v>
      </c>
      <c r="D2527" s="17">
        <v>178000</v>
      </c>
      <c r="E2527" s="17">
        <v>389</v>
      </c>
      <c r="F2527" s="17">
        <v>-177611</v>
      </c>
      <c r="G2527" s="18">
        <v>2.1853932584269663E-3</v>
      </c>
      <c r="H2527" s="10">
        <v>2025</v>
      </c>
    </row>
    <row r="2528" spans="1:8" hidden="1" x14ac:dyDescent="0.3">
      <c r="A2528" s="16" t="s">
        <v>75</v>
      </c>
      <c r="B2528" s="16" t="s">
        <v>193</v>
      </c>
      <c r="C2528" s="15">
        <v>9</v>
      </c>
      <c r="D2528" s="17">
        <v>178000</v>
      </c>
      <c r="E2528" s="17">
        <v>0</v>
      </c>
      <c r="F2528" s="17">
        <v>-178000</v>
      </c>
      <c r="G2528" s="18">
        <v>0</v>
      </c>
      <c r="H2528" s="10">
        <v>2025</v>
      </c>
    </row>
    <row r="2529" spans="1:8" hidden="1" x14ac:dyDescent="0.3">
      <c r="A2529" s="16" t="s">
        <v>75</v>
      </c>
      <c r="B2529" s="16" t="s">
        <v>193</v>
      </c>
      <c r="C2529" s="15">
        <v>10</v>
      </c>
      <c r="D2529" s="17">
        <v>178000</v>
      </c>
      <c r="E2529" s="17">
        <v>0</v>
      </c>
      <c r="F2529" s="17">
        <v>-178000</v>
      </c>
      <c r="G2529" s="18">
        <v>0</v>
      </c>
      <c r="H2529" s="10">
        <v>2025</v>
      </c>
    </row>
    <row r="2530" spans="1:8" hidden="1" x14ac:dyDescent="0.3">
      <c r="A2530" s="16" t="s">
        <v>75</v>
      </c>
      <c r="B2530" s="16" t="s">
        <v>194</v>
      </c>
      <c r="C2530" s="15">
        <v>1</v>
      </c>
      <c r="D2530" s="17">
        <v>1515773</v>
      </c>
      <c r="E2530" s="17">
        <v>1626987</v>
      </c>
      <c r="F2530" s="17">
        <v>111214</v>
      </c>
      <c r="G2530" s="18">
        <v>1.0733711446238983</v>
      </c>
      <c r="H2530" s="10">
        <v>2025</v>
      </c>
    </row>
    <row r="2531" spans="1:8" hidden="1" x14ac:dyDescent="0.3">
      <c r="A2531" s="16" t="s">
        <v>75</v>
      </c>
      <c r="B2531" s="16" t="s">
        <v>194</v>
      </c>
      <c r="C2531" s="15">
        <v>2</v>
      </c>
      <c r="D2531" s="17">
        <v>1630272</v>
      </c>
      <c r="E2531" s="17">
        <v>1691672</v>
      </c>
      <c r="F2531" s="17">
        <v>61400</v>
      </c>
      <c r="G2531" s="18">
        <v>1.0376624268833667</v>
      </c>
      <c r="H2531" s="10">
        <v>2025</v>
      </c>
    </row>
    <row r="2532" spans="1:8" hidden="1" x14ac:dyDescent="0.3">
      <c r="A2532" s="16" t="s">
        <v>75</v>
      </c>
      <c r="B2532" s="16" t="s">
        <v>194</v>
      </c>
      <c r="C2532" s="15">
        <v>3</v>
      </c>
      <c r="D2532" s="17">
        <v>1775665</v>
      </c>
      <c r="E2532" s="17">
        <v>1939634</v>
      </c>
      <c r="F2532" s="17">
        <v>163969</v>
      </c>
      <c r="G2532" s="18">
        <v>1.0923423055587624</v>
      </c>
      <c r="H2532" s="10">
        <v>2025</v>
      </c>
    </row>
    <row r="2533" spans="1:8" hidden="1" x14ac:dyDescent="0.3">
      <c r="A2533" s="16" t="s">
        <v>75</v>
      </c>
      <c r="B2533" s="16" t="s">
        <v>194</v>
      </c>
      <c r="C2533" s="15">
        <v>4</v>
      </c>
      <c r="D2533" s="17">
        <v>1693072</v>
      </c>
      <c r="E2533" s="17">
        <v>1726420</v>
      </c>
      <c r="F2533" s="17">
        <v>33348</v>
      </c>
      <c r="G2533" s="18">
        <v>1.0196967405993367</v>
      </c>
      <c r="H2533" s="10">
        <v>2025</v>
      </c>
    </row>
    <row r="2534" spans="1:8" hidden="1" x14ac:dyDescent="0.3">
      <c r="A2534" s="16" t="s">
        <v>75</v>
      </c>
      <c r="B2534" s="16" t="s">
        <v>194</v>
      </c>
      <c r="C2534" s="15">
        <v>5</v>
      </c>
      <c r="D2534" s="17">
        <v>1959314</v>
      </c>
      <c r="E2534" s="17">
        <v>1764517</v>
      </c>
      <c r="F2534" s="17">
        <v>-194797</v>
      </c>
      <c r="G2534" s="18">
        <v>0.9005789781525575</v>
      </c>
      <c r="H2534" s="10">
        <v>2025</v>
      </c>
    </row>
    <row r="2535" spans="1:8" hidden="1" x14ac:dyDescent="0.3">
      <c r="A2535" s="16" t="s">
        <v>75</v>
      </c>
      <c r="B2535" s="16" t="s">
        <v>194</v>
      </c>
      <c r="C2535" s="15">
        <v>6</v>
      </c>
      <c r="D2535" s="17">
        <v>1861443</v>
      </c>
      <c r="E2535" s="17">
        <v>1774133</v>
      </c>
      <c r="F2535" s="17">
        <v>-87310</v>
      </c>
      <c r="G2535" s="18">
        <v>0.95309552857648605</v>
      </c>
      <c r="H2535" s="10">
        <v>2025</v>
      </c>
    </row>
    <row r="2536" spans="1:8" hidden="1" x14ac:dyDescent="0.3">
      <c r="A2536" s="16" t="s">
        <v>75</v>
      </c>
      <c r="B2536" s="16" t="s">
        <v>194</v>
      </c>
      <c r="C2536" s="15">
        <v>7</v>
      </c>
      <c r="D2536" s="17">
        <v>1952800</v>
      </c>
      <c r="E2536" s="17">
        <v>2015408</v>
      </c>
      <c r="F2536" s="17">
        <v>62608</v>
      </c>
      <c r="G2536" s="18">
        <v>1.0320606308889799</v>
      </c>
      <c r="H2536" s="10">
        <v>2025</v>
      </c>
    </row>
    <row r="2537" spans="1:8" hidden="1" x14ac:dyDescent="0.3">
      <c r="A2537" s="16" t="s">
        <v>75</v>
      </c>
      <c r="B2537" s="16" t="s">
        <v>194</v>
      </c>
      <c r="C2537" s="15">
        <v>8</v>
      </c>
      <c r="D2537" s="17">
        <v>1834292</v>
      </c>
      <c r="E2537" s="17">
        <v>1882789</v>
      </c>
      <c r="F2537" s="17">
        <v>48497</v>
      </c>
      <c r="G2537" s="18">
        <v>1.0264390838536068</v>
      </c>
      <c r="H2537" s="10">
        <v>2025</v>
      </c>
    </row>
    <row r="2538" spans="1:8" hidden="1" x14ac:dyDescent="0.3">
      <c r="A2538" s="16" t="s">
        <v>75</v>
      </c>
      <c r="B2538" s="16" t="s">
        <v>194</v>
      </c>
      <c r="C2538" s="15">
        <v>9</v>
      </c>
      <c r="D2538" s="17">
        <v>1943322</v>
      </c>
      <c r="E2538" s="17">
        <v>1902700</v>
      </c>
      <c r="F2538" s="17">
        <v>-40622</v>
      </c>
      <c r="G2538" s="18">
        <v>0.97909661908834456</v>
      </c>
      <c r="H2538" s="10">
        <v>2025</v>
      </c>
    </row>
    <row r="2539" spans="1:8" hidden="1" x14ac:dyDescent="0.3">
      <c r="A2539" s="16" t="s">
        <v>75</v>
      </c>
      <c r="B2539" s="16" t="s">
        <v>194</v>
      </c>
      <c r="C2539" s="15">
        <v>10</v>
      </c>
      <c r="D2539" s="17">
        <v>1875522</v>
      </c>
      <c r="E2539" s="17">
        <v>1978300</v>
      </c>
      <c r="F2539" s="17">
        <v>102778</v>
      </c>
      <c r="G2539" s="18">
        <v>1.0547996771032278</v>
      </c>
      <c r="H2539" s="10">
        <v>2025</v>
      </c>
    </row>
    <row r="2540" spans="1:8" hidden="1" x14ac:dyDescent="0.3">
      <c r="A2540" s="16" t="s">
        <v>75</v>
      </c>
      <c r="B2540" s="16" t="s">
        <v>195</v>
      </c>
      <c r="C2540" s="15">
        <v>1</v>
      </c>
      <c r="D2540" s="17">
        <v>505257</v>
      </c>
      <c r="E2540" s="17">
        <v>524300</v>
      </c>
      <c r="F2540" s="17">
        <v>19043</v>
      </c>
      <c r="G2540" s="18">
        <v>1.0376897301769199</v>
      </c>
      <c r="H2540" s="10">
        <v>2025</v>
      </c>
    </row>
    <row r="2541" spans="1:8" hidden="1" x14ac:dyDescent="0.3">
      <c r="A2541" s="16" t="s">
        <v>75</v>
      </c>
      <c r="B2541" s="16" t="s">
        <v>195</v>
      </c>
      <c r="C2541" s="15">
        <v>2</v>
      </c>
      <c r="D2541" s="17">
        <v>543424</v>
      </c>
      <c r="E2541" s="17">
        <v>564200</v>
      </c>
      <c r="F2541" s="17">
        <v>20776</v>
      </c>
      <c r="G2541" s="18">
        <v>1.0382316570486398</v>
      </c>
      <c r="H2541" s="10">
        <v>2025</v>
      </c>
    </row>
    <row r="2542" spans="1:8" hidden="1" x14ac:dyDescent="0.3">
      <c r="A2542" s="16" t="s">
        <v>75</v>
      </c>
      <c r="B2542" s="16" t="s">
        <v>195</v>
      </c>
      <c r="C2542" s="15">
        <v>3</v>
      </c>
      <c r="D2542" s="17">
        <v>591888</v>
      </c>
      <c r="E2542" s="17">
        <v>646800</v>
      </c>
      <c r="F2542" s="17">
        <v>54912</v>
      </c>
      <c r="G2542" s="18">
        <v>1.0927743086529884</v>
      </c>
      <c r="H2542" s="10">
        <v>2025</v>
      </c>
    </row>
    <row r="2543" spans="1:8" hidden="1" x14ac:dyDescent="0.3">
      <c r="A2543" s="16" t="s">
        <v>75</v>
      </c>
      <c r="B2543" s="16" t="s">
        <v>195</v>
      </c>
      <c r="C2543" s="15">
        <v>4</v>
      </c>
      <c r="D2543" s="17">
        <v>564357</v>
      </c>
      <c r="E2543" s="17">
        <v>578800</v>
      </c>
      <c r="F2543" s="17">
        <v>14443</v>
      </c>
      <c r="G2543" s="18">
        <v>1.0255919568641836</v>
      </c>
      <c r="H2543" s="10">
        <v>2025</v>
      </c>
    </row>
    <row r="2544" spans="1:8" hidden="1" x14ac:dyDescent="0.3">
      <c r="A2544" s="16" t="s">
        <v>75</v>
      </c>
      <c r="B2544" s="16" t="s">
        <v>195</v>
      </c>
      <c r="C2544" s="15">
        <v>5</v>
      </c>
      <c r="D2544" s="17">
        <v>653104</v>
      </c>
      <c r="E2544" s="17">
        <v>580700</v>
      </c>
      <c r="F2544" s="17">
        <v>-72404</v>
      </c>
      <c r="G2544" s="18">
        <v>0.88913863641931457</v>
      </c>
      <c r="H2544" s="10">
        <v>2025</v>
      </c>
    </row>
    <row r="2545" spans="1:8" hidden="1" x14ac:dyDescent="0.3">
      <c r="A2545" s="16" t="s">
        <v>75</v>
      </c>
      <c r="B2545" s="16" t="s">
        <v>195</v>
      </c>
      <c r="C2545" s="15">
        <v>6</v>
      </c>
      <c r="D2545" s="17">
        <v>620481</v>
      </c>
      <c r="E2545" s="17">
        <v>591600</v>
      </c>
      <c r="F2545" s="17">
        <v>-28881</v>
      </c>
      <c r="G2545" s="18">
        <v>0.95345385273682837</v>
      </c>
      <c r="H2545" s="10">
        <v>2025</v>
      </c>
    </row>
    <row r="2546" spans="1:8" hidden="1" x14ac:dyDescent="0.3">
      <c r="A2546" s="16" t="s">
        <v>75</v>
      </c>
      <c r="B2546" s="16" t="s">
        <v>195</v>
      </c>
      <c r="C2546" s="15">
        <v>7</v>
      </c>
      <c r="D2546" s="17">
        <v>650933</v>
      </c>
      <c r="E2546" s="17">
        <v>653000</v>
      </c>
      <c r="F2546" s="17">
        <v>2067</v>
      </c>
      <c r="G2546" s="18">
        <v>1.0031754420193784</v>
      </c>
      <c r="H2546" s="10">
        <v>2025</v>
      </c>
    </row>
    <row r="2547" spans="1:8" hidden="1" x14ac:dyDescent="0.3">
      <c r="A2547" s="16" t="s">
        <v>75</v>
      </c>
      <c r="B2547" s="16" t="s">
        <v>195</v>
      </c>
      <c r="C2547" s="15">
        <v>8</v>
      </c>
      <c r="D2547" s="17">
        <v>611430</v>
      </c>
      <c r="E2547" s="17">
        <v>623400</v>
      </c>
      <c r="F2547" s="17">
        <v>11970</v>
      </c>
      <c r="G2547" s="18">
        <v>1.0195770570629508</v>
      </c>
      <c r="H2547" s="10">
        <v>2025</v>
      </c>
    </row>
    <row r="2548" spans="1:8" hidden="1" x14ac:dyDescent="0.3">
      <c r="A2548" s="16" t="s">
        <v>75</v>
      </c>
      <c r="B2548" s="16" t="s">
        <v>195</v>
      </c>
      <c r="C2548" s="15">
        <v>9</v>
      </c>
      <c r="D2548" s="17">
        <v>647774</v>
      </c>
      <c r="E2548" s="17">
        <v>612000</v>
      </c>
      <c r="F2548" s="17">
        <v>-35774</v>
      </c>
      <c r="G2548" s="18">
        <v>0.94477394893898181</v>
      </c>
      <c r="H2548" s="10">
        <v>2025</v>
      </c>
    </row>
    <row r="2549" spans="1:8" hidden="1" x14ac:dyDescent="0.3">
      <c r="A2549" s="16" t="s">
        <v>75</v>
      </c>
      <c r="B2549" s="16" t="s">
        <v>195</v>
      </c>
      <c r="C2549" s="15">
        <v>10</v>
      </c>
      <c r="D2549" s="17">
        <v>625174</v>
      </c>
      <c r="E2549" s="17">
        <v>663200</v>
      </c>
      <c r="F2549" s="17">
        <v>38026</v>
      </c>
      <c r="G2549" s="18">
        <v>1.0608246664128707</v>
      </c>
      <c r="H2549" s="10">
        <v>2025</v>
      </c>
    </row>
    <row r="2550" spans="1:8" hidden="1" x14ac:dyDescent="0.3">
      <c r="A2550" s="16" t="s">
        <v>75</v>
      </c>
      <c r="B2550" s="16" t="s">
        <v>199</v>
      </c>
      <c r="C2550" s="15">
        <v>1</v>
      </c>
      <c r="D2550" s="17">
        <v>98394</v>
      </c>
      <c r="E2550" s="17">
        <v>294200</v>
      </c>
      <c r="F2550" s="17">
        <v>195806</v>
      </c>
      <c r="G2550" s="18">
        <v>2.9900197166493894</v>
      </c>
      <c r="H2550" s="10">
        <v>2025</v>
      </c>
    </row>
    <row r="2551" spans="1:8" hidden="1" x14ac:dyDescent="0.3">
      <c r="A2551" s="16" t="s">
        <v>75</v>
      </c>
      <c r="B2551" s="16" t="s">
        <v>199</v>
      </c>
      <c r="C2551" s="15">
        <v>2</v>
      </c>
      <c r="D2551" s="17">
        <v>98394</v>
      </c>
      <c r="E2551" s="17">
        <v>0</v>
      </c>
      <c r="F2551" s="17">
        <v>-98394</v>
      </c>
      <c r="G2551" s="18">
        <v>0</v>
      </c>
      <c r="H2551" s="10">
        <v>2025</v>
      </c>
    </row>
    <row r="2552" spans="1:8" hidden="1" x14ac:dyDescent="0.3">
      <c r="A2552" s="16" t="s">
        <v>75</v>
      </c>
      <c r="B2552" s="16" t="s">
        <v>199</v>
      </c>
      <c r="C2552" s="15">
        <v>3</v>
      </c>
      <c r="D2552" s="17">
        <v>98394</v>
      </c>
      <c r="E2552" s="17">
        <v>134000</v>
      </c>
      <c r="F2552" s="17">
        <v>35606</v>
      </c>
      <c r="G2552" s="18">
        <v>1.3618716588409863</v>
      </c>
      <c r="H2552" s="10">
        <v>2025</v>
      </c>
    </row>
    <row r="2553" spans="1:8" hidden="1" x14ac:dyDescent="0.3">
      <c r="A2553" s="16" t="s">
        <v>75</v>
      </c>
      <c r="B2553" s="16" t="s">
        <v>199</v>
      </c>
      <c r="C2553" s="15">
        <v>4</v>
      </c>
      <c r="D2553" s="17">
        <v>98394</v>
      </c>
      <c r="E2553" s="17">
        <v>285506</v>
      </c>
      <c r="F2553" s="17">
        <v>187112</v>
      </c>
      <c r="G2553" s="18">
        <v>2.9016606703660792</v>
      </c>
      <c r="H2553" s="10">
        <v>2025</v>
      </c>
    </row>
    <row r="2554" spans="1:8" hidden="1" x14ac:dyDescent="0.3">
      <c r="A2554" s="16" t="s">
        <v>75</v>
      </c>
      <c r="B2554" s="16" t="s">
        <v>199</v>
      </c>
      <c r="C2554" s="15">
        <v>5</v>
      </c>
      <c r="D2554" s="17">
        <v>98394</v>
      </c>
      <c r="E2554" s="17">
        <v>210000</v>
      </c>
      <c r="F2554" s="17">
        <v>111606</v>
      </c>
      <c r="G2554" s="18">
        <v>2.1342764802731873</v>
      </c>
      <c r="H2554" s="10">
        <v>2025</v>
      </c>
    </row>
    <row r="2555" spans="1:8" hidden="1" x14ac:dyDescent="0.3">
      <c r="A2555" s="16" t="s">
        <v>75</v>
      </c>
      <c r="B2555" s="16" t="s">
        <v>199</v>
      </c>
      <c r="C2555" s="15">
        <v>6</v>
      </c>
      <c r="D2555" s="17">
        <v>298394</v>
      </c>
      <c r="E2555" s="17">
        <v>26500</v>
      </c>
      <c r="F2555" s="17">
        <v>-271894</v>
      </c>
      <c r="G2555" s="18">
        <v>8.8808756208234751E-2</v>
      </c>
      <c r="H2555" s="10">
        <v>2025</v>
      </c>
    </row>
    <row r="2556" spans="1:8" hidden="1" x14ac:dyDescent="0.3">
      <c r="A2556" s="16" t="s">
        <v>75</v>
      </c>
      <c r="B2556" s="16" t="s">
        <v>199</v>
      </c>
      <c r="C2556" s="15">
        <v>7</v>
      </c>
      <c r="D2556" s="17">
        <v>98394</v>
      </c>
      <c r="E2556" s="17">
        <v>48000</v>
      </c>
      <c r="F2556" s="17">
        <v>-50394</v>
      </c>
      <c r="G2556" s="18">
        <v>0.48783462406244288</v>
      </c>
      <c r="H2556" s="10">
        <v>2025</v>
      </c>
    </row>
    <row r="2557" spans="1:8" hidden="1" x14ac:dyDescent="0.3">
      <c r="A2557" s="16" t="s">
        <v>75</v>
      </c>
      <c r="B2557" s="16" t="s">
        <v>199</v>
      </c>
      <c r="C2557" s="15">
        <v>8</v>
      </c>
      <c r="D2557" s="17">
        <v>98394</v>
      </c>
      <c r="E2557" s="17">
        <v>0</v>
      </c>
      <c r="F2557" s="17">
        <v>-98394</v>
      </c>
      <c r="G2557" s="18">
        <v>0</v>
      </c>
      <c r="H2557" s="10">
        <v>2025</v>
      </c>
    </row>
    <row r="2558" spans="1:8" hidden="1" x14ac:dyDescent="0.3">
      <c r="A2558" s="16" t="s">
        <v>75</v>
      </c>
      <c r="B2558" s="16" t="s">
        <v>199</v>
      </c>
      <c r="C2558" s="15">
        <v>9</v>
      </c>
      <c r="D2558" s="17">
        <v>98394</v>
      </c>
      <c r="E2558" s="17">
        <v>0</v>
      </c>
      <c r="F2558" s="17">
        <v>-98394</v>
      </c>
      <c r="G2558" s="18">
        <v>0</v>
      </c>
      <c r="H2558" s="10">
        <v>2025</v>
      </c>
    </row>
    <row r="2559" spans="1:8" hidden="1" x14ac:dyDescent="0.3">
      <c r="A2559" s="16" t="s">
        <v>75</v>
      </c>
      <c r="B2559" s="16" t="s">
        <v>199</v>
      </c>
      <c r="C2559" s="15">
        <v>10</v>
      </c>
      <c r="D2559" s="17">
        <v>98394</v>
      </c>
      <c r="E2559" s="17">
        <v>102200</v>
      </c>
      <c r="F2559" s="17">
        <v>3806</v>
      </c>
      <c r="G2559" s="18">
        <v>1.0386812203996179</v>
      </c>
      <c r="H2559" s="10">
        <v>2025</v>
      </c>
    </row>
    <row r="2560" spans="1:8" hidden="1" x14ac:dyDescent="0.3">
      <c r="A2560" s="16" t="s">
        <v>75</v>
      </c>
      <c r="B2560" s="16" t="s">
        <v>200</v>
      </c>
      <c r="C2560" s="15">
        <v>1</v>
      </c>
      <c r="D2560" s="17">
        <v>6233826</v>
      </c>
      <c r="E2560" s="17">
        <v>7993095</v>
      </c>
      <c r="F2560" s="17">
        <v>1759269</v>
      </c>
      <c r="G2560" s="18">
        <v>1.2822133630293819</v>
      </c>
      <c r="H2560" s="10">
        <v>2025</v>
      </c>
    </row>
    <row r="2561" spans="1:8" hidden="1" x14ac:dyDescent="0.3">
      <c r="A2561" s="16" t="s">
        <v>75</v>
      </c>
      <c r="B2561" s="16" t="s">
        <v>200</v>
      </c>
      <c r="C2561" s="15">
        <v>2</v>
      </c>
      <c r="D2561" s="17">
        <v>10678494</v>
      </c>
      <c r="E2561" s="17">
        <v>12712638</v>
      </c>
      <c r="F2561" s="17">
        <v>2034144</v>
      </c>
      <c r="G2561" s="18">
        <v>1.1904897825479885</v>
      </c>
      <c r="H2561" s="10">
        <v>2025</v>
      </c>
    </row>
    <row r="2562" spans="1:8" hidden="1" x14ac:dyDescent="0.3">
      <c r="A2562" s="16" t="s">
        <v>75</v>
      </c>
      <c r="B2562" s="16" t="s">
        <v>200</v>
      </c>
      <c r="C2562" s="15">
        <v>3</v>
      </c>
      <c r="D2562" s="17">
        <v>13570296</v>
      </c>
      <c r="E2562" s="17">
        <v>10836924</v>
      </c>
      <c r="F2562" s="17">
        <v>-2733372</v>
      </c>
      <c r="G2562" s="18">
        <v>0.79857683281190039</v>
      </c>
      <c r="H2562" s="10">
        <v>2025</v>
      </c>
    </row>
    <row r="2563" spans="1:8" hidden="1" x14ac:dyDescent="0.3">
      <c r="A2563" s="16" t="s">
        <v>75</v>
      </c>
      <c r="B2563" s="16" t="s">
        <v>200</v>
      </c>
      <c r="C2563" s="15">
        <v>4</v>
      </c>
      <c r="D2563" s="17">
        <v>15463518</v>
      </c>
      <c r="E2563" s="17">
        <v>11392195</v>
      </c>
      <c r="F2563" s="17">
        <v>-4071323</v>
      </c>
      <c r="G2563" s="18">
        <v>0.73671431041759061</v>
      </c>
      <c r="H2563" s="10">
        <v>2025</v>
      </c>
    </row>
    <row r="2564" spans="1:8" hidden="1" x14ac:dyDescent="0.3">
      <c r="A2564" s="16" t="s">
        <v>75</v>
      </c>
      <c r="B2564" s="16" t="s">
        <v>200</v>
      </c>
      <c r="C2564" s="15">
        <v>5</v>
      </c>
      <c r="D2564" s="17">
        <v>16351561</v>
      </c>
      <c r="E2564" s="17">
        <v>10503607</v>
      </c>
      <c r="F2564" s="17">
        <v>-5847954</v>
      </c>
      <c r="G2564" s="18">
        <v>0.64236111769390092</v>
      </c>
      <c r="H2564" s="10">
        <v>2025</v>
      </c>
    </row>
    <row r="2565" spans="1:8" hidden="1" x14ac:dyDescent="0.3">
      <c r="A2565" s="16" t="s">
        <v>75</v>
      </c>
      <c r="B2565" s="16" t="s">
        <v>200</v>
      </c>
      <c r="C2565" s="15">
        <v>6</v>
      </c>
      <c r="D2565" s="17">
        <v>15599315</v>
      </c>
      <c r="E2565" s="17">
        <v>10674148</v>
      </c>
      <c r="F2565" s="17">
        <v>-4925167</v>
      </c>
      <c r="G2565" s="18">
        <v>0.68427030289471047</v>
      </c>
      <c r="H2565" s="10">
        <v>2025</v>
      </c>
    </row>
    <row r="2566" spans="1:8" hidden="1" x14ac:dyDescent="0.3">
      <c r="A2566" s="16" t="s">
        <v>75</v>
      </c>
      <c r="B2566" s="16" t="s">
        <v>200</v>
      </c>
      <c r="C2566" s="15">
        <v>7</v>
      </c>
      <c r="D2566" s="17">
        <v>16301495</v>
      </c>
      <c r="E2566" s="17">
        <v>13002015</v>
      </c>
      <c r="F2566" s="17">
        <v>-3299480</v>
      </c>
      <c r="G2566" s="18">
        <v>0.79759647811443068</v>
      </c>
      <c r="H2566" s="10">
        <v>2025</v>
      </c>
    </row>
    <row r="2567" spans="1:8" hidden="1" x14ac:dyDescent="0.3">
      <c r="A2567" s="16" t="s">
        <v>75</v>
      </c>
      <c r="B2567" s="16" t="s">
        <v>200</v>
      </c>
      <c r="C2567" s="15">
        <v>8</v>
      </c>
      <c r="D2567" s="17">
        <v>15390627</v>
      </c>
      <c r="E2567" s="17">
        <v>13952893</v>
      </c>
      <c r="F2567" s="17">
        <v>-1437734</v>
      </c>
      <c r="G2567" s="18">
        <v>0.90658379285002488</v>
      </c>
      <c r="H2567" s="10">
        <v>2025</v>
      </c>
    </row>
    <row r="2568" spans="1:8" hidden="1" x14ac:dyDescent="0.3">
      <c r="A2568" s="16" t="s">
        <v>75</v>
      </c>
      <c r="B2568" s="16" t="s">
        <v>200</v>
      </c>
      <c r="C2568" s="15">
        <v>9</v>
      </c>
      <c r="D2568" s="17">
        <v>16228642</v>
      </c>
      <c r="E2568" s="17">
        <v>14744971</v>
      </c>
      <c r="F2568" s="17">
        <v>-1483671</v>
      </c>
      <c r="G2568" s="18">
        <v>0.90857700847674139</v>
      </c>
      <c r="H2568" s="10">
        <v>2025</v>
      </c>
    </row>
    <row r="2569" spans="1:8" hidden="1" x14ac:dyDescent="0.3">
      <c r="A2569" s="16" t="s">
        <v>75</v>
      </c>
      <c r="B2569" s="16" t="s">
        <v>200</v>
      </c>
      <c r="C2569" s="15">
        <v>10</v>
      </c>
      <c r="D2569" s="17">
        <v>15707532</v>
      </c>
      <c r="E2569" s="17">
        <v>11387695</v>
      </c>
      <c r="F2569" s="17">
        <v>-4319837</v>
      </c>
      <c r="G2569" s="18">
        <v>0.72498308454822824</v>
      </c>
      <c r="H2569" s="10">
        <v>2025</v>
      </c>
    </row>
    <row r="2570" spans="1:8" hidden="1" x14ac:dyDescent="0.3">
      <c r="A2570" s="16" t="s">
        <v>75</v>
      </c>
      <c r="B2570" s="16" t="s">
        <v>201</v>
      </c>
      <c r="C2570" s="15">
        <v>1</v>
      </c>
      <c r="D2570" s="17">
        <v>1842500</v>
      </c>
      <c r="E2570" s="17">
        <v>1842500</v>
      </c>
      <c r="F2570" s="17">
        <v>0</v>
      </c>
      <c r="G2570" s="18">
        <v>1</v>
      </c>
      <c r="H2570" s="10">
        <v>2025</v>
      </c>
    </row>
    <row r="2571" spans="1:8" hidden="1" x14ac:dyDescent="0.3">
      <c r="A2571" s="16" t="s">
        <v>75</v>
      </c>
      <c r="B2571" s="16" t="s">
        <v>201</v>
      </c>
      <c r="C2571" s="15">
        <v>2</v>
      </c>
      <c r="D2571" s="17">
        <v>882671</v>
      </c>
      <c r="E2571" s="17">
        <v>938023</v>
      </c>
      <c r="F2571" s="17">
        <v>55352</v>
      </c>
      <c r="G2571" s="18">
        <v>1.0627096619238652</v>
      </c>
      <c r="H2571" s="10">
        <v>2025</v>
      </c>
    </row>
    <row r="2572" spans="1:8" hidden="1" x14ac:dyDescent="0.3">
      <c r="A2572" s="16" t="s">
        <v>75</v>
      </c>
      <c r="B2572" s="16" t="s">
        <v>201</v>
      </c>
      <c r="C2572" s="15">
        <v>3</v>
      </c>
      <c r="D2572" s="17">
        <v>1025891</v>
      </c>
      <c r="E2572" s="17">
        <v>377734</v>
      </c>
      <c r="F2572" s="17">
        <v>-648157</v>
      </c>
      <c r="G2572" s="18">
        <v>0.36820091023315343</v>
      </c>
      <c r="H2572" s="10">
        <v>2025</v>
      </c>
    </row>
    <row r="2573" spans="1:8" hidden="1" x14ac:dyDescent="0.3">
      <c r="A2573" s="16" t="s">
        <v>75</v>
      </c>
      <c r="B2573" s="16" t="s">
        <v>201</v>
      </c>
      <c r="C2573" s="15">
        <v>4</v>
      </c>
      <c r="D2573" s="17">
        <v>1216242</v>
      </c>
      <c r="E2573" s="17">
        <v>831148</v>
      </c>
      <c r="F2573" s="17">
        <v>-385094</v>
      </c>
      <c r="G2573" s="18">
        <v>0.68337386802955336</v>
      </c>
      <c r="H2573" s="10">
        <v>2025</v>
      </c>
    </row>
    <row r="2574" spans="1:8" hidden="1" x14ac:dyDescent="0.3">
      <c r="A2574" s="16" t="s">
        <v>75</v>
      </c>
      <c r="B2574" s="16" t="s">
        <v>201</v>
      </c>
      <c r="C2574" s="15">
        <v>5</v>
      </c>
      <c r="D2574" s="17">
        <v>1285460</v>
      </c>
      <c r="E2574" s="17">
        <v>755022</v>
      </c>
      <c r="F2574" s="17">
        <v>-530438</v>
      </c>
      <c r="G2574" s="18">
        <v>0.58735549919873042</v>
      </c>
      <c r="H2574" s="10">
        <v>2025</v>
      </c>
    </row>
    <row r="2575" spans="1:8" hidden="1" x14ac:dyDescent="0.3">
      <c r="A2575" s="16" t="s">
        <v>75</v>
      </c>
      <c r="B2575" s="16" t="s">
        <v>201</v>
      </c>
      <c r="C2575" s="15">
        <v>6</v>
      </c>
      <c r="D2575" s="17">
        <v>1285460</v>
      </c>
      <c r="E2575" s="17">
        <v>759627</v>
      </c>
      <c r="F2575" s="17">
        <v>-525833</v>
      </c>
      <c r="G2575" s="18">
        <v>0.59093787437959955</v>
      </c>
      <c r="H2575" s="10">
        <v>2025</v>
      </c>
    </row>
    <row r="2576" spans="1:8" hidden="1" x14ac:dyDescent="0.3">
      <c r="A2576" s="16" t="s">
        <v>75</v>
      </c>
      <c r="B2576" s="16" t="s">
        <v>201</v>
      </c>
      <c r="C2576" s="15">
        <v>7</v>
      </c>
      <c r="D2576" s="17">
        <v>1285460</v>
      </c>
      <c r="E2576" s="17">
        <v>958631</v>
      </c>
      <c r="F2576" s="17">
        <v>-326829</v>
      </c>
      <c r="G2576" s="18">
        <v>0.74574938154434989</v>
      </c>
      <c r="H2576" s="10">
        <v>2025</v>
      </c>
    </row>
    <row r="2577" spans="1:8" hidden="1" x14ac:dyDescent="0.3">
      <c r="A2577" s="16" t="s">
        <v>75</v>
      </c>
      <c r="B2577" s="16" t="s">
        <v>201</v>
      </c>
      <c r="C2577" s="15">
        <v>8</v>
      </c>
      <c r="D2577" s="17">
        <v>1285460</v>
      </c>
      <c r="E2577" s="17">
        <v>1018531</v>
      </c>
      <c r="F2577" s="17">
        <v>-266929</v>
      </c>
      <c r="G2577" s="18">
        <v>0.79234748650288611</v>
      </c>
      <c r="H2577" s="10">
        <v>2025</v>
      </c>
    </row>
    <row r="2578" spans="1:8" hidden="1" x14ac:dyDescent="0.3">
      <c r="A2578" s="16" t="s">
        <v>75</v>
      </c>
      <c r="B2578" s="16" t="s">
        <v>201</v>
      </c>
      <c r="C2578" s="15">
        <v>9</v>
      </c>
      <c r="D2578" s="17">
        <v>1285460</v>
      </c>
      <c r="E2578" s="17">
        <v>1018531</v>
      </c>
      <c r="F2578" s="17">
        <v>-266929</v>
      </c>
      <c r="G2578" s="18">
        <v>0.79234748650288611</v>
      </c>
      <c r="H2578" s="10">
        <v>2025</v>
      </c>
    </row>
    <row r="2579" spans="1:8" hidden="1" x14ac:dyDescent="0.3">
      <c r="A2579" s="16" t="s">
        <v>75</v>
      </c>
      <c r="B2579" s="16" t="s">
        <v>201</v>
      </c>
      <c r="C2579" s="15">
        <v>10</v>
      </c>
      <c r="D2579" s="17">
        <v>1285460</v>
      </c>
      <c r="E2579" s="17">
        <v>784550</v>
      </c>
      <c r="F2579" s="17">
        <v>-500910</v>
      </c>
      <c r="G2579" s="18">
        <v>0.61032626452787331</v>
      </c>
      <c r="H2579" s="10">
        <v>2025</v>
      </c>
    </row>
    <row r="2580" spans="1:8" hidden="1" x14ac:dyDescent="0.3">
      <c r="A2580" s="16" t="s">
        <v>75</v>
      </c>
      <c r="B2580" s="16" t="s">
        <v>202</v>
      </c>
      <c r="C2580" s="15">
        <v>1</v>
      </c>
      <c r="D2580" s="17">
        <v>151913</v>
      </c>
      <c r="E2580" s="17">
        <v>169021</v>
      </c>
      <c r="F2580" s="17">
        <v>17108</v>
      </c>
      <c r="G2580" s="18">
        <v>1.1126170900449599</v>
      </c>
      <c r="H2580" s="10">
        <v>2025</v>
      </c>
    </row>
    <row r="2581" spans="1:8" hidden="1" x14ac:dyDescent="0.3">
      <c r="A2581" s="16" t="s">
        <v>75</v>
      </c>
      <c r="B2581" s="16" t="s">
        <v>202</v>
      </c>
      <c r="C2581" s="15">
        <v>2</v>
      </c>
      <c r="D2581" s="17">
        <v>269849</v>
      </c>
      <c r="E2581" s="17">
        <v>286771</v>
      </c>
      <c r="F2581" s="17">
        <v>16922</v>
      </c>
      <c r="G2581" s="18">
        <v>1.0627091447439123</v>
      </c>
      <c r="H2581" s="10">
        <v>2025</v>
      </c>
    </row>
    <row r="2582" spans="1:8" hidden="1" x14ac:dyDescent="0.3">
      <c r="A2582" s="16" t="s">
        <v>75</v>
      </c>
      <c r="B2582" s="16" t="s">
        <v>202</v>
      </c>
      <c r="C2582" s="15">
        <v>3</v>
      </c>
      <c r="D2582" s="17">
        <v>313634</v>
      </c>
      <c r="E2582" s="17">
        <v>215848</v>
      </c>
      <c r="F2582" s="17">
        <v>-97786</v>
      </c>
      <c r="G2582" s="18">
        <v>0.6882162010496311</v>
      </c>
      <c r="H2582" s="10">
        <v>2025</v>
      </c>
    </row>
    <row r="2583" spans="1:8" hidden="1" x14ac:dyDescent="0.3">
      <c r="A2583" s="16" t="s">
        <v>75</v>
      </c>
      <c r="B2583" s="16" t="s">
        <v>202</v>
      </c>
      <c r="C2583" s="15">
        <v>4</v>
      </c>
      <c r="D2583" s="17">
        <v>371827</v>
      </c>
      <c r="E2583" s="17">
        <v>254097</v>
      </c>
      <c r="F2583" s="17">
        <v>-117730</v>
      </c>
      <c r="G2583" s="18">
        <v>0.68337425738313784</v>
      </c>
      <c r="H2583" s="10">
        <v>2025</v>
      </c>
    </row>
    <row r="2584" spans="1:8" hidden="1" x14ac:dyDescent="0.3">
      <c r="A2584" s="16" t="s">
        <v>75</v>
      </c>
      <c r="B2584" s="16" t="s">
        <v>202</v>
      </c>
      <c r="C2584" s="15">
        <v>5</v>
      </c>
      <c r="D2584" s="17">
        <v>392989</v>
      </c>
      <c r="E2584" s="17">
        <v>230824</v>
      </c>
      <c r="F2584" s="17">
        <v>-162165</v>
      </c>
      <c r="G2584" s="18">
        <v>0.5873548623498368</v>
      </c>
      <c r="H2584" s="10">
        <v>2025</v>
      </c>
    </row>
    <row r="2585" spans="1:8" hidden="1" x14ac:dyDescent="0.3">
      <c r="A2585" s="16" t="s">
        <v>75</v>
      </c>
      <c r="B2585" s="16" t="s">
        <v>202</v>
      </c>
      <c r="C2585" s="15">
        <v>6</v>
      </c>
      <c r="D2585" s="17">
        <v>392989</v>
      </c>
      <c r="E2585" s="17">
        <v>232232</v>
      </c>
      <c r="F2585" s="17">
        <v>-160757</v>
      </c>
      <c r="G2585" s="18">
        <v>0.59093765983271795</v>
      </c>
      <c r="H2585" s="10">
        <v>2025</v>
      </c>
    </row>
    <row r="2586" spans="1:8" hidden="1" x14ac:dyDescent="0.3">
      <c r="A2586" s="16" t="s">
        <v>75</v>
      </c>
      <c r="B2586" s="16" t="s">
        <v>202</v>
      </c>
      <c r="C2586" s="15">
        <v>7</v>
      </c>
      <c r="D2586" s="17">
        <v>392989</v>
      </c>
      <c r="E2586" s="17">
        <v>293071</v>
      </c>
      <c r="F2586" s="17">
        <v>-99918</v>
      </c>
      <c r="G2586" s="18">
        <v>0.74574860873968485</v>
      </c>
      <c r="H2586" s="10">
        <v>2025</v>
      </c>
    </row>
    <row r="2587" spans="1:8" hidden="1" x14ac:dyDescent="0.3">
      <c r="A2587" s="16" t="s">
        <v>75</v>
      </c>
      <c r="B2587" s="16" t="s">
        <v>202</v>
      </c>
      <c r="C2587" s="15">
        <v>8</v>
      </c>
      <c r="D2587" s="17">
        <v>392989</v>
      </c>
      <c r="E2587" s="17">
        <v>311384</v>
      </c>
      <c r="F2587" s="17">
        <v>-81605</v>
      </c>
      <c r="G2587" s="18">
        <v>0.79234787742150548</v>
      </c>
      <c r="H2587" s="10">
        <v>2025</v>
      </c>
    </row>
    <row r="2588" spans="1:8" hidden="1" x14ac:dyDescent="0.3">
      <c r="A2588" s="16" t="s">
        <v>75</v>
      </c>
      <c r="B2588" s="16" t="s">
        <v>202</v>
      </c>
      <c r="C2588" s="15">
        <v>9</v>
      </c>
      <c r="D2588" s="17">
        <v>392989</v>
      </c>
      <c r="E2588" s="17">
        <v>311384</v>
      </c>
      <c r="F2588" s="17">
        <v>-81605</v>
      </c>
      <c r="G2588" s="18">
        <v>0.79234787742150548</v>
      </c>
      <c r="H2588" s="10">
        <v>2025</v>
      </c>
    </row>
    <row r="2589" spans="1:8" hidden="1" x14ac:dyDescent="0.3">
      <c r="A2589" s="16" t="s">
        <v>75</v>
      </c>
      <c r="B2589" s="16" t="s">
        <v>202</v>
      </c>
      <c r="C2589" s="15">
        <v>10</v>
      </c>
      <c r="D2589" s="17">
        <v>392989</v>
      </c>
      <c r="E2589" s="17">
        <v>239852</v>
      </c>
      <c r="F2589" s="17">
        <v>-153137</v>
      </c>
      <c r="G2589" s="18">
        <v>0.61032751552842446</v>
      </c>
      <c r="H2589" s="10">
        <v>2025</v>
      </c>
    </row>
    <row r="2590" spans="1:8" hidden="1" x14ac:dyDescent="0.3">
      <c r="A2590" s="16" t="s">
        <v>75</v>
      </c>
      <c r="B2590" s="16" t="s">
        <v>208</v>
      </c>
      <c r="C2590" s="15">
        <v>1</v>
      </c>
      <c r="D2590" s="17">
        <v>0</v>
      </c>
      <c r="E2590" s="17">
        <v>95000</v>
      </c>
      <c r="F2590" s="17">
        <v>95000</v>
      </c>
      <c r="G2590" s="18">
        <v>0</v>
      </c>
      <c r="H2590" s="10">
        <v>2025</v>
      </c>
    </row>
    <row r="2591" spans="1:8" hidden="1" x14ac:dyDescent="0.3">
      <c r="A2591" s="16" t="s">
        <v>75</v>
      </c>
      <c r="B2591" s="16" t="s">
        <v>208</v>
      </c>
      <c r="C2591" s="15">
        <v>2</v>
      </c>
      <c r="D2591" s="17">
        <v>0</v>
      </c>
      <c r="E2591" s="17">
        <v>409584</v>
      </c>
      <c r="F2591" s="17">
        <v>409584</v>
      </c>
      <c r="G2591" s="18">
        <v>0</v>
      </c>
      <c r="H2591" s="10">
        <v>2025</v>
      </c>
    </row>
    <row r="2592" spans="1:8" hidden="1" x14ac:dyDescent="0.3">
      <c r="A2592" s="16" t="s">
        <v>75</v>
      </c>
      <c r="B2592" s="16" t="s">
        <v>208</v>
      </c>
      <c r="C2592" s="15">
        <v>3</v>
      </c>
      <c r="D2592" s="17">
        <v>0</v>
      </c>
      <c r="E2592" s="17">
        <v>86345</v>
      </c>
      <c r="F2592" s="17">
        <v>86345</v>
      </c>
      <c r="G2592" s="18">
        <v>0</v>
      </c>
      <c r="H2592" s="10">
        <v>2025</v>
      </c>
    </row>
    <row r="2593" spans="1:8" hidden="1" x14ac:dyDescent="0.3">
      <c r="A2593" s="16" t="s">
        <v>75</v>
      </c>
      <c r="B2593" s="16" t="s">
        <v>208</v>
      </c>
      <c r="C2593" s="15">
        <v>4</v>
      </c>
      <c r="D2593" s="17">
        <v>0</v>
      </c>
      <c r="E2593" s="17">
        <v>201384</v>
      </c>
      <c r="F2593" s="17">
        <v>201384</v>
      </c>
      <c r="G2593" s="18">
        <v>0</v>
      </c>
      <c r="H2593" s="10">
        <v>2025</v>
      </c>
    </row>
    <row r="2594" spans="1:8" hidden="1" x14ac:dyDescent="0.3">
      <c r="A2594" s="16" t="s">
        <v>75</v>
      </c>
      <c r="B2594" s="16" t="s">
        <v>208</v>
      </c>
      <c r="C2594" s="15">
        <v>7</v>
      </c>
      <c r="D2594" s="17">
        <v>0</v>
      </c>
      <c r="E2594" s="17">
        <v>182820</v>
      </c>
      <c r="F2594" s="17">
        <v>182820</v>
      </c>
      <c r="G2594" s="18">
        <v>0</v>
      </c>
      <c r="H2594" s="10">
        <v>2025</v>
      </c>
    </row>
    <row r="2595" spans="1:8" hidden="1" x14ac:dyDescent="0.3">
      <c r="A2595" s="16" t="s">
        <v>75</v>
      </c>
      <c r="B2595" s="16" t="s">
        <v>181</v>
      </c>
      <c r="C2595" s="15">
        <v>11</v>
      </c>
      <c r="D2595" s="17">
        <v>1429122</v>
      </c>
      <c r="E2595" s="17">
        <v>1410526</v>
      </c>
      <c r="F2595" s="17">
        <v>-18596</v>
      </c>
      <c r="G2595" s="18">
        <v>0.98698781489613907</v>
      </c>
      <c r="H2595" s="10">
        <v>2025</v>
      </c>
    </row>
    <row r="2596" spans="1:8" hidden="1" x14ac:dyDescent="0.3">
      <c r="A2596" s="16" t="s">
        <v>75</v>
      </c>
      <c r="B2596" s="16" t="s">
        <v>208</v>
      </c>
      <c r="C2596" s="15">
        <v>11</v>
      </c>
      <c r="D2596" s="17">
        <v>0</v>
      </c>
      <c r="E2596" s="17">
        <v>86345</v>
      </c>
      <c r="F2596" s="17">
        <v>86345</v>
      </c>
      <c r="G2596" s="18">
        <v>0</v>
      </c>
      <c r="H2596" s="10">
        <v>2025</v>
      </c>
    </row>
    <row r="2597" spans="1:8" hidden="1" x14ac:dyDescent="0.3">
      <c r="A2597" s="16" t="s">
        <v>75</v>
      </c>
      <c r="B2597" s="16" t="s">
        <v>189</v>
      </c>
      <c r="C2597" s="15">
        <v>11</v>
      </c>
      <c r="D2597" s="17">
        <v>464766.75</v>
      </c>
      <c r="E2597" s="17">
        <v>292565</v>
      </c>
      <c r="F2597" s="17">
        <v>-172201.75</v>
      </c>
      <c r="G2597" s="18">
        <v>0.62948780221476686</v>
      </c>
      <c r="H2597" s="10">
        <v>2025</v>
      </c>
    </row>
    <row r="2598" spans="1:8" hidden="1" x14ac:dyDescent="0.3">
      <c r="A2598" s="16" t="s">
        <v>75</v>
      </c>
      <c r="B2598" s="16" t="s">
        <v>199</v>
      </c>
      <c r="C2598" s="15">
        <v>11</v>
      </c>
      <c r="D2598" s="17">
        <v>98394</v>
      </c>
      <c r="E2598" s="17">
        <v>0</v>
      </c>
      <c r="F2598" s="17">
        <v>-98394</v>
      </c>
      <c r="G2598" s="18">
        <v>0</v>
      </c>
      <c r="H2598" s="10">
        <v>2025</v>
      </c>
    </row>
    <row r="2599" spans="1:8" hidden="1" x14ac:dyDescent="0.3">
      <c r="A2599" s="16" t="s">
        <v>75</v>
      </c>
      <c r="B2599" s="16" t="s">
        <v>205</v>
      </c>
      <c r="C2599" s="15">
        <v>11</v>
      </c>
      <c r="D2599" s="17">
        <v>910329</v>
      </c>
      <c r="E2599" s="17">
        <v>2077531</v>
      </c>
      <c r="F2599" s="17">
        <v>1167202</v>
      </c>
      <c r="G2599" s="18">
        <v>2.2821760044994721</v>
      </c>
      <c r="H2599" s="10">
        <v>2025</v>
      </c>
    </row>
    <row r="2600" spans="1:8" hidden="1" x14ac:dyDescent="0.3">
      <c r="A2600" s="16" t="s">
        <v>75</v>
      </c>
      <c r="B2600" s="16" t="s">
        <v>179</v>
      </c>
      <c r="C2600" s="15">
        <v>11</v>
      </c>
      <c r="D2600" s="17">
        <v>0</v>
      </c>
      <c r="E2600" s="17">
        <v>112450</v>
      </c>
      <c r="F2600" s="17">
        <v>112450</v>
      </c>
      <c r="G2600" s="18">
        <v>0</v>
      </c>
      <c r="H2600" s="10">
        <v>2025</v>
      </c>
    </row>
    <row r="2601" spans="1:8" hidden="1" x14ac:dyDescent="0.3">
      <c r="A2601" s="16" t="s">
        <v>75</v>
      </c>
      <c r="B2601" s="16" t="s">
        <v>182</v>
      </c>
      <c r="C2601" s="15">
        <v>11</v>
      </c>
      <c r="D2601" s="17">
        <v>171494</v>
      </c>
      <c r="E2601" s="17">
        <v>169330</v>
      </c>
      <c r="F2601" s="17">
        <v>-2164</v>
      </c>
      <c r="G2601" s="18">
        <v>0.98738148273408988</v>
      </c>
      <c r="H2601" s="10">
        <v>2025</v>
      </c>
    </row>
    <row r="2602" spans="1:8" hidden="1" x14ac:dyDescent="0.3">
      <c r="A2602" s="16" t="s">
        <v>75</v>
      </c>
      <c r="B2602" s="16" t="s">
        <v>187</v>
      </c>
      <c r="C2602" s="15">
        <v>11</v>
      </c>
      <c r="D2602" s="17">
        <v>635758</v>
      </c>
      <c r="E2602" s="17">
        <v>593900</v>
      </c>
      <c r="F2602" s="17">
        <v>-41858</v>
      </c>
      <c r="G2602" s="18">
        <v>0.93416048244772387</v>
      </c>
      <c r="H2602" s="10">
        <v>2025</v>
      </c>
    </row>
    <row r="2603" spans="1:8" hidden="1" x14ac:dyDescent="0.3">
      <c r="A2603" s="16" t="s">
        <v>75</v>
      </c>
      <c r="B2603" s="16" t="s">
        <v>202</v>
      </c>
      <c r="C2603" s="15">
        <v>11</v>
      </c>
      <c r="D2603" s="17">
        <v>392989</v>
      </c>
      <c r="E2603" s="17">
        <v>274170</v>
      </c>
      <c r="F2603" s="17">
        <v>-118819</v>
      </c>
      <c r="G2603" s="18">
        <v>0.69765311497268367</v>
      </c>
      <c r="H2603" s="10">
        <v>2025</v>
      </c>
    </row>
    <row r="2604" spans="1:8" hidden="1" x14ac:dyDescent="0.3">
      <c r="A2604" s="16" t="s">
        <v>75</v>
      </c>
      <c r="B2604" s="16" t="s">
        <v>185</v>
      </c>
      <c r="C2604" s="15">
        <v>11</v>
      </c>
      <c r="D2604" s="17">
        <v>222957</v>
      </c>
      <c r="E2604" s="17">
        <v>225213</v>
      </c>
      <c r="F2604" s="17">
        <v>2256</v>
      </c>
      <c r="G2604" s="18">
        <v>1.0101185430374466</v>
      </c>
      <c r="H2604" s="10">
        <v>2025</v>
      </c>
    </row>
    <row r="2605" spans="1:8" hidden="1" x14ac:dyDescent="0.3">
      <c r="A2605" s="16" t="s">
        <v>75</v>
      </c>
      <c r="B2605" s="16" t="s">
        <v>192</v>
      </c>
      <c r="C2605" s="15">
        <v>11</v>
      </c>
      <c r="D2605" s="17">
        <v>435376</v>
      </c>
      <c r="E2605" s="17">
        <v>318800</v>
      </c>
      <c r="F2605" s="17">
        <v>-116576</v>
      </c>
      <c r="G2605" s="18">
        <v>0.73224063797728867</v>
      </c>
      <c r="H2605" s="10">
        <v>2025</v>
      </c>
    </row>
    <row r="2606" spans="1:8" hidden="1" x14ac:dyDescent="0.3">
      <c r="A2606" s="16" t="s">
        <v>75</v>
      </c>
      <c r="B2606" s="16" t="s">
        <v>195</v>
      </c>
      <c r="C2606" s="15">
        <v>11</v>
      </c>
      <c r="D2606" s="17">
        <v>646253</v>
      </c>
      <c r="E2606" s="17">
        <v>648700</v>
      </c>
      <c r="F2606" s="17">
        <v>2447</v>
      </c>
      <c r="G2606" s="18">
        <v>1.0037864427708654</v>
      </c>
      <c r="H2606" s="10">
        <v>2025</v>
      </c>
    </row>
    <row r="2607" spans="1:8" hidden="1" x14ac:dyDescent="0.3">
      <c r="A2607" s="16" t="s">
        <v>75</v>
      </c>
      <c r="B2607" s="16" t="s">
        <v>193</v>
      </c>
      <c r="C2607" s="15">
        <v>11</v>
      </c>
      <c r="D2607" s="17">
        <v>178000</v>
      </c>
      <c r="E2607" s="17">
        <v>0</v>
      </c>
      <c r="F2607" s="17">
        <v>-178000</v>
      </c>
      <c r="G2607" s="18">
        <v>0</v>
      </c>
      <c r="H2607" s="10">
        <v>2025</v>
      </c>
    </row>
    <row r="2608" spans="1:8" hidden="1" x14ac:dyDescent="0.3">
      <c r="A2608" s="16" t="s">
        <v>75</v>
      </c>
      <c r="B2608" s="16" t="s">
        <v>194</v>
      </c>
      <c r="C2608" s="15">
        <v>11</v>
      </c>
      <c r="D2608" s="17">
        <v>1938759</v>
      </c>
      <c r="E2608" s="17">
        <v>1958400</v>
      </c>
      <c r="F2608" s="17">
        <v>19641</v>
      </c>
      <c r="G2608" s="18">
        <v>1.0101307073236023</v>
      </c>
      <c r="H2608" s="10">
        <v>2025</v>
      </c>
    </row>
    <row r="2609" spans="1:8" hidden="1" x14ac:dyDescent="0.3">
      <c r="A2609" s="16" t="s">
        <v>75</v>
      </c>
      <c r="B2609" s="16" t="s">
        <v>210</v>
      </c>
      <c r="C2609" s="15">
        <v>11</v>
      </c>
      <c r="D2609" s="17">
        <v>1423500</v>
      </c>
      <c r="E2609" s="17">
        <v>0</v>
      </c>
      <c r="F2609" s="17">
        <v>-1423500</v>
      </c>
      <c r="G2609" s="18">
        <v>0</v>
      </c>
      <c r="H2609" s="10">
        <v>2025</v>
      </c>
    </row>
    <row r="2610" spans="1:8" hidden="1" x14ac:dyDescent="0.3">
      <c r="A2610" s="16" t="s">
        <v>75</v>
      </c>
      <c r="B2610" s="16" t="s">
        <v>186</v>
      </c>
      <c r="C2610" s="15">
        <v>11</v>
      </c>
      <c r="D2610" s="17">
        <v>2079554</v>
      </c>
      <c r="E2610" s="17">
        <v>1942636</v>
      </c>
      <c r="F2610" s="17">
        <v>-136918</v>
      </c>
      <c r="G2610" s="18">
        <v>0.93415992082917787</v>
      </c>
      <c r="H2610" s="10">
        <v>2025</v>
      </c>
    </row>
    <row r="2611" spans="1:8" hidden="1" x14ac:dyDescent="0.3">
      <c r="A2611" s="16" t="s">
        <v>75</v>
      </c>
      <c r="B2611" s="16" t="s">
        <v>201</v>
      </c>
      <c r="C2611" s="15">
        <v>11</v>
      </c>
      <c r="D2611" s="17">
        <v>1285460</v>
      </c>
      <c r="E2611" s="17">
        <v>896803</v>
      </c>
      <c r="F2611" s="17">
        <v>-388657</v>
      </c>
      <c r="G2611" s="18">
        <v>0.69765142439282435</v>
      </c>
      <c r="H2611" s="10">
        <v>2025</v>
      </c>
    </row>
    <row r="2612" spans="1:8" hidden="1" x14ac:dyDescent="0.3">
      <c r="A2612" s="16" t="s">
        <v>75</v>
      </c>
      <c r="B2612" s="16" t="s">
        <v>200</v>
      </c>
      <c r="C2612" s="15">
        <v>11</v>
      </c>
      <c r="D2612" s="17">
        <v>16193573</v>
      </c>
      <c r="E2612" s="17">
        <v>12619844</v>
      </c>
      <c r="F2612" s="17">
        <v>-3573729</v>
      </c>
      <c r="G2612" s="18">
        <v>0.77931189120523314</v>
      </c>
      <c r="H2612" s="10">
        <v>2025</v>
      </c>
    </row>
    <row r="2613" spans="1:8" hidden="1" x14ac:dyDescent="0.3">
      <c r="A2613" s="16" t="s">
        <v>75</v>
      </c>
      <c r="B2613" s="16" t="s">
        <v>183</v>
      </c>
      <c r="C2613" s="15">
        <v>11</v>
      </c>
      <c r="D2613" s="17">
        <v>1429122</v>
      </c>
      <c r="E2613" s="17">
        <v>1410526</v>
      </c>
      <c r="F2613" s="17">
        <v>-18596</v>
      </c>
      <c r="G2613" s="18">
        <v>0.98698781489613907</v>
      </c>
      <c r="H2613" s="10">
        <v>2025</v>
      </c>
    </row>
    <row r="2614" spans="1:8" hidden="1" x14ac:dyDescent="0.3">
      <c r="A2614" s="16" t="s">
        <v>75</v>
      </c>
      <c r="B2614" s="16" t="s">
        <v>206</v>
      </c>
      <c r="C2614" s="15">
        <v>11</v>
      </c>
      <c r="D2614" s="17">
        <v>1000000</v>
      </c>
      <c r="E2614" s="17">
        <v>613333</v>
      </c>
      <c r="F2614" s="17">
        <v>-386667</v>
      </c>
      <c r="G2614" s="18">
        <v>0.61333300000000002</v>
      </c>
      <c r="H2614" s="10">
        <v>2025</v>
      </c>
    </row>
    <row r="2615" spans="1:8" hidden="1" x14ac:dyDescent="0.3">
      <c r="A2615" s="16" t="s">
        <v>75</v>
      </c>
      <c r="B2615" s="16" t="s">
        <v>177</v>
      </c>
      <c r="C2615" s="15">
        <v>11</v>
      </c>
      <c r="D2615" s="17">
        <v>15246000</v>
      </c>
      <c r="E2615" s="17">
        <v>10997867</v>
      </c>
      <c r="F2615" s="17">
        <v>-4248133</v>
      </c>
      <c r="G2615" s="18">
        <v>0.72136081595172508</v>
      </c>
      <c r="H2615" s="10">
        <v>2025</v>
      </c>
    </row>
    <row r="2616" spans="1:8" hidden="1" x14ac:dyDescent="0.3">
      <c r="A2616" s="16" t="s">
        <v>75</v>
      </c>
      <c r="B2616" s="16" t="s">
        <v>184</v>
      </c>
      <c r="C2616" s="15">
        <v>11</v>
      </c>
      <c r="D2616" s="17">
        <v>673718</v>
      </c>
      <c r="E2616" s="17">
        <v>680534</v>
      </c>
      <c r="F2616" s="17">
        <v>6816</v>
      </c>
      <c r="G2616" s="18">
        <v>1.0101169925695914</v>
      </c>
      <c r="H2616" s="10">
        <v>2025</v>
      </c>
    </row>
    <row r="2617" spans="1:8" hidden="1" x14ac:dyDescent="0.3">
      <c r="A2617" s="16" t="s">
        <v>146</v>
      </c>
      <c r="B2617" s="16" t="s">
        <v>177</v>
      </c>
      <c r="C2617" s="15">
        <v>1</v>
      </c>
      <c r="D2617" s="17">
        <v>2900000</v>
      </c>
      <c r="E2617" s="17">
        <v>2755000</v>
      </c>
      <c r="F2617" s="17">
        <v>-145000</v>
      </c>
      <c r="G2617" s="18">
        <v>0.95</v>
      </c>
      <c r="H2617" s="10">
        <v>2025</v>
      </c>
    </row>
    <row r="2618" spans="1:8" hidden="1" x14ac:dyDescent="0.3">
      <c r="A2618" s="16" t="s">
        <v>146</v>
      </c>
      <c r="B2618" s="16" t="s">
        <v>177</v>
      </c>
      <c r="C2618" s="15">
        <v>2</v>
      </c>
      <c r="D2618" s="17">
        <v>3282000</v>
      </c>
      <c r="E2618" s="17">
        <v>2750333</v>
      </c>
      <c r="F2618" s="17">
        <v>-531667</v>
      </c>
      <c r="G2618" s="18">
        <v>0.83800517976843392</v>
      </c>
      <c r="H2618" s="10">
        <v>2025</v>
      </c>
    </row>
    <row r="2619" spans="1:8" hidden="1" x14ac:dyDescent="0.3">
      <c r="A2619" s="16" t="s">
        <v>146</v>
      </c>
      <c r="B2619" s="16" t="s">
        <v>177</v>
      </c>
      <c r="C2619" s="15">
        <v>3</v>
      </c>
      <c r="D2619" s="17">
        <v>1585000</v>
      </c>
      <c r="E2619" s="17">
        <v>2833383</v>
      </c>
      <c r="F2619" s="17">
        <v>1248383</v>
      </c>
      <c r="G2619" s="18">
        <v>1.7876233438485805</v>
      </c>
      <c r="H2619" s="10">
        <v>2025</v>
      </c>
    </row>
    <row r="2620" spans="1:8" hidden="1" x14ac:dyDescent="0.3">
      <c r="A2620" s="16" t="s">
        <v>146</v>
      </c>
      <c r="B2620" s="16" t="s">
        <v>177</v>
      </c>
      <c r="C2620" s="15">
        <v>4</v>
      </c>
      <c r="D2620" s="17">
        <v>1585000</v>
      </c>
      <c r="E2620" s="17">
        <v>3119766</v>
      </c>
      <c r="F2620" s="17">
        <v>1534766</v>
      </c>
      <c r="G2620" s="18">
        <v>1.9683066246056784</v>
      </c>
      <c r="H2620" s="10">
        <v>2025</v>
      </c>
    </row>
    <row r="2621" spans="1:8" hidden="1" x14ac:dyDescent="0.3">
      <c r="A2621" s="16" t="s">
        <v>146</v>
      </c>
      <c r="B2621" s="16" t="s">
        <v>177</v>
      </c>
      <c r="C2621" s="15">
        <v>5</v>
      </c>
      <c r="D2621" s="17">
        <v>1585000</v>
      </c>
      <c r="E2621" s="17">
        <v>2263800</v>
      </c>
      <c r="F2621" s="17">
        <v>678800</v>
      </c>
      <c r="G2621" s="18">
        <v>1.4282649842271293</v>
      </c>
      <c r="H2621" s="10">
        <v>2025</v>
      </c>
    </row>
    <row r="2622" spans="1:8" hidden="1" x14ac:dyDescent="0.3">
      <c r="A2622" s="16" t="s">
        <v>146</v>
      </c>
      <c r="B2622" s="16" t="s">
        <v>177</v>
      </c>
      <c r="C2622" s="15">
        <v>6</v>
      </c>
      <c r="D2622" s="17">
        <v>1585000</v>
      </c>
      <c r="E2622" s="17">
        <v>3282000</v>
      </c>
      <c r="F2622" s="17">
        <v>1697000</v>
      </c>
      <c r="G2622" s="18">
        <v>2.0706624605678234</v>
      </c>
      <c r="H2622" s="10">
        <v>2025</v>
      </c>
    </row>
    <row r="2623" spans="1:8" hidden="1" x14ac:dyDescent="0.3">
      <c r="A2623" s="16" t="s">
        <v>146</v>
      </c>
      <c r="B2623" s="16" t="s">
        <v>177</v>
      </c>
      <c r="C2623" s="15">
        <v>7</v>
      </c>
      <c r="D2623" s="17">
        <v>1585000</v>
      </c>
      <c r="E2623" s="17">
        <v>1585000</v>
      </c>
      <c r="F2623" s="17">
        <v>0</v>
      </c>
      <c r="G2623" s="18">
        <v>1</v>
      </c>
      <c r="H2623" s="10">
        <v>2025</v>
      </c>
    </row>
    <row r="2624" spans="1:8" hidden="1" x14ac:dyDescent="0.3">
      <c r="A2624" s="16" t="s">
        <v>146</v>
      </c>
      <c r="B2624" s="16" t="s">
        <v>177</v>
      </c>
      <c r="C2624" s="15">
        <v>8</v>
      </c>
      <c r="D2624" s="17">
        <v>1585000</v>
      </c>
      <c r="E2624" s="17">
        <v>1585000</v>
      </c>
      <c r="F2624" s="17">
        <v>0</v>
      </c>
      <c r="G2624" s="18">
        <v>1</v>
      </c>
      <c r="H2624" s="10">
        <v>2025</v>
      </c>
    </row>
    <row r="2625" spans="1:8" hidden="1" x14ac:dyDescent="0.3">
      <c r="A2625" s="16" t="s">
        <v>146</v>
      </c>
      <c r="B2625" s="16" t="s">
        <v>177</v>
      </c>
      <c r="C2625" s="15">
        <v>9</v>
      </c>
      <c r="D2625" s="17">
        <v>1585000</v>
      </c>
      <c r="E2625" s="17">
        <v>1585000</v>
      </c>
      <c r="F2625" s="17">
        <v>0</v>
      </c>
      <c r="G2625" s="18">
        <v>1</v>
      </c>
      <c r="H2625" s="10">
        <v>2025</v>
      </c>
    </row>
    <row r="2626" spans="1:8" hidden="1" x14ac:dyDescent="0.3">
      <c r="A2626" s="16" t="s">
        <v>146</v>
      </c>
      <c r="B2626" s="16" t="s">
        <v>177</v>
      </c>
      <c r="C2626" s="15">
        <v>10</v>
      </c>
      <c r="D2626" s="17">
        <v>1585000</v>
      </c>
      <c r="E2626" s="17">
        <v>1585000</v>
      </c>
      <c r="F2626" s="17">
        <v>0</v>
      </c>
      <c r="G2626" s="18">
        <v>1</v>
      </c>
      <c r="H2626" s="10">
        <v>2025</v>
      </c>
    </row>
    <row r="2627" spans="1:8" hidden="1" x14ac:dyDescent="0.3">
      <c r="A2627" s="16" t="s">
        <v>146</v>
      </c>
      <c r="B2627" s="16" t="s">
        <v>205</v>
      </c>
      <c r="C2627" s="15">
        <v>1</v>
      </c>
      <c r="D2627" s="17">
        <v>75072</v>
      </c>
      <c r="E2627" s="17">
        <v>210250</v>
      </c>
      <c r="F2627" s="17">
        <v>135178</v>
      </c>
      <c r="G2627" s="18">
        <v>2.8006447144075022</v>
      </c>
      <c r="H2627" s="10">
        <v>2025</v>
      </c>
    </row>
    <row r="2628" spans="1:8" hidden="1" x14ac:dyDescent="0.3">
      <c r="A2628" s="16" t="s">
        <v>146</v>
      </c>
      <c r="B2628" s="16" t="s">
        <v>205</v>
      </c>
      <c r="C2628" s="15">
        <v>2</v>
      </c>
      <c r="D2628" s="17">
        <v>288808</v>
      </c>
      <c r="E2628" s="17">
        <v>206476</v>
      </c>
      <c r="F2628" s="17">
        <v>-82332</v>
      </c>
      <c r="G2628" s="18">
        <v>0.71492479432702694</v>
      </c>
      <c r="H2628" s="10">
        <v>2025</v>
      </c>
    </row>
    <row r="2629" spans="1:8" hidden="1" x14ac:dyDescent="0.3">
      <c r="A2629" s="16" t="s">
        <v>146</v>
      </c>
      <c r="B2629" s="16" t="s">
        <v>205</v>
      </c>
      <c r="C2629" s="15">
        <v>3</v>
      </c>
      <c r="D2629" s="17">
        <v>246349</v>
      </c>
      <c r="E2629" s="17">
        <v>877222</v>
      </c>
      <c r="F2629" s="17">
        <v>630873</v>
      </c>
      <c r="G2629" s="18">
        <v>3.5608912559011809</v>
      </c>
      <c r="H2629" s="10">
        <v>2025</v>
      </c>
    </row>
    <row r="2630" spans="1:8" hidden="1" x14ac:dyDescent="0.3">
      <c r="A2630" s="16" t="s">
        <v>146</v>
      </c>
      <c r="B2630" s="16" t="s">
        <v>205</v>
      </c>
      <c r="C2630" s="15">
        <v>4</v>
      </c>
      <c r="D2630" s="17">
        <v>67248</v>
      </c>
      <c r="E2630" s="17">
        <v>121272</v>
      </c>
      <c r="F2630" s="17">
        <v>54024</v>
      </c>
      <c r="G2630" s="18">
        <v>1.8033547466095647</v>
      </c>
      <c r="H2630" s="10">
        <v>2025</v>
      </c>
    </row>
    <row r="2631" spans="1:8" hidden="1" x14ac:dyDescent="0.3">
      <c r="A2631" s="16" t="s">
        <v>146</v>
      </c>
      <c r="B2631" s="16" t="s">
        <v>205</v>
      </c>
      <c r="C2631" s="15">
        <v>5</v>
      </c>
      <c r="D2631" s="17">
        <v>42828</v>
      </c>
      <c r="E2631" s="17">
        <v>230270</v>
      </c>
      <c r="F2631" s="17">
        <v>187442</v>
      </c>
      <c r="G2631" s="18">
        <v>5.3766227701503695</v>
      </c>
      <c r="H2631" s="10">
        <v>2025</v>
      </c>
    </row>
    <row r="2632" spans="1:8" hidden="1" x14ac:dyDescent="0.3">
      <c r="A2632" s="16" t="s">
        <v>146</v>
      </c>
      <c r="B2632" s="16" t="s">
        <v>205</v>
      </c>
      <c r="C2632" s="15">
        <v>6</v>
      </c>
      <c r="D2632" s="17">
        <v>373823</v>
      </c>
      <c r="E2632" s="17">
        <v>642396</v>
      </c>
      <c r="F2632" s="17">
        <v>268573</v>
      </c>
      <c r="G2632" s="18">
        <v>1.7184496406053134</v>
      </c>
      <c r="H2632" s="10">
        <v>2025</v>
      </c>
    </row>
    <row r="2633" spans="1:8" hidden="1" x14ac:dyDescent="0.3">
      <c r="A2633" s="16" t="s">
        <v>146</v>
      </c>
      <c r="B2633" s="16" t="s">
        <v>205</v>
      </c>
      <c r="C2633" s="15">
        <v>7</v>
      </c>
      <c r="D2633" s="17">
        <v>147309</v>
      </c>
      <c r="E2633" s="17">
        <v>252535</v>
      </c>
      <c r="F2633" s="17">
        <v>105226</v>
      </c>
      <c r="G2633" s="18">
        <v>1.7143215961007134</v>
      </c>
      <c r="H2633" s="10">
        <v>2025</v>
      </c>
    </row>
    <row r="2634" spans="1:8" hidden="1" x14ac:dyDescent="0.3">
      <c r="A2634" s="16" t="s">
        <v>146</v>
      </c>
      <c r="B2634" s="16" t="s">
        <v>205</v>
      </c>
      <c r="C2634" s="15">
        <v>8</v>
      </c>
      <c r="D2634" s="17">
        <v>366100</v>
      </c>
      <c r="E2634" s="17">
        <v>134942</v>
      </c>
      <c r="F2634" s="17">
        <v>-231158</v>
      </c>
      <c r="G2634" s="18">
        <v>0.3685932805244469</v>
      </c>
      <c r="H2634" s="10">
        <v>2025</v>
      </c>
    </row>
    <row r="2635" spans="1:8" hidden="1" x14ac:dyDescent="0.3">
      <c r="A2635" s="16" t="s">
        <v>146</v>
      </c>
      <c r="B2635" s="16" t="s">
        <v>205</v>
      </c>
      <c r="C2635" s="15">
        <v>9</v>
      </c>
      <c r="D2635" s="17">
        <v>129211</v>
      </c>
      <c r="E2635" s="17">
        <v>190632</v>
      </c>
      <c r="F2635" s="17">
        <v>61421</v>
      </c>
      <c r="G2635" s="18">
        <v>1.4753542655037111</v>
      </c>
      <c r="H2635" s="10">
        <v>2025</v>
      </c>
    </row>
    <row r="2636" spans="1:8" hidden="1" x14ac:dyDescent="0.3">
      <c r="A2636" s="16" t="s">
        <v>146</v>
      </c>
      <c r="B2636" s="16" t="s">
        <v>205</v>
      </c>
      <c r="C2636" s="15">
        <v>10</v>
      </c>
      <c r="D2636" s="17">
        <v>263420</v>
      </c>
      <c r="E2636" s="17">
        <v>0</v>
      </c>
      <c r="F2636" s="17">
        <v>-263420</v>
      </c>
      <c r="G2636" s="18">
        <v>0</v>
      </c>
      <c r="H2636" s="10">
        <v>2025</v>
      </c>
    </row>
    <row r="2637" spans="1:8" hidden="1" x14ac:dyDescent="0.3">
      <c r="A2637" s="16" t="s">
        <v>146</v>
      </c>
      <c r="B2637" s="16" t="s">
        <v>179</v>
      </c>
      <c r="C2637" s="15">
        <v>2</v>
      </c>
      <c r="D2637" s="17">
        <v>0</v>
      </c>
      <c r="E2637" s="17">
        <v>521950</v>
      </c>
      <c r="F2637" s="17">
        <v>521950</v>
      </c>
      <c r="G2637" s="18">
        <v>0</v>
      </c>
      <c r="H2637" s="10">
        <v>2025</v>
      </c>
    </row>
    <row r="2638" spans="1:8" hidden="1" x14ac:dyDescent="0.3">
      <c r="A2638" s="16" t="s">
        <v>146</v>
      </c>
      <c r="B2638" s="16" t="s">
        <v>179</v>
      </c>
      <c r="C2638" s="15">
        <v>3</v>
      </c>
      <c r="D2638" s="17">
        <v>0</v>
      </c>
      <c r="E2638" s="17">
        <v>521950</v>
      </c>
      <c r="F2638" s="17">
        <v>521950</v>
      </c>
      <c r="G2638" s="18">
        <v>0</v>
      </c>
      <c r="H2638" s="10">
        <v>2025</v>
      </c>
    </row>
    <row r="2639" spans="1:8" hidden="1" x14ac:dyDescent="0.3">
      <c r="A2639" s="16" t="s">
        <v>146</v>
      </c>
      <c r="B2639" s="16" t="s">
        <v>180</v>
      </c>
      <c r="C2639" s="15">
        <v>1</v>
      </c>
      <c r="D2639" s="17">
        <v>400000</v>
      </c>
      <c r="E2639" s="17">
        <v>380000</v>
      </c>
      <c r="F2639" s="17">
        <v>-20000</v>
      </c>
      <c r="G2639" s="18">
        <v>0.95</v>
      </c>
      <c r="H2639" s="10">
        <v>2025</v>
      </c>
    </row>
    <row r="2640" spans="1:8" hidden="1" x14ac:dyDescent="0.3">
      <c r="A2640" s="16" t="s">
        <v>146</v>
      </c>
      <c r="B2640" s="16" t="s">
        <v>180</v>
      </c>
      <c r="C2640" s="15">
        <v>2</v>
      </c>
      <c r="D2640" s="17">
        <v>400000</v>
      </c>
      <c r="E2640" s="17">
        <v>326667</v>
      </c>
      <c r="F2640" s="17">
        <v>-73333</v>
      </c>
      <c r="G2640" s="18">
        <v>0.81666749999999999</v>
      </c>
      <c r="H2640" s="10">
        <v>2025</v>
      </c>
    </row>
    <row r="2641" spans="1:8" hidden="1" x14ac:dyDescent="0.3">
      <c r="A2641" s="16" t="s">
        <v>146</v>
      </c>
      <c r="B2641" s="16" t="s">
        <v>180</v>
      </c>
      <c r="C2641" s="15">
        <v>3</v>
      </c>
      <c r="D2641" s="17">
        <v>200000</v>
      </c>
      <c r="E2641" s="17">
        <v>326667</v>
      </c>
      <c r="F2641" s="17">
        <v>126667</v>
      </c>
      <c r="G2641" s="18">
        <v>1.633335</v>
      </c>
      <c r="H2641" s="10">
        <v>2025</v>
      </c>
    </row>
    <row r="2642" spans="1:8" hidden="1" x14ac:dyDescent="0.3">
      <c r="A2642" s="16" t="s">
        <v>146</v>
      </c>
      <c r="B2642" s="16" t="s">
        <v>180</v>
      </c>
      <c r="C2642" s="15">
        <v>4</v>
      </c>
      <c r="D2642" s="17">
        <v>200000</v>
      </c>
      <c r="E2642" s="17">
        <v>380000</v>
      </c>
      <c r="F2642" s="17">
        <v>180000</v>
      </c>
      <c r="G2642" s="18">
        <v>1.9</v>
      </c>
      <c r="H2642" s="10">
        <v>2025</v>
      </c>
    </row>
    <row r="2643" spans="1:8" hidden="1" x14ac:dyDescent="0.3">
      <c r="A2643" s="16" t="s">
        <v>146</v>
      </c>
      <c r="B2643" s="16" t="s">
        <v>180</v>
      </c>
      <c r="C2643" s="15">
        <v>5</v>
      </c>
      <c r="D2643" s="17">
        <v>200000</v>
      </c>
      <c r="E2643" s="17">
        <v>280000</v>
      </c>
      <c r="F2643" s="17">
        <v>80000</v>
      </c>
      <c r="G2643" s="18">
        <v>1.4</v>
      </c>
      <c r="H2643" s="10">
        <v>2025</v>
      </c>
    </row>
    <row r="2644" spans="1:8" hidden="1" x14ac:dyDescent="0.3">
      <c r="A2644" s="16" t="s">
        <v>146</v>
      </c>
      <c r="B2644" s="16" t="s">
        <v>180</v>
      </c>
      <c r="C2644" s="15">
        <v>6</v>
      </c>
      <c r="D2644" s="17">
        <v>200000</v>
      </c>
      <c r="E2644" s="17">
        <v>400000</v>
      </c>
      <c r="F2644" s="17">
        <v>200000</v>
      </c>
      <c r="G2644" s="18">
        <v>2</v>
      </c>
      <c r="H2644" s="10">
        <v>2025</v>
      </c>
    </row>
    <row r="2645" spans="1:8" hidden="1" x14ac:dyDescent="0.3">
      <c r="A2645" s="16" t="s">
        <v>146</v>
      </c>
      <c r="B2645" s="16" t="s">
        <v>180</v>
      </c>
      <c r="C2645" s="15">
        <v>7</v>
      </c>
      <c r="D2645" s="17">
        <v>200000</v>
      </c>
      <c r="E2645" s="17">
        <v>200000</v>
      </c>
      <c r="F2645" s="17">
        <v>0</v>
      </c>
      <c r="G2645" s="18">
        <v>1</v>
      </c>
      <c r="H2645" s="10">
        <v>2025</v>
      </c>
    </row>
    <row r="2646" spans="1:8" hidden="1" x14ac:dyDescent="0.3">
      <c r="A2646" s="16" t="s">
        <v>146</v>
      </c>
      <c r="B2646" s="16" t="s">
        <v>180</v>
      </c>
      <c r="C2646" s="15">
        <v>8</v>
      </c>
      <c r="D2646" s="17">
        <v>200000</v>
      </c>
      <c r="E2646" s="17">
        <v>200000</v>
      </c>
      <c r="F2646" s="17">
        <v>0</v>
      </c>
      <c r="G2646" s="18">
        <v>1</v>
      </c>
      <c r="H2646" s="10">
        <v>2025</v>
      </c>
    </row>
    <row r="2647" spans="1:8" hidden="1" x14ac:dyDescent="0.3">
      <c r="A2647" s="16" t="s">
        <v>146</v>
      </c>
      <c r="B2647" s="16" t="s">
        <v>180</v>
      </c>
      <c r="C2647" s="15">
        <v>9</v>
      </c>
      <c r="D2647" s="17">
        <v>200000</v>
      </c>
      <c r="E2647" s="17">
        <v>200000</v>
      </c>
      <c r="F2647" s="17">
        <v>0</v>
      </c>
      <c r="G2647" s="18">
        <v>1</v>
      </c>
      <c r="H2647" s="10">
        <v>2025</v>
      </c>
    </row>
    <row r="2648" spans="1:8" hidden="1" x14ac:dyDescent="0.3">
      <c r="A2648" s="16" t="s">
        <v>146</v>
      </c>
      <c r="B2648" s="16" t="s">
        <v>180</v>
      </c>
      <c r="C2648" s="15">
        <v>10</v>
      </c>
      <c r="D2648" s="17">
        <v>200000</v>
      </c>
      <c r="E2648" s="17">
        <v>200000</v>
      </c>
      <c r="F2648" s="17">
        <v>0</v>
      </c>
      <c r="G2648" s="18">
        <v>1</v>
      </c>
      <c r="H2648" s="10">
        <v>2025</v>
      </c>
    </row>
    <row r="2649" spans="1:8" hidden="1" x14ac:dyDescent="0.3">
      <c r="A2649" s="16" t="s">
        <v>146</v>
      </c>
      <c r="B2649" s="16" t="s">
        <v>181</v>
      </c>
      <c r="C2649" s="15">
        <v>1</v>
      </c>
      <c r="D2649" s="17">
        <v>281143</v>
      </c>
      <c r="E2649" s="17">
        <v>278660</v>
      </c>
      <c r="F2649" s="17">
        <v>-2483</v>
      </c>
      <c r="G2649" s="18">
        <v>0.9911681955446161</v>
      </c>
      <c r="H2649" s="10">
        <v>2025</v>
      </c>
    </row>
    <row r="2650" spans="1:8" hidden="1" x14ac:dyDescent="0.3">
      <c r="A2650" s="16" t="s">
        <v>146</v>
      </c>
      <c r="B2650" s="16" t="s">
        <v>181</v>
      </c>
      <c r="C2650" s="15">
        <v>2</v>
      </c>
      <c r="D2650" s="17">
        <v>330768</v>
      </c>
      <c r="E2650" s="17">
        <v>316991</v>
      </c>
      <c r="F2650" s="17">
        <v>-13777</v>
      </c>
      <c r="G2650" s="18">
        <v>0.95834844966864996</v>
      </c>
      <c r="H2650" s="10">
        <v>2025</v>
      </c>
    </row>
    <row r="2651" spans="1:8" hidden="1" x14ac:dyDescent="0.3">
      <c r="A2651" s="16" t="s">
        <v>146</v>
      </c>
      <c r="B2651" s="16" t="s">
        <v>181</v>
      </c>
      <c r="C2651" s="15">
        <v>3</v>
      </c>
      <c r="D2651" s="17">
        <v>169211</v>
      </c>
      <c r="E2651" s="17">
        <v>379783</v>
      </c>
      <c r="F2651" s="17">
        <v>210572</v>
      </c>
      <c r="G2651" s="18">
        <v>2.2444344634805065</v>
      </c>
      <c r="H2651" s="10">
        <v>2025</v>
      </c>
    </row>
    <row r="2652" spans="1:8" hidden="1" x14ac:dyDescent="0.3">
      <c r="A2652" s="16" t="s">
        <v>146</v>
      </c>
      <c r="B2652" s="16" t="s">
        <v>181</v>
      </c>
      <c r="C2652" s="15">
        <v>4</v>
      </c>
      <c r="D2652" s="17">
        <v>154292</v>
      </c>
      <c r="E2652" s="17">
        <v>396779</v>
      </c>
      <c r="F2652" s="17">
        <v>242487</v>
      </c>
      <c r="G2652" s="18">
        <v>2.5716109714048687</v>
      </c>
      <c r="H2652" s="10">
        <v>2025</v>
      </c>
    </row>
    <row r="2653" spans="1:8" hidden="1" x14ac:dyDescent="0.3">
      <c r="A2653" s="16" t="s">
        <v>146</v>
      </c>
      <c r="B2653" s="16" t="s">
        <v>181</v>
      </c>
      <c r="C2653" s="15">
        <v>5</v>
      </c>
      <c r="D2653" s="17">
        <v>152258</v>
      </c>
      <c r="E2653" s="17">
        <v>231080</v>
      </c>
      <c r="F2653" s="17">
        <v>78822</v>
      </c>
      <c r="G2653" s="18">
        <v>1.5176870837657135</v>
      </c>
      <c r="H2653" s="10">
        <v>2025</v>
      </c>
    </row>
    <row r="2654" spans="1:8" hidden="1" x14ac:dyDescent="0.3">
      <c r="A2654" s="16" t="s">
        <v>146</v>
      </c>
      <c r="B2654" s="16" t="s">
        <v>181</v>
      </c>
      <c r="C2654" s="15">
        <v>6</v>
      </c>
      <c r="D2654" s="17">
        <v>179829</v>
      </c>
      <c r="E2654" s="17">
        <v>360223</v>
      </c>
      <c r="F2654" s="17">
        <v>180394</v>
      </c>
      <c r="G2654" s="18">
        <v>2.0031418736688744</v>
      </c>
      <c r="H2654" s="10">
        <v>2025</v>
      </c>
    </row>
    <row r="2655" spans="1:8" hidden="1" x14ac:dyDescent="0.3">
      <c r="A2655" s="16" t="s">
        <v>146</v>
      </c>
      <c r="B2655" s="16" t="s">
        <v>181</v>
      </c>
      <c r="C2655" s="15">
        <v>7</v>
      </c>
      <c r="D2655" s="17">
        <v>160961</v>
      </c>
      <c r="E2655" s="17">
        <v>169727</v>
      </c>
      <c r="F2655" s="17">
        <v>8766</v>
      </c>
      <c r="G2655" s="18">
        <v>1.0544603972390829</v>
      </c>
      <c r="H2655" s="10">
        <v>2025</v>
      </c>
    </row>
    <row r="2656" spans="1:8" hidden="1" x14ac:dyDescent="0.3">
      <c r="A2656" s="16" t="s">
        <v>146</v>
      </c>
      <c r="B2656" s="16" t="s">
        <v>181</v>
      </c>
      <c r="C2656" s="15">
        <v>8</v>
      </c>
      <c r="D2656" s="17">
        <v>179186</v>
      </c>
      <c r="E2656" s="17">
        <v>159932</v>
      </c>
      <c r="F2656" s="17">
        <v>-19254</v>
      </c>
      <c r="G2656" s="18">
        <v>0.89254740883774408</v>
      </c>
      <c r="H2656" s="10">
        <v>2025</v>
      </c>
    </row>
    <row r="2657" spans="1:8" hidden="1" x14ac:dyDescent="0.3">
      <c r="A2657" s="16" t="s">
        <v>146</v>
      </c>
      <c r="B2657" s="16" t="s">
        <v>181</v>
      </c>
      <c r="C2657" s="15">
        <v>9</v>
      </c>
      <c r="D2657" s="17">
        <v>159453</v>
      </c>
      <c r="E2657" s="17">
        <v>164571</v>
      </c>
      <c r="F2657" s="17">
        <v>5118</v>
      </c>
      <c r="G2657" s="18">
        <v>1.0320972324133131</v>
      </c>
      <c r="H2657" s="10">
        <v>2025</v>
      </c>
    </row>
    <row r="2658" spans="1:8" hidden="1" x14ac:dyDescent="0.3">
      <c r="A2658" s="16" t="s">
        <v>146</v>
      </c>
      <c r="B2658" s="16" t="s">
        <v>181</v>
      </c>
      <c r="C2658" s="15">
        <v>10</v>
      </c>
      <c r="D2658" s="17">
        <v>170633</v>
      </c>
      <c r="E2658" s="17">
        <v>148691</v>
      </c>
      <c r="F2658" s="17">
        <v>-21942</v>
      </c>
      <c r="G2658" s="18">
        <v>0.87140822701353204</v>
      </c>
      <c r="H2658" s="10">
        <v>2025</v>
      </c>
    </row>
    <row r="2659" spans="1:8" hidden="1" x14ac:dyDescent="0.3">
      <c r="A2659" s="16" t="s">
        <v>146</v>
      </c>
      <c r="B2659" s="16" t="s">
        <v>182</v>
      </c>
      <c r="C2659" s="15">
        <v>1</v>
      </c>
      <c r="D2659" s="17">
        <v>33737</v>
      </c>
      <c r="E2659" s="17">
        <v>33452</v>
      </c>
      <c r="F2659" s="17">
        <v>-285</v>
      </c>
      <c r="G2659" s="18">
        <v>0.99155230162729346</v>
      </c>
      <c r="H2659" s="10">
        <v>2025</v>
      </c>
    </row>
    <row r="2660" spans="1:8" hidden="1" x14ac:dyDescent="0.3">
      <c r="A2660" s="16" t="s">
        <v>146</v>
      </c>
      <c r="B2660" s="16" t="s">
        <v>182</v>
      </c>
      <c r="C2660" s="15">
        <v>2</v>
      </c>
      <c r="D2660" s="17">
        <v>39692</v>
      </c>
      <c r="E2660" s="17">
        <v>38054</v>
      </c>
      <c r="F2660" s="17">
        <v>-1638</v>
      </c>
      <c r="G2660" s="18">
        <v>0.95873223823440501</v>
      </c>
      <c r="H2660" s="10">
        <v>2025</v>
      </c>
    </row>
    <row r="2661" spans="1:8" hidden="1" x14ac:dyDescent="0.3">
      <c r="A2661" s="16" t="s">
        <v>146</v>
      </c>
      <c r="B2661" s="16" t="s">
        <v>182</v>
      </c>
      <c r="C2661" s="15">
        <v>3</v>
      </c>
      <c r="D2661" s="17">
        <v>20305</v>
      </c>
      <c r="E2661" s="17">
        <v>45592</v>
      </c>
      <c r="F2661" s="17">
        <v>25287</v>
      </c>
      <c r="G2661" s="18">
        <v>2.2453582861364199</v>
      </c>
      <c r="H2661" s="10">
        <v>2025</v>
      </c>
    </row>
    <row r="2662" spans="1:8" hidden="1" x14ac:dyDescent="0.3">
      <c r="A2662" s="16" t="s">
        <v>146</v>
      </c>
      <c r="B2662" s="16" t="s">
        <v>182</v>
      </c>
      <c r="C2662" s="15">
        <v>4</v>
      </c>
      <c r="D2662" s="17">
        <v>18515</v>
      </c>
      <c r="E2662" s="17">
        <v>47632</v>
      </c>
      <c r="F2662" s="17">
        <v>29117</v>
      </c>
      <c r="G2662" s="18">
        <v>2.5726167971914666</v>
      </c>
      <c r="H2662" s="10">
        <v>2025</v>
      </c>
    </row>
    <row r="2663" spans="1:8" hidden="1" x14ac:dyDescent="0.3">
      <c r="A2663" s="16" t="s">
        <v>146</v>
      </c>
      <c r="B2663" s="16" t="s">
        <v>182</v>
      </c>
      <c r="C2663" s="15">
        <v>5</v>
      </c>
      <c r="D2663" s="17">
        <v>18270</v>
      </c>
      <c r="E2663" s="17">
        <v>27741</v>
      </c>
      <c r="F2663" s="17">
        <v>9471</v>
      </c>
      <c r="G2663" s="18">
        <v>1.5183908045977013</v>
      </c>
      <c r="H2663" s="10">
        <v>2025</v>
      </c>
    </row>
    <row r="2664" spans="1:8" hidden="1" x14ac:dyDescent="0.3">
      <c r="A2664" s="16" t="s">
        <v>146</v>
      </c>
      <c r="B2664" s="16" t="s">
        <v>182</v>
      </c>
      <c r="C2664" s="15">
        <v>6</v>
      </c>
      <c r="D2664" s="17">
        <v>21579</v>
      </c>
      <c r="E2664" s="17">
        <v>43244</v>
      </c>
      <c r="F2664" s="17">
        <v>21665</v>
      </c>
      <c r="G2664" s="18">
        <v>2.0039853561332777</v>
      </c>
      <c r="H2664" s="10">
        <v>2025</v>
      </c>
    </row>
    <row r="2665" spans="1:8" hidden="1" x14ac:dyDescent="0.3">
      <c r="A2665" s="16" t="s">
        <v>146</v>
      </c>
      <c r="B2665" s="16" t="s">
        <v>182</v>
      </c>
      <c r="C2665" s="15">
        <v>7</v>
      </c>
      <c r="D2665" s="17">
        <v>19315</v>
      </c>
      <c r="E2665" s="17">
        <v>20375</v>
      </c>
      <c r="F2665" s="17">
        <v>1060</v>
      </c>
      <c r="G2665" s="18">
        <v>1.0548796272327208</v>
      </c>
      <c r="H2665" s="10">
        <v>2025</v>
      </c>
    </row>
    <row r="2666" spans="1:8" hidden="1" x14ac:dyDescent="0.3">
      <c r="A2666" s="16" t="s">
        <v>146</v>
      </c>
      <c r="B2666" s="16" t="s">
        <v>182</v>
      </c>
      <c r="C2666" s="15">
        <v>8</v>
      </c>
      <c r="D2666" s="17">
        <v>21502</v>
      </c>
      <c r="E2666" s="17">
        <v>19199</v>
      </c>
      <c r="F2666" s="17">
        <v>-2303</v>
      </c>
      <c r="G2666" s="18">
        <v>0.89289368430843641</v>
      </c>
      <c r="H2666" s="10">
        <v>2025</v>
      </c>
    </row>
    <row r="2667" spans="1:8" hidden="1" x14ac:dyDescent="0.3">
      <c r="A2667" s="16" t="s">
        <v>146</v>
      </c>
      <c r="B2667" s="16" t="s">
        <v>182</v>
      </c>
      <c r="C2667" s="15">
        <v>9</v>
      </c>
      <c r="D2667" s="17">
        <v>19134</v>
      </c>
      <c r="E2667" s="17">
        <v>19756</v>
      </c>
      <c r="F2667" s="17">
        <v>622</v>
      </c>
      <c r="G2667" s="18">
        <v>1.0325075781331661</v>
      </c>
      <c r="H2667" s="10">
        <v>2025</v>
      </c>
    </row>
    <row r="2668" spans="1:8" hidden="1" x14ac:dyDescent="0.3">
      <c r="A2668" s="16" t="s">
        <v>146</v>
      </c>
      <c r="B2668" s="16" t="s">
        <v>182</v>
      </c>
      <c r="C2668" s="15">
        <v>10</v>
      </c>
      <c r="D2668" s="17">
        <v>20475</v>
      </c>
      <c r="E2668" s="17">
        <v>17850</v>
      </c>
      <c r="F2668" s="17">
        <v>-2625</v>
      </c>
      <c r="G2668" s="18">
        <v>0.87179487179487181</v>
      </c>
      <c r="H2668" s="10">
        <v>2025</v>
      </c>
    </row>
    <row r="2669" spans="1:8" hidden="1" x14ac:dyDescent="0.3">
      <c r="A2669" s="16" t="s">
        <v>146</v>
      </c>
      <c r="B2669" s="16" t="s">
        <v>183</v>
      </c>
      <c r="C2669" s="15">
        <v>1</v>
      </c>
      <c r="D2669" s="17">
        <v>281143</v>
      </c>
      <c r="E2669" s="17">
        <v>278660</v>
      </c>
      <c r="F2669" s="17">
        <v>-2483</v>
      </c>
      <c r="G2669" s="18">
        <v>0.9911681955446161</v>
      </c>
      <c r="H2669" s="10">
        <v>2025</v>
      </c>
    </row>
    <row r="2670" spans="1:8" hidden="1" x14ac:dyDescent="0.3">
      <c r="A2670" s="16" t="s">
        <v>146</v>
      </c>
      <c r="B2670" s="16" t="s">
        <v>183</v>
      </c>
      <c r="C2670" s="15">
        <v>2</v>
      </c>
      <c r="D2670" s="17">
        <v>330768</v>
      </c>
      <c r="E2670" s="17">
        <v>316991</v>
      </c>
      <c r="F2670" s="17">
        <v>-13777</v>
      </c>
      <c r="G2670" s="18">
        <v>0.95834844966864996</v>
      </c>
      <c r="H2670" s="10">
        <v>2025</v>
      </c>
    </row>
    <row r="2671" spans="1:8" hidden="1" x14ac:dyDescent="0.3">
      <c r="A2671" s="16" t="s">
        <v>146</v>
      </c>
      <c r="B2671" s="16" t="s">
        <v>183</v>
      </c>
      <c r="C2671" s="15">
        <v>3</v>
      </c>
      <c r="D2671" s="17">
        <v>169211</v>
      </c>
      <c r="E2671" s="17">
        <v>379783</v>
      </c>
      <c r="F2671" s="17">
        <v>210572</v>
      </c>
      <c r="G2671" s="18">
        <v>2.2444344634805065</v>
      </c>
      <c r="H2671" s="10">
        <v>2025</v>
      </c>
    </row>
    <row r="2672" spans="1:8" hidden="1" x14ac:dyDescent="0.3">
      <c r="A2672" s="16" t="s">
        <v>146</v>
      </c>
      <c r="B2672" s="16" t="s">
        <v>183</v>
      </c>
      <c r="C2672" s="15">
        <v>4</v>
      </c>
      <c r="D2672" s="17">
        <v>154292</v>
      </c>
      <c r="E2672" s="17">
        <v>396779</v>
      </c>
      <c r="F2672" s="17">
        <v>242487</v>
      </c>
      <c r="G2672" s="18">
        <v>2.5716109714048687</v>
      </c>
      <c r="H2672" s="10">
        <v>2025</v>
      </c>
    </row>
    <row r="2673" spans="1:8" hidden="1" x14ac:dyDescent="0.3">
      <c r="A2673" s="16" t="s">
        <v>146</v>
      </c>
      <c r="B2673" s="16" t="s">
        <v>183</v>
      </c>
      <c r="C2673" s="15">
        <v>5</v>
      </c>
      <c r="D2673" s="17">
        <v>152258</v>
      </c>
      <c r="E2673" s="17">
        <v>231080</v>
      </c>
      <c r="F2673" s="17">
        <v>78822</v>
      </c>
      <c r="G2673" s="18">
        <v>1.5176870837657135</v>
      </c>
      <c r="H2673" s="10">
        <v>2025</v>
      </c>
    </row>
    <row r="2674" spans="1:8" hidden="1" x14ac:dyDescent="0.3">
      <c r="A2674" s="16" t="s">
        <v>146</v>
      </c>
      <c r="B2674" s="16" t="s">
        <v>183</v>
      </c>
      <c r="C2674" s="15">
        <v>6</v>
      </c>
      <c r="D2674" s="17">
        <v>179829</v>
      </c>
      <c r="E2674" s="17">
        <v>360223</v>
      </c>
      <c r="F2674" s="17">
        <v>180394</v>
      </c>
      <c r="G2674" s="18">
        <v>2.0031418736688744</v>
      </c>
      <c r="H2674" s="10">
        <v>2025</v>
      </c>
    </row>
    <row r="2675" spans="1:8" hidden="1" x14ac:dyDescent="0.3">
      <c r="A2675" s="16" t="s">
        <v>146</v>
      </c>
      <c r="B2675" s="16" t="s">
        <v>183</v>
      </c>
      <c r="C2675" s="15">
        <v>7</v>
      </c>
      <c r="D2675" s="17">
        <v>160961</v>
      </c>
      <c r="E2675" s="17">
        <v>169727</v>
      </c>
      <c r="F2675" s="17">
        <v>8766</v>
      </c>
      <c r="G2675" s="18">
        <v>1.0544603972390829</v>
      </c>
      <c r="H2675" s="10">
        <v>2025</v>
      </c>
    </row>
    <row r="2676" spans="1:8" hidden="1" x14ac:dyDescent="0.3">
      <c r="A2676" s="16" t="s">
        <v>146</v>
      </c>
      <c r="B2676" s="16" t="s">
        <v>183</v>
      </c>
      <c r="C2676" s="15">
        <v>8</v>
      </c>
      <c r="D2676" s="17">
        <v>179186</v>
      </c>
      <c r="E2676" s="17">
        <v>159932</v>
      </c>
      <c r="F2676" s="17">
        <v>-19254</v>
      </c>
      <c r="G2676" s="18">
        <v>0.89254740883774408</v>
      </c>
      <c r="H2676" s="10">
        <v>2025</v>
      </c>
    </row>
    <row r="2677" spans="1:8" hidden="1" x14ac:dyDescent="0.3">
      <c r="A2677" s="16" t="s">
        <v>146</v>
      </c>
      <c r="B2677" s="16" t="s">
        <v>183</v>
      </c>
      <c r="C2677" s="15">
        <v>9</v>
      </c>
      <c r="D2677" s="17">
        <v>159453</v>
      </c>
      <c r="E2677" s="17">
        <v>164571</v>
      </c>
      <c r="F2677" s="17">
        <v>5118</v>
      </c>
      <c r="G2677" s="18">
        <v>1.0320972324133131</v>
      </c>
      <c r="H2677" s="10">
        <v>2025</v>
      </c>
    </row>
    <row r="2678" spans="1:8" hidden="1" x14ac:dyDescent="0.3">
      <c r="A2678" s="16" t="s">
        <v>146</v>
      </c>
      <c r="B2678" s="16" t="s">
        <v>183</v>
      </c>
      <c r="C2678" s="15">
        <v>10</v>
      </c>
      <c r="D2678" s="17">
        <v>170633</v>
      </c>
      <c r="E2678" s="17">
        <v>148691</v>
      </c>
      <c r="F2678" s="17">
        <v>-21942</v>
      </c>
      <c r="G2678" s="18">
        <v>0.87140822701353204</v>
      </c>
      <c r="H2678" s="10">
        <v>2025</v>
      </c>
    </row>
    <row r="2679" spans="1:8" hidden="1" x14ac:dyDescent="0.3">
      <c r="A2679" s="16" t="s">
        <v>146</v>
      </c>
      <c r="B2679" s="16" t="s">
        <v>184</v>
      </c>
      <c r="C2679" s="15">
        <v>1</v>
      </c>
      <c r="D2679" s="17">
        <v>124060</v>
      </c>
      <c r="E2679" s="17">
        <v>123652</v>
      </c>
      <c r="F2679" s="17">
        <v>-408</v>
      </c>
      <c r="G2679" s="18">
        <v>0.99671126874093185</v>
      </c>
      <c r="H2679" s="10">
        <v>2025</v>
      </c>
    </row>
    <row r="2680" spans="1:8" hidden="1" x14ac:dyDescent="0.3">
      <c r="A2680" s="16" t="s">
        <v>146</v>
      </c>
      <c r="B2680" s="16" t="s">
        <v>184</v>
      </c>
      <c r="C2680" s="15">
        <v>2</v>
      </c>
      <c r="D2680" s="17">
        <v>148902</v>
      </c>
      <c r="E2680" s="17">
        <v>145064</v>
      </c>
      <c r="F2680" s="17">
        <v>-3838</v>
      </c>
      <c r="G2680" s="18">
        <v>0.97422465782863898</v>
      </c>
      <c r="H2680" s="10">
        <v>2025</v>
      </c>
    </row>
    <row r="2681" spans="1:8" hidden="1" x14ac:dyDescent="0.3">
      <c r="A2681" s="16" t="s">
        <v>146</v>
      </c>
      <c r="B2681" s="16" t="s">
        <v>184</v>
      </c>
      <c r="C2681" s="15">
        <v>3</v>
      </c>
      <c r="D2681" s="17">
        <v>76367</v>
      </c>
      <c r="E2681" s="17">
        <v>176498</v>
      </c>
      <c r="F2681" s="17">
        <v>100131</v>
      </c>
      <c r="G2681" s="18">
        <v>2.3111815312896935</v>
      </c>
      <c r="H2681" s="10">
        <v>2025</v>
      </c>
    </row>
    <row r="2682" spans="1:8" hidden="1" x14ac:dyDescent="0.3">
      <c r="A2682" s="16" t="s">
        <v>146</v>
      </c>
      <c r="B2682" s="16" t="s">
        <v>184</v>
      </c>
      <c r="C2682" s="15">
        <v>4</v>
      </c>
      <c r="D2682" s="17">
        <v>68898</v>
      </c>
      <c r="E2682" s="17">
        <v>182781</v>
      </c>
      <c r="F2682" s="17">
        <v>113883</v>
      </c>
      <c r="G2682" s="18">
        <v>2.6529217103544371</v>
      </c>
      <c r="H2682" s="10">
        <v>2025</v>
      </c>
    </row>
    <row r="2683" spans="1:8" hidden="1" x14ac:dyDescent="0.3">
      <c r="A2683" s="16" t="s">
        <v>146</v>
      </c>
      <c r="B2683" s="16" t="s">
        <v>184</v>
      </c>
      <c r="C2683" s="15">
        <v>5</v>
      </c>
      <c r="D2683" s="17">
        <v>67880</v>
      </c>
      <c r="E2683" s="17">
        <v>104003</v>
      </c>
      <c r="F2683" s="17">
        <v>36123</v>
      </c>
      <c r="G2683" s="18">
        <v>1.5321596935769004</v>
      </c>
      <c r="H2683" s="10">
        <v>2025</v>
      </c>
    </row>
    <row r="2684" spans="1:8" hidden="1" x14ac:dyDescent="0.3">
      <c r="A2684" s="16" t="s">
        <v>146</v>
      </c>
      <c r="B2684" s="16" t="s">
        <v>184</v>
      </c>
      <c r="C2684" s="15">
        <v>6</v>
      </c>
      <c r="D2684" s="17">
        <v>81682</v>
      </c>
      <c r="E2684" s="17">
        <v>163648</v>
      </c>
      <c r="F2684" s="17">
        <v>81966</v>
      </c>
      <c r="G2684" s="18">
        <v>2.0034768982150291</v>
      </c>
      <c r="H2684" s="10">
        <v>2025</v>
      </c>
    </row>
    <row r="2685" spans="1:8" hidden="1" x14ac:dyDescent="0.3">
      <c r="A2685" s="16" t="s">
        <v>146</v>
      </c>
      <c r="B2685" s="16" t="s">
        <v>184</v>
      </c>
      <c r="C2685" s="15">
        <v>7</v>
      </c>
      <c r="D2685" s="17">
        <v>72237</v>
      </c>
      <c r="E2685" s="17">
        <v>76626</v>
      </c>
      <c r="F2685" s="17">
        <v>4389</v>
      </c>
      <c r="G2685" s="18">
        <v>1.0607583371402467</v>
      </c>
      <c r="H2685" s="10">
        <v>2025</v>
      </c>
    </row>
    <row r="2686" spans="1:8" hidden="1" x14ac:dyDescent="0.3">
      <c r="A2686" s="16" t="s">
        <v>146</v>
      </c>
      <c r="B2686" s="16" t="s">
        <v>184</v>
      </c>
      <c r="C2686" s="15">
        <v>8</v>
      </c>
      <c r="D2686" s="17">
        <v>81360</v>
      </c>
      <c r="E2686" s="17">
        <v>71722</v>
      </c>
      <c r="F2686" s="17">
        <v>-9638</v>
      </c>
      <c r="G2686" s="18">
        <v>0.8815388397246805</v>
      </c>
      <c r="H2686" s="10">
        <v>2025</v>
      </c>
    </row>
    <row r="2687" spans="1:8" hidden="1" x14ac:dyDescent="0.3">
      <c r="A2687" s="16" t="s">
        <v>146</v>
      </c>
      <c r="B2687" s="16" t="s">
        <v>184</v>
      </c>
      <c r="C2687" s="15">
        <v>9</v>
      </c>
      <c r="D2687" s="17">
        <v>71482</v>
      </c>
      <c r="E2687" s="17">
        <v>74044</v>
      </c>
      <c r="F2687" s="17">
        <v>2562</v>
      </c>
      <c r="G2687" s="18">
        <v>1.0358411907892897</v>
      </c>
      <c r="H2687" s="10">
        <v>2025</v>
      </c>
    </row>
    <row r="2688" spans="1:8" hidden="1" x14ac:dyDescent="0.3">
      <c r="A2688" s="16" t="s">
        <v>146</v>
      </c>
      <c r="B2688" s="16" t="s">
        <v>184</v>
      </c>
      <c r="C2688" s="15">
        <v>10</v>
      </c>
      <c r="D2688" s="17">
        <v>77079</v>
      </c>
      <c r="E2688" s="17">
        <v>66095</v>
      </c>
      <c r="F2688" s="17">
        <v>-10984</v>
      </c>
      <c r="G2688" s="18">
        <v>0.85749685387719099</v>
      </c>
      <c r="H2688" s="10">
        <v>2025</v>
      </c>
    </row>
    <row r="2689" spans="1:8" hidden="1" x14ac:dyDescent="0.3">
      <c r="A2689" s="16" t="s">
        <v>146</v>
      </c>
      <c r="B2689" s="16" t="s">
        <v>185</v>
      </c>
      <c r="C2689" s="15">
        <v>1</v>
      </c>
      <c r="D2689" s="17">
        <v>41055</v>
      </c>
      <c r="E2689" s="17">
        <v>40921</v>
      </c>
      <c r="F2689" s="17">
        <v>-134</v>
      </c>
      <c r="G2689" s="18">
        <v>0.99673608573864336</v>
      </c>
      <c r="H2689" s="10">
        <v>2025</v>
      </c>
    </row>
    <row r="2690" spans="1:8" hidden="1" x14ac:dyDescent="0.3">
      <c r="A2690" s="16" t="s">
        <v>146</v>
      </c>
      <c r="B2690" s="16" t="s">
        <v>185</v>
      </c>
      <c r="C2690" s="15">
        <v>2</v>
      </c>
      <c r="D2690" s="17">
        <v>49277</v>
      </c>
      <c r="E2690" s="17">
        <v>48007</v>
      </c>
      <c r="F2690" s="17">
        <v>-1270</v>
      </c>
      <c r="G2690" s="18">
        <v>0.97422732715059768</v>
      </c>
      <c r="H2690" s="10">
        <v>2025</v>
      </c>
    </row>
    <row r="2691" spans="1:8" hidden="1" x14ac:dyDescent="0.3">
      <c r="A2691" s="16" t="s">
        <v>146</v>
      </c>
      <c r="B2691" s="16" t="s">
        <v>185</v>
      </c>
      <c r="C2691" s="15">
        <v>3</v>
      </c>
      <c r="D2691" s="17">
        <v>25272</v>
      </c>
      <c r="E2691" s="17">
        <v>58409</v>
      </c>
      <c r="F2691" s="17">
        <v>33137</v>
      </c>
      <c r="G2691" s="18">
        <v>2.3112139917695473</v>
      </c>
      <c r="H2691" s="10">
        <v>2025</v>
      </c>
    </row>
    <row r="2692" spans="1:8" hidden="1" x14ac:dyDescent="0.3">
      <c r="A2692" s="16" t="s">
        <v>146</v>
      </c>
      <c r="B2692" s="16" t="s">
        <v>185</v>
      </c>
      <c r="C2692" s="15">
        <v>4</v>
      </c>
      <c r="D2692" s="17">
        <v>22801</v>
      </c>
      <c r="E2692" s="17">
        <v>60489</v>
      </c>
      <c r="F2692" s="17">
        <v>37688</v>
      </c>
      <c r="G2692" s="18">
        <v>2.6529099600894699</v>
      </c>
      <c r="H2692" s="10">
        <v>2025</v>
      </c>
    </row>
    <row r="2693" spans="1:8" hidden="1" x14ac:dyDescent="0.3">
      <c r="A2693" s="16" t="s">
        <v>146</v>
      </c>
      <c r="B2693" s="16" t="s">
        <v>185</v>
      </c>
      <c r="C2693" s="15">
        <v>5</v>
      </c>
      <c r="D2693" s="17">
        <v>22464</v>
      </c>
      <c r="E2693" s="17">
        <v>34417</v>
      </c>
      <c r="F2693" s="17">
        <v>11953</v>
      </c>
      <c r="G2693" s="18">
        <v>1.5320957977207978</v>
      </c>
      <c r="H2693" s="10">
        <v>2025</v>
      </c>
    </row>
    <row r="2694" spans="1:8" hidden="1" x14ac:dyDescent="0.3">
      <c r="A2694" s="16" t="s">
        <v>146</v>
      </c>
      <c r="B2694" s="16" t="s">
        <v>185</v>
      </c>
      <c r="C2694" s="15">
        <v>6</v>
      </c>
      <c r="D2694" s="17">
        <v>27031</v>
      </c>
      <c r="E2694" s="17">
        <v>54157</v>
      </c>
      <c r="F2694" s="17">
        <v>27126</v>
      </c>
      <c r="G2694" s="18">
        <v>2.0035144833709446</v>
      </c>
      <c r="H2694" s="10">
        <v>2025</v>
      </c>
    </row>
    <row r="2695" spans="1:8" hidden="1" x14ac:dyDescent="0.3">
      <c r="A2695" s="16" t="s">
        <v>146</v>
      </c>
      <c r="B2695" s="16" t="s">
        <v>185</v>
      </c>
      <c r="C2695" s="15">
        <v>7</v>
      </c>
      <c r="D2695" s="17">
        <v>23905</v>
      </c>
      <c r="E2695" s="17">
        <v>25358</v>
      </c>
      <c r="F2695" s="17">
        <v>1453</v>
      </c>
      <c r="G2695" s="18">
        <v>1.0607822631248693</v>
      </c>
      <c r="H2695" s="10">
        <v>2025</v>
      </c>
    </row>
    <row r="2696" spans="1:8" hidden="1" x14ac:dyDescent="0.3">
      <c r="A2696" s="16" t="s">
        <v>146</v>
      </c>
      <c r="B2696" s="16" t="s">
        <v>185</v>
      </c>
      <c r="C2696" s="15">
        <v>8</v>
      </c>
      <c r="D2696" s="17">
        <v>26925</v>
      </c>
      <c r="E2696" s="17">
        <v>23735</v>
      </c>
      <c r="F2696" s="17">
        <v>-3190</v>
      </c>
      <c r="G2696" s="18">
        <v>0.88152274837511613</v>
      </c>
      <c r="H2696" s="10">
        <v>2025</v>
      </c>
    </row>
    <row r="2697" spans="1:8" hidden="1" x14ac:dyDescent="0.3">
      <c r="A2697" s="16" t="s">
        <v>146</v>
      </c>
      <c r="B2697" s="16" t="s">
        <v>185</v>
      </c>
      <c r="C2697" s="15">
        <v>9</v>
      </c>
      <c r="D2697" s="17">
        <v>23656</v>
      </c>
      <c r="E2697" s="17">
        <v>24504</v>
      </c>
      <c r="F2697" s="17">
        <v>848</v>
      </c>
      <c r="G2697" s="18">
        <v>1.0358471423740279</v>
      </c>
      <c r="H2697" s="10">
        <v>2025</v>
      </c>
    </row>
    <row r="2698" spans="1:8" hidden="1" x14ac:dyDescent="0.3">
      <c r="A2698" s="16" t="s">
        <v>146</v>
      </c>
      <c r="B2698" s="16" t="s">
        <v>185</v>
      </c>
      <c r="C2698" s="15">
        <v>10</v>
      </c>
      <c r="D2698" s="17">
        <v>25508</v>
      </c>
      <c r="E2698" s="17">
        <v>21873</v>
      </c>
      <c r="F2698" s="17">
        <v>-3635</v>
      </c>
      <c r="G2698" s="18">
        <v>0.85749568762741102</v>
      </c>
      <c r="H2698" s="10">
        <v>2025</v>
      </c>
    </row>
    <row r="2699" spans="1:8" hidden="1" x14ac:dyDescent="0.3">
      <c r="A2699" s="16" t="s">
        <v>146</v>
      </c>
      <c r="B2699" s="16" t="s">
        <v>186</v>
      </c>
      <c r="C2699" s="15">
        <v>1</v>
      </c>
      <c r="D2699" s="17">
        <v>1445000</v>
      </c>
      <c r="E2699" s="17">
        <v>1445000</v>
      </c>
      <c r="F2699" s="17">
        <v>0</v>
      </c>
      <c r="G2699" s="18">
        <v>1</v>
      </c>
      <c r="H2699" s="10">
        <v>2025</v>
      </c>
    </row>
    <row r="2700" spans="1:8" hidden="1" x14ac:dyDescent="0.3">
      <c r="A2700" s="16" t="s">
        <v>146</v>
      </c>
      <c r="B2700" s="16" t="s">
        <v>186</v>
      </c>
      <c r="C2700" s="15">
        <v>2</v>
      </c>
      <c r="D2700" s="17">
        <v>447664</v>
      </c>
      <c r="E2700" s="17">
        <v>446339</v>
      </c>
      <c r="F2700" s="17">
        <v>-1325</v>
      </c>
      <c r="G2700" s="18">
        <v>0.99704019085742879</v>
      </c>
      <c r="H2700" s="10">
        <v>2025</v>
      </c>
    </row>
    <row r="2701" spans="1:8" hidden="1" x14ac:dyDescent="0.3">
      <c r="A2701" s="16" t="s">
        <v>146</v>
      </c>
      <c r="B2701" s="16" t="s">
        <v>186</v>
      </c>
      <c r="C2701" s="15">
        <v>3</v>
      </c>
      <c r="D2701" s="17">
        <v>216194</v>
      </c>
      <c r="E2701" s="17">
        <v>457667</v>
      </c>
      <c r="F2701" s="17">
        <v>241473</v>
      </c>
      <c r="G2701" s="18">
        <v>2.1169273892892497</v>
      </c>
      <c r="H2701" s="10">
        <v>2025</v>
      </c>
    </row>
    <row r="2702" spans="1:8" hidden="1" x14ac:dyDescent="0.3">
      <c r="A2702" s="16" t="s">
        <v>146</v>
      </c>
      <c r="B2702" s="16" t="s">
        <v>186</v>
      </c>
      <c r="C2702" s="15">
        <v>4</v>
      </c>
      <c r="D2702" s="17">
        <v>216194</v>
      </c>
      <c r="E2702" s="17">
        <v>581334</v>
      </c>
      <c r="F2702" s="17">
        <v>365140</v>
      </c>
      <c r="G2702" s="18">
        <v>2.6889460392055287</v>
      </c>
      <c r="H2702" s="10">
        <v>2025</v>
      </c>
    </row>
    <row r="2703" spans="1:8" hidden="1" x14ac:dyDescent="0.3">
      <c r="A2703" s="16" t="s">
        <v>146</v>
      </c>
      <c r="B2703" s="16" t="s">
        <v>186</v>
      </c>
      <c r="C2703" s="15">
        <v>5</v>
      </c>
      <c r="D2703" s="17">
        <v>216194</v>
      </c>
      <c r="E2703" s="17">
        <v>308782</v>
      </c>
      <c r="F2703" s="17">
        <v>92588</v>
      </c>
      <c r="G2703" s="18">
        <v>1.4282635040750438</v>
      </c>
      <c r="H2703" s="10">
        <v>2025</v>
      </c>
    </row>
    <row r="2704" spans="1:8" hidden="1" x14ac:dyDescent="0.3">
      <c r="A2704" s="16" t="s">
        <v>146</v>
      </c>
      <c r="B2704" s="16" t="s">
        <v>186</v>
      </c>
      <c r="C2704" s="15">
        <v>6</v>
      </c>
      <c r="D2704" s="17">
        <v>216194</v>
      </c>
      <c r="E2704" s="17">
        <v>447665</v>
      </c>
      <c r="F2704" s="17">
        <v>231471</v>
      </c>
      <c r="G2704" s="18">
        <v>2.0706633856628769</v>
      </c>
      <c r="H2704" s="10">
        <v>2025</v>
      </c>
    </row>
    <row r="2705" spans="1:8" hidden="1" x14ac:dyDescent="0.3">
      <c r="A2705" s="16" t="s">
        <v>146</v>
      </c>
      <c r="B2705" s="16" t="s">
        <v>186</v>
      </c>
      <c r="C2705" s="15">
        <v>7</v>
      </c>
      <c r="D2705" s="17">
        <v>216194</v>
      </c>
      <c r="E2705" s="17">
        <v>216194</v>
      </c>
      <c r="F2705" s="17">
        <v>0</v>
      </c>
      <c r="G2705" s="18">
        <v>1</v>
      </c>
      <c r="H2705" s="10">
        <v>2025</v>
      </c>
    </row>
    <row r="2706" spans="1:8" hidden="1" x14ac:dyDescent="0.3">
      <c r="A2706" s="16" t="s">
        <v>146</v>
      </c>
      <c r="B2706" s="16" t="s">
        <v>186</v>
      </c>
      <c r="C2706" s="15">
        <v>8</v>
      </c>
      <c r="D2706" s="17">
        <v>216194</v>
      </c>
      <c r="E2706" s="17">
        <v>216194</v>
      </c>
      <c r="F2706" s="17">
        <v>0</v>
      </c>
      <c r="G2706" s="18">
        <v>1</v>
      </c>
      <c r="H2706" s="10">
        <v>2025</v>
      </c>
    </row>
    <row r="2707" spans="1:8" hidden="1" x14ac:dyDescent="0.3">
      <c r="A2707" s="16" t="s">
        <v>146</v>
      </c>
      <c r="B2707" s="16" t="s">
        <v>186</v>
      </c>
      <c r="C2707" s="15">
        <v>9</v>
      </c>
      <c r="D2707" s="17">
        <v>216194</v>
      </c>
      <c r="E2707" s="17">
        <v>216194</v>
      </c>
      <c r="F2707" s="17">
        <v>0</v>
      </c>
      <c r="G2707" s="18">
        <v>1</v>
      </c>
      <c r="H2707" s="10">
        <v>2025</v>
      </c>
    </row>
    <row r="2708" spans="1:8" hidden="1" x14ac:dyDescent="0.3">
      <c r="A2708" s="16" t="s">
        <v>146</v>
      </c>
      <c r="B2708" s="16" t="s">
        <v>186</v>
      </c>
      <c r="C2708" s="15">
        <v>10</v>
      </c>
      <c r="D2708" s="17">
        <v>216194</v>
      </c>
      <c r="E2708" s="17">
        <v>216194</v>
      </c>
      <c r="F2708" s="17">
        <v>0</v>
      </c>
      <c r="G2708" s="18">
        <v>1</v>
      </c>
      <c r="H2708" s="10">
        <v>2025</v>
      </c>
    </row>
    <row r="2709" spans="1:8" hidden="1" x14ac:dyDescent="0.3">
      <c r="A2709" s="16" t="s">
        <v>146</v>
      </c>
      <c r="B2709" s="16" t="s">
        <v>187</v>
      </c>
      <c r="C2709" s="15">
        <v>1</v>
      </c>
      <c r="D2709" s="17">
        <v>120930</v>
      </c>
      <c r="E2709" s="17">
        <v>114884</v>
      </c>
      <c r="F2709" s="17">
        <v>-6046</v>
      </c>
      <c r="G2709" s="18">
        <v>0.95000413462333588</v>
      </c>
      <c r="H2709" s="10">
        <v>2025</v>
      </c>
    </row>
    <row r="2710" spans="1:8" hidden="1" x14ac:dyDescent="0.3">
      <c r="A2710" s="16" t="s">
        <v>146</v>
      </c>
      <c r="B2710" s="16" t="s">
        <v>187</v>
      </c>
      <c r="C2710" s="15">
        <v>2</v>
      </c>
      <c r="D2710" s="17">
        <v>136859</v>
      </c>
      <c r="E2710" s="17">
        <v>136454</v>
      </c>
      <c r="F2710" s="17">
        <v>-405</v>
      </c>
      <c r="G2710" s="18">
        <v>0.9970407499689462</v>
      </c>
      <c r="H2710" s="10">
        <v>2025</v>
      </c>
    </row>
    <row r="2711" spans="1:8" hidden="1" x14ac:dyDescent="0.3">
      <c r="A2711" s="16" t="s">
        <v>146</v>
      </c>
      <c r="B2711" s="16" t="s">
        <v>187</v>
      </c>
      <c r="C2711" s="15">
        <v>3</v>
      </c>
      <c r="D2711" s="17">
        <v>66094</v>
      </c>
      <c r="E2711" s="17">
        <v>139918</v>
      </c>
      <c r="F2711" s="17">
        <v>73824</v>
      </c>
      <c r="G2711" s="18">
        <v>2.1169546403606985</v>
      </c>
      <c r="H2711" s="10">
        <v>2025</v>
      </c>
    </row>
    <row r="2712" spans="1:8" hidden="1" x14ac:dyDescent="0.3">
      <c r="A2712" s="16" t="s">
        <v>146</v>
      </c>
      <c r="B2712" s="16" t="s">
        <v>187</v>
      </c>
      <c r="C2712" s="15">
        <v>4</v>
      </c>
      <c r="D2712" s="17">
        <v>66094</v>
      </c>
      <c r="E2712" s="17">
        <v>177724</v>
      </c>
      <c r="F2712" s="17">
        <v>111630</v>
      </c>
      <c r="G2712" s="18">
        <v>2.6889581505129061</v>
      </c>
      <c r="H2712" s="10">
        <v>2025</v>
      </c>
    </row>
    <row r="2713" spans="1:8" hidden="1" x14ac:dyDescent="0.3">
      <c r="A2713" s="16" t="s">
        <v>146</v>
      </c>
      <c r="B2713" s="16" t="s">
        <v>187</v>
      </c>
      <c r="C2713" s="15">
        <v>5</v>
      </c>
      <c r="D2713" s="17">
        <v>66094</v>
      </c>
      <c r="E2713" s="17">
        <v>94401</v>
      </c>
      <c r="F2713" s="17">
        <v>28307</v>
      </c>
      <c r="G2713" s="18">
        <v>1.4282839592096106</v>
      </c>
      <c r="H2713" s="10">
        <v>2025</v>
      </c>
    </row>
    <row r="2714" spans="1:8" hidden="1" x14ac:dyDescent="0.3">
      <c r="A2714" s="16" t="s">
        <v>146</v>
      </c>
      <c r="B2714" s="16" t="s">
        <v>187</v>
      </c>
      <c r="C2714" s="15">
        <v>6</v>
      </c>
      <c r="D2714" s="17">
        <v>66094</v>
      </c>
      <c r="E2714" s="17">
        <v>136860</v>
      </c>
      <c r="F2714" s="17">
        <v>70766</v>
      </c>
      <c r="G2714" s="18">
        <v>2.0706872030744092</v>
      </c>
      <c r="H2714" s="10">
        <v>2025</v>
      </c>
    </row>
    <row r="2715" spans="1:8" hidden="1" x14ac:dyDescent="0.3">
      <c r="A2715" s="16" t="s">
        <v>146</v>
      </c>
      <c r="B2715" s="16" t="s">
        <v>187</v>
      </c>
      <c r="C2715" s="15">
        <v>7</v>
      </c>
      <c r="D2715" s="17">
        <v>66094</v>
      </c>
      <c r="E2715" s="17">
        <v>66095</v>
      </c>
      <c r="F2715" s="17">
        <v>1</v>
      </c>
      <c r="G2715" s="18">
        <v>1.0000151299664115</v>
      </c>
      <c r="H2715" s="10">
        <v>2025</v>
      </c>
    </row>
    <row r="2716" spans="1:8" hidden="1" x14ac:dyDescent="0.3">
      <c r="A2716" s="16" t="s">
        <v>146</v>
      </c>
      <c r="B2716" s="16" t="s">
        <v>187</v>
      </c>
      <c r="C2716" s="15">
        <v>8</v>
      </c>
      <c r="D2716" s="17">
        <v>66094</v>
      </c>
      <c r="E2716" s="17">
        <v>66095</v>
      </c>
      <c r="F2716" s="17">
        <v>1</v>
      </c>
      <c r="G2716" s="18">
        <v>1.0000151299664115</v>
      </c>
      <c r="H2716" s="10">
        <v>2025</v>
      </c>
    </row>
    <row r="2717" spans="1:8" hidden="1" x14ac:dyDescent="0.3">
      <c r="A2717" s="16" t="s">
        <v>146</v>
      </c>
      <c r="B2717" s="16" t="s">
        <v>187</v>
      </c>
      <c r="C2717" s="15">
        <v>9</v>
      </c>
      <c r="D2717" s="17">
        <v>66094</v>
      </c>
      <c r="E2717" s="17">
        <v>66095</v>
      </c>
      <c r="F2717" s="17">
        <v>1</v>
      </c>
      <c r="G2717" s="18">
        <v>1.0000151299664115</v>
      </c>
      <c r="H2717" s="10">
        <v>2025</v>
      </c>
    </row>
    <row r="2718" spans="1:8" hidden="1" x14ac:dyDescent="0.3">
      <c r="A2718" s="16" t="s">
        <v>146</v>
      </c>
      <c r="B2718" s="16" t="s">
        <v>187</v>
      </c>
      <c r="C2718" s="15">
        <v>10</v>
      </c>
      <c r="D2718" s="17">
        <v>66094</v>
      </c>
      <c r="E2718" s="17">
        <v>66095</v>
      </c>
      <c r="F2718" s="17">
        <v>1</v>
      </c>
      <c r="G2718" s="18">
        <v>1.0000151299664115</v>
      </c>
      <c r="H2718" s="10">
        <v>2025</v>
      </c>
    </row>
    <row r="2719" spans="1:8" hidden="1" x14ac:dyDescent="0.3">
      <c r="A2719" s="16" t="s">
        <v>146</v>
      </c>
      <c r="B2719" s="16" t="s">
        <v>212</v>
      </c>
      <c r="C2719" s="15">
        <v>1</v>
      </c>
      <c r="D2719" s="17">
        <v>0</v>
      </c>
      <c r="E2719" s="17">
        <v>150000</v>
      </c>
      <c r="F2719" s="17">
        <v>150000</v>
      </c>
      <c r="G2719" s="18">
        <v>0</v>
      </c>
      <c r="H2719" s="10">
        <v>2025</v>
      </c>
    </row>
    <row r="2720" spans="1:8" hidden="1" x14ac:dyDescent="0.3">
      <c r="A2720" s="16" t="s">
        <v>146</v>
      </c>
      <c r="B2720" s="16" t="s">
        <v>188</v>
      </c>
      <c r="C2720" s="15">
        <v>1</v>
      </c>
      <c r="D2720" s="17">
        <v>0</v>
      </c>
      <c r="E2720" s="17">
        <v>396942</v>
      </c>
      <c r="F2720" s="17">
        <v>396942</v>
      </c>
      <c r="G2720" s="18">
        <v>0</v>
      </c>
      <c r="H2720" s="10">
        <v>2025</v>
      </c>
    </row>
    <row r="2721" spans="1:8" hidden="1" x14ac:dyDescent="0.3">
      <c r="A2721" s="16" t="s">
        <v>146</v>
      </c>
      <c r="B2721" s="16" t="s">
        <v>188</v>
      </c>
      <c r="C2721" s="15">
        <v>4</v>
      </c>
      <c r="D2721" s="17">
        <v>2889109</v>
      </c>
      <c r="E2721" s="17">
        <v>0</v>
      </c>
      <c r="F2721" s="17">
        <v>-2889109</v>
      </c>
      <c r="G2721" s="18">
        <v>0</v>
      </c>
      <c r="H2721" s="10">
        <v>2025</v>
      </c>
    </row>
    <row r="2722" spans="1:8" hidden="1" x14ac:dyDescent="0.3">
      <c r="A2722" s="16" t="s">
        <v>146</v>
      </c>
      <c r="B2722" s="16" t="s">
        <v>188</v>
      </c>
      <c r="C2722" s="15">
        <v>5</v>
      </c>
      <c r="D2722" s="17">
        <v>0</v>
      </c>
      <c r="E2722" s="17">
        <v>2951937</v>
      </c>
      <c r="F2722" s="17">
        <v>2951937</v>
      </c>
      <c r="G2722" s="18">
        <v>0</v>
      </c>
      <c r="H2722" s="10">
        <v>2025</v>
      </c>
    </row>
    <row r="2723" spans="1:8" hidden="1" x14ac:dyDescent="0.3">
      <c r="A2723" s="16" t="s">
        <v>146</v>
      </c>
      <c r="B2723" s="16" t="s">
        <v>188</v>
      </c>
      <c r="C2723" s="15">
        <v>6</v>
      </c>
      <c r="D2723" s="17">
        <v>0</v>
      </c>
      <c r="E2723" s="17">
        <v>654589</v>
      </c>
      <c r="F2723" s="17">
        <v>654589</v>
      </c>
      <c r="G2723" s="18">
        <v>0</v>
      </c>
      <c r="H2723" s="10">
        <v>2025</v>
      </c>
    </row>
    <row r="2724" spans="1:8" hidden="1" x14ac:dyDescent="0.3">
      <c r="A2724" s="16" t="s">
        <v>146</v>
      </c>
      <c r="B2724" s="16" t="s">
        <v>188</v>
      </c>
      <c r="C2724" s="15">
        <v>8</v>
      </c>
      <c r="D2724" s="17">
        <v>1208409</v>
      </c>
      <c r="E2724" s="17">
        <v>2645183</v>
      </c>
      <c r="F2724" s="17">
        <v>1436774</v>
      </c>
      <c r="G2724" s="18">
        <v>2.1889798900868831</v>
      </c>
      <c r="H2724" s="10">
        <v>2025</v>
      </c>
    </row>
    <row r="2725" spans="1:8" hidden="1" x14ac:dyDescent="0.3">
      <c r="A2725" s="16" t="s">
        <v>146</v>
      </c>
      <c r="B2725" s="16" t="s">
        <v>189</v>
      </c>
      <c r="C2725" s="15">
        <v>1</v>
      </c>
      <c r="D2725" s="17">
        <v>637289</v>
      </c>
      <c r="E2725" s="17">
        <v>154035</v>
      </c>
      <c r="F2725" s="17">
        <v>-483254</v>
      </c>
      <c r="G2725" s="18">
        <v>0.24170352854042673</v>
      </c>
      <c r="H2725" s="10">
        <v>2025</v>
      </c>
    </row>
    <row r="2726" spans="1:8" hidden="1" x14ac:dyDescent="0.3">
      <c r="A2726" s="16" t="s">
        <v>146</v>
      </c>
      <c r="B2726" s="16" t="s">
        <v>189</v>
      </c>
      <c r="C2726" s="15">
        <v>2</v>
      </c>
      <c r="D2726" s="17">
        <v>637289</v>
      </c>
      <c r="E2726" s="17">
        <v>128013</v>
      </c>
      <c r="F2726" s="17">
        <v>-509276</v>
      </c>
      <c r="G2726" s="18">
        <v>0.20087119030769399</v>
      </c>
      <c r="H2726" s="10">
        <v>2025</v>
      </c>
    </row>
    <row r="2727" spans="1:8" hidden="1" x14ac:dyDescent="0.3">
      <c r="A2727" s="16" t="s">
        <v>146</v>
      </c>
      <c r="B2727" s="16" t="s">
        <v>189</v>
      </c>
      <c r="C2727" s="15">
        <v>3</v>
      </c>
      <c r="D2727" s="17">
        <v>637289</v>
      </c>
      <c r="E2727" s="17">
        <v>201304</v>
      </c>
      <c r="F2727" s="17">
        <v>-435985</v>
      </c>
      <c r="G2727" s="18">
        <v>0.31587552899861759</v>
      </c>
      <c r="H2727" s="10">
        <v>2025</v>
      </c>
    </row>
    <row r="2728" spans="1:8" hidden="1" x14ac:dyDescent="0.3">
      <c r="A2728" s="16" t="s">
        <v>146</v>
      </c>
      <c r="B2728" s="16" t="s">
        <v>189</v>
      </c>
      <c r="C2728" s="15">
        <v>4</v>
      </c>
      <c r="D2728" s="17">
        <v>637289</v>
      </c>
      <c r="E2728" s="17">
        <v>209307</v>
      </c>
      <c r="F2728" s="17">
        <v>-427982</v>
      </c>
      <c r="G2728" s="18">
        <v>0.32843341090149053</v>
      </c>
      <c r="H2728" s="10">
        <v>2025</v>
      </c>
    </row>
    <row r="2729" spans="1:8" hidden="1" x14ac:dyDescent="0.3">
      <c r="A2729" s="16" t="s">
        <v>146</v>
      </c>
      <c r="B2729" s="16" t="s">
        <v>189</v>
      </c>
      <c r="C2729" s="15">
        <v>5</v>
      </c>
      <c r="D2729" s="17">
        <v>637289</v>
      </c>
      <c r="E2729" s="17">
        <v>171496</v>
      </c>
      <c r="F2729" s="17">
        <v>-465793</v>
      </c>
      <c r="G2729" s="18">
        <v>0.26910240095153065</v>
      </c>
      <c r="H2729" s="10">
        <v>2025</v>
      </c>
    </row>
    <row r="2730" spans="1:8" hidden="1" x14ac:dyDescent="0.3">
      <c r="A2730" s="16" t="s">
        <v>146</v>
      </c>
      <c r="B2730" s="16" t="s">
        <v>189</v>
      </c>
      <c r="C2730" s="15">
        <v>6</v>
      </c>
      <c r="D2730" s="17">
        <v>637289</v>
      </c>
      <c r="E2730" s="17">
        <v>237096</v>
      </c>
      <c r="F2730" s="17">
        <v>-400193</v>
      </c>
      <c r="G2730" s="18">
        <v>0.37203843154361682</v>
      </c>
      <c r="H2730" s="10">
        <v>2025</v>
      </c>
    </row>
    <row r="2731" spans="1:8" hidden="1" x14ac:dyDescent="0.3">
      <c r="A2731" s="16" t="s">
        <v>146</v>
      </c>
      <c r="B2731" s="16" t="s">
        <v>189</v>
      </c>
      <c r="C2731" s="15">
        <v>7</v>
      </c>
      <c r="D2731" s="17">
        <v>637289</v>
      </c>
      <c r="E2731" s="17">
        <v>219862</v>
      </c>
      <c r="F2731" s="17">
        <v>-417427</v>
      </c>
      <c r="G2731" s="18">
        <v>0.34499575545788491</v>
      </c>
      <c r="H2731" s="10">
        <v>2025</v>
      </c>
    </row>
    <row r="2732" spans="1:8" hidden="1" x14ac:dyDescent="0.3">
      <c r="A2732" s="16" t="s">
        <v>146</v>
      </c>
      <c r="B2732" s="16" t="s">
        <v>189</v>
      </c>
      <c r="C2732" s="15">
        <v>8</v>
      </c>
      <c r="D2732" s="17">
        <v>637289</v>
      </c>
      <c r="E2732" s="17">
        <v>223869</v>
      </c>
      <c r="F2732" s="17">
        <v>-413420</v>
      </c>
      <c r="G2732" s="18">
        <v>0.35128332671676432</v>
      </c>
      <c r="H2732" s="10">
        <v>2025</v>
      </c>
    </row>
    <row r="2733" spans="1:8" hidden="1" x14ac:dyDescent="0.3">
      <c r="A2733" s="16" t="s">
        <v>146</v>
      </c>
      <c r="B2733" s="16" t="s">
        <v>189</v>
      </c>
      <c r="C2733" s="15">
        <v>9</v>
      </c>
      <c r="D2733" s="17">
        <v>637289</v>
      </c>
      <c r="E2733" s="17">
        <v>268807</v>
      </c>
      <c r="F2733" s="17">
        <v>-368482</v>
      </c>
      <c r="G2733" s="18">
        <v>0.42179764596595892</v>
      </c>
      <c r="H2733" s="10">
        <v>2025</v>
      </c>
    </row>
    <row r="2734" spans="1:8" hidden="1" x14ac:dyDescent="0.3">
      <c r="A2734" s="16" t="s">
        <v>146</v>
      </c>
      <c r="B2734" s="16" t="s">
        <v>189</v>
      </c>
      <c r="C2734" s="15">
        <v>10</v>
      </c>
      <c r="D2734" s="17">
        <v>637289</v>
      </c>
      <c r="E2734" s="17">
        <v>291692</v>
      </c>
      <c r="F2734" s="17">
        <v>-345597</v>
      </c>
      <c r="G2734" s="18">
        <v>0.45770757066260365</v>
      </c>
      <c r="H2734" s="10">
        <v>2025</v>
      </c>
    </row>
    <row r="2735" spans="1:8" hidden="1" x14ac:dyDescent="0.3">
      <c r="A2735" s="16" t="s">
        <v>146</v>
      </c>
      <c r="B2735" s="16" t="s">
        <v>192</v>
      </c>
      <c r="C2735" s="15">
        <v>1</v>
      </c>
      <c r="D2735" s="17">
        <v>72889</v>
      </c>
      <c r="E2735" s="17">
        <v>72400</v>
      </c>
      <c r="F2735" s="17">
        <v>-489</v>
      </c>
      <c r="G2735" s="18">
        <v>0.99329116876346224</v>
      </c>
      <c r="H2735" s="10">
        <v>2025</v>
      </c>
    </row>
    <row r="2736" spans="1:8" hidden="1" x14ac:dyDescent="0.3">
      <c r="A2736" s="16" t="s">
        <v>146</v>
      </c>
      <c r="B2736" s="16" t="s">
        <v>192</v>
      </c>
      <c r="C2736" s="15">
        <v>2</v>
      </c>
      <c r="D2736" s="17">
        <v>87484</v>
      </c>
      <c r="E2736" s="17">
        <v>72200</v>
      </c>
      <c r="F2736" s="17">
        <v>-15284</v>
      </c>
      <c r="G2736" s="18">
        <v>0.82529376800329202</v>
      </c>
      <c r="H2736" s="10">
        <v>2025</v>
      </c>
    </row>
    <row r="2737" spans="1:8" hidden="1" x14ac:dyDescent="0.3">
      <c r="A2737" s="16" t="s">
        <v>146</v>
      </c>
      <c r="B2737" s="16" t="s">
        <v>192</v>
      </c>
      <c r="C2737" s="15">
        <v>3</v>
      </c>
      <c r="D2737" s="17">
        <v>44868</v>
      </c>
      <c r="E2737" s="17">
        <v>90500</v>
      </c>
      <c r="F2737" s="17">
        <v>45632</v>
      </c>
      <c r="G2737" s="18">
        <v>2.0170277257733797</v>
      </c>
      <c r="H2737" s="10">
        <v>2025</v>
      </c>
    </row>
    <row r="2738" spans="1:8" hidden="1" x14ac:dyDescent="0.3">
      <c r="A2738" s="16" t="s">
        <v>146</v>
      </c>
      <c r="B2738" s="16" t="s">
        <v>192</v>
      </c>
      <c r="C2738" s="15">
        <v>4</v>
      </c>
      <c r="D2738" s="17">
        <v>40480</v>
      </c>
      <c r="E2738" s="17">
        <v>79000</v>
      </c>
      <c r="F2738" s="17">
        <v>38520</v>
      </c>
      <c r="G2738" s="18">
        <v>1.9515810276679844</v>
      </c>
      <c r="H2738" s="10">
        <v>2025</v>
      </c>
    </row>
    <row r="2739" spans="1:8" hidden="1" x14ac:dyDescent="0.3">
      <c r="A2739" s="16" t="s">
        <v>146</v>
      </c>
      <c r="B2739" s="16" t="s">
        <v>192</v>
      </c>
      <c r="C2739" s="15">
        <v>5</v>
      </c>
      <c r="D2739" s="17">
        <v>39881</v>
      </c>
      <c r="E2739" s="17">
        <v>60900</v>
      </c>
      <c r="F2739" s="17">
        <v>21019</v>
      </c>
      <c r="G2739" s="18">
        <v>1.5270429527845339</v>
      </c>
      <c r="H2739" s="10">
        <v>2025</v>
      </c>
    </row>
    <row r="2740" spans="1:8" hidden="1" x14ac:dyDescent="0.3">
      <c r="A2740" s="16" t="s">
        <v>146</v>
      </c>
      <c r="B2740" s="16" t="s">
        <v>192</v>
      </c>
      <c r="C2740" s="15">
        <v>6</v>
      </c>
      <c r="D2740" s="17">
        <v>47991</v>
      </c>
      <c r="E2740" s="17">
        <v>95700</v>
      </c>
      <c r="F2740" s="17">
        <v>47709</v>
      </c>
      <c r="G2740" s="18">
        <v>1.9941238982309184</v>
      </c>
      <c r="H2740" s="10">
        <v>2025</v>
      </c>
    </row>
    <row r="2741" spans="1:8" hidden="1" x14ac:dyDescent="0.3">
      <c r="A2741" s="16" t="s">
        <v>146</v>
      </c>
      <c r="B2741" s="16" t="s">
        <v>192</v>
      </c>
      <c r="C2741" s="15">
        <v>7</v>
      </c>
      <c r="D2741" s="17">
        <v>42441</v>
      </c>
      <c r="E2741" s="17">
        <v>44800</v>
      </c>
      <c r="F2741" s="17">
        <v>2359</v>
      </c>
      <c r="G2741" s="18">
        <v>1.0555830446973447</v>
      </c>
      <c r="H2741" s="10">
        <v>2025</v>
      </c>
    </row>
    <row r="2742" spans="1:8" hidden="1" x14ac:dyDescent="0.3">
      <c r="A2742" s="16" t="s">
        <v>146</v>
      </c>
      <c r="B2742" s="16" t="s">
        <v>192</v>
      </c>
      <c r="C2742" s="15">
        <v>8</v>
      </c>
      <c r="D2742" s="17">
        <v>47801</v>
      </c>
      <c r="E2742" s="17">
        <v>41900</v>
      </c>
      <c r="F2742" s="17">
        <v>-5901</v>
      </c>
      <c r="G2742" s="18">
        <v>0.8765506997761553</v>
      </c>
      <c r="H2742" s="10">
        <v>2025</v>
      </c>
    </row>
    <row r="2743" spans="1:8" hidden="1" x14ac:dyDescent="0.3">
      <c r="A2743" s="16" t="s">
        <v>146</v>
      </c>
      <c r="B2743" s="16" t="s">
        <v>192</v>
      </c>
      <c r="C2743" s="15">
        <v>9</v>
      </c>
      <c r="D2743" s="17">
        <v>41998</v>
      </c>
      <c r="E2743" s="17">
        <v>43400</v>
      </c>
      <c r="F2743" s="17">
        <v>1402</v>
      </c>
      <c r="G2743" s="18">
        <v>1.0333825420258107</v>
      </c>
      <c r="H2743" s="10">
        <v>2025</v>
      </c>
    </row>
    <row r="2744" spans="1:8" hidden="1" x14ac:dyDescent="0.3">
      <c r="A2744" s="16" t="s">
        <v>146</v>
      </c>
      <c r="B2744" s="16" t="s">
        <v>192</v>
      </c>
      <c r="C2744" s="15">
        <v>10</v>
      </c>
      <c r="D2744" s="17">
        <v>45286</v>
      </c>
      <c r="E2744" s="17">
        <v>51900</v>
      </c>
      <c r="F2744" s="17">
        <v>6614</v>
      </c>
      <c r="G2744" s="18">
        <v>1.146049551737844</v>
      </c>
      <c r="H2744" s="10">
        <v>2025</v>
      </c>
    </row>
    <row r="2745" spans="1:8" hidden="1" x14ac:dyDescent="0.3">
      <c r="A2745" s="16" t="s">
        <v>146</v>
      </c>
      <c r="B2745" s="16" t="s">
        <v>193</v>
      </c>
      <c r="C2745" s="15">
        <v>1</v>
      </c>
      <c r="D2745" s="17">
        <v>0</v>
      </c>
      <c r="E2745" s="17">
        <v>90</v>
      </c>
      <c r="F2745" s="17">
        <v>90</v>
      </c>
      <c r="G2745" s="18">
        <v>0</v>
      </c>
      <c r="H2745" s="10">
        <v>2025</v>
      </c>
    </row>
    <row r="2746" spans="1:8" hidden="1" x14ac:dyDescent="0.3">
      <c r="A2746" s="16" t="s">
        <v>146</v>
      </c>
      <c r="B2746" s="16" t="s">
        <v>193</v>
      </c>
      <c r="C2746" s="15">
        <v>2</v>
      </c>
      <c r="D2746" s="17">
        <v>0</v>
      </c>
      <c r="E2746" s="17">
        <v>150</v>
      </c>
      <c r="F2746" s="17">
        <v>150</v>
      </c>
      <c r="G2746" s="18">
        <v>0</v>
      </c>
      <c r="H2746" s="10">
        <v>2025</v>
      </c>
    </row>
    <row r="2747" spans="1:8" hidden="1" x14ac:dyDescent="0.3">
      <c r="A2747" s="16" t="s">
        <v>146</v>
      </c>
      <c r="B2747" s="16" t="s">
        <v>193</v>
      </c>
      <c r="C2747" s="15">
        <v>3</v>
      </c>
      <c r="D2747" s="17">
        <v>0</v>
      </c>
      <c r="E2747" s="17">
        <v>98</v>
      </c>
      <c r="F2747" s="17">
        <v>98</v>
      </c>
      <c r="G2747" s="18">
        <v>0</v>
      </c>
      <c r="H2747" s="10">
        <v>2025</v>
      </c>
    </row>
    <row r="2748" spans="1:8" hidden="1" x14ac:dyDescent="0.3">
      <c r="A2748" s="16" t="s">
        <v>146</v>
      </c>
      <c r="B2748" s="16" t="s">
        <v>193</v>
      </c>
      <c r="C2748" s="15">
        <v>4</v>
      </c>
      <c r="D2748" s="17">
        <v>0</v>
      </c>
      <c r="E2748" s="17">
        <v>-43130</v>
      </c>
      <c r="F2748" s="17">
        <v>-43130</v>
      </c>
      <c r="G2748" s="18">
        <v>0</v>
      </c>
      <c r="H2748" s="10">
        <v>2025</v>
      </c>
    </row>
    <row r="2749" spans="1:8" hidden="1" x14ac:dyDescent="0.3">
      <c r="A2749" s="16" t="s">
        <v>146</v>
      </c>
      <c r="B2749" s="16" t="s">
        <v>193</v>
      </c>
      <c r="C2749" s="15">
        <v>5</v>
      </c>
      <c r="D2749" s="17">
        <v>0</v>
      </c>
      <c r="E2749" s="17">
        <v>43437</v>
      </c>
      <c r="F2749" s="17">
        <v>43437</v>
      </c>
      <c r="G2749" s="18">
        <v>0</v>
      </c>
      <c r="H2749" s="10">
        <v>2025</v>
      </c>
    </row>
    <row r="2750" spans="1:8" hidden="1" x14ac:dyDescent="0.3">
      <c r="A2750" s="16" t="s">
        <v>146</v>
      </c>
      <c r="B2750" s="16" t="s">
        <v>193</v>
      </c>
      <c r="C2750" s="15">
        <v>6</v>
      </c>
      <c r="D2750" s="17">
        <v>0</v>
      </c>
      <c r="E2750" s="17">
        <v>124</v>
      </c>
      <c r="F2750" s="17">
        <v>124</v>
      </c>
      <c r="G2750" s="18">
        <v>0</v>
      </c>
      <c r="H2750" s="10">
        <v>2025</v>
      </c>
    </row>
    <row r="2751" spans="1:8" hidden="1" x14ac:dyDescent="0.3">
      <c r="A2751" s="16" t="s">
        <v>146</v>
      </c>
      <c r="B2751" s="16" t="s">
        <v>193</v>
      </c>
      <c r="C2751" s="15">
        <v>7</v>
      </c>
      <c r="D2751" s="17">
        <v>0</v>
      </c>
      <c r="E2751" s="17">
        <v>99</v>
      </c>
      <c r="F2751" s="17">
        <v>99</v>
      </c>
      <c r="G2751" s="18">
        <v>0</v>
      </c>
      <c r="H2751" s="10">
        <v>2025</v>
      </c>
    </row>
    <row r="2752" spans="1:8" hidden="1" x14ac:dyDescent="0.3">
      <c r="A2752" s="16" t="s">
        <v>146</v>
      </c>
      <c r="B2752" s="16" t="s">
        <v>193</v>
      </c>
      <c r="C2752" s="15">
        <v>8</v>
      </c>
      <c r="D2752" s="17">
        <v>0</v>
      </c>
      <c r="E2752" s="17">
        <v>2</v>
      </c>
      <c r="F2752" s="17">
        <v>2</v>
      </c>
      <c r="G2752" s="18">
        <v>0</v>
      </c>
      <c r="H2752" s="10">
        <v>2025</v>
      </c>
    </row>
    <row r="2753" spans="1:8" hidden="1" x14ac:dyDescent="0.3">
      <c r="A2753" s="16" t="s">
        <v>146</v>
      </c>
      <c r="B2753" s="16" t="s">
        <v>194</v>
      </c>
      <c r="C2753" s="15">
        <v>1</v>
      </c>
      <c r="D2753" s="17">
        <v>357008</v>
      </c>
      <c r="E2753" s="17">
        <v>374390</v>
      </c>
      <c r="F2753" s="17">
        <v>17382</v>
      </c>
      <c r="G2753" s="18">
        <v>1.0486879845829786</v>
      </c>
      <c r="H2753" s="10">
        <v>2025</v>
      </c>
    </row>
    <row r="2754" spans="1:8" hidden="1" x14ac:dyDescent="0.3">
      <c r="A2754" s="16" t="s">
        <v>146</v>
      </c>
      <c r="B2754" s="16" t="s">
        <v>194</v>
      </c>
      <c r="C2754" s="15">
        <v>2</v>
      </c>
      <c r="D2754" s="17">
        <v>428496</v>
      </c>
      <c r="E2754" s="17">
        <v>417650</v>
      </c>
      <c r="F2754" s="17">
        <v>-10846</v>
      </c>
      <c r="G2754" s="18">
        <v>0.97468821179194209</v>
      </c>
      <c r="H2754" s="10">
        <v>2025</v>
      </c>
    </row>
    <row r="2755" spans="1:8" hidden="1" x14ac:dyDescent="0.3">
      <c r="A2755" s="16" t="s">
        <v>146</v>
      </c>
      <c r="B2755" s="16" t="s">
        <v>194</v>
      </c>
      <c r="C2755" s="15">
        <v>3</v>
      </c>
      <c r="D2755" s="17">
        <v>219761</v>
      </c>
      <c r="E2755" s="17">
        <v>508098</v>
      </c>
      <c r="F2755" s="17">
        <v>288337</v>
      </c>
      <c r="G2755" s="18">
        <v>2.3120480886053487</v>
      </c>
      <c r="H2755" s="10">
        <v>2025</v>
      </c>
    </row>
    <row r="2756" spans="1:8" hidden="1" x14ac:dyDescent="0.3">
      <c r="A2756" s="16" t="s">
        <v>146</v>
      </c>
      <c r="B2756" s="16" t="s">
        <v>194</v>
      </c>
      <c r="C2756" s="15">
        <v>4</v>
      </c>
      <c r="D2756" s="17">
        <v>198269</v>
      </c>
      <c r="E2756" s="17">
        <v>366470</v>
      </c>
      <c r="F2756" s="17">
        <v>168201</v>
      </c>
      <c r="G2756" s="18">
        <v>1.8483474471551278</v>
      </c>
      <c r="H2756" s="10">
        <v>2025</v>
      </c>
    </row>
    <row r="2757" spans="1:8" hidden="1" x14ac:dyDescent="0.3">
      <c r="A2757" s="16" t="s">
        <v>146</v>
      </c>
      <c r="B2757" s="16" t="s">
        <v>194</v>
      </c>
      <c r="C2757" s="15">
        <v>5</v>
      </c>
      <c r="D2757" s="17">
        <v>195339</v>
      </c>
      <c r="E2757" s="17">
        <v>472537</v>
      </c>
      <c r="F2757" s="17">
        <v>277198</v>
      </c>
      <c r="G2757" s="18">
        <v>2.41906122177343</v>
      </c>
      <c r="H2757" s="10">
        <v>2025</v>
      </c>
    </row>
    <row r="2758" spans="1:8" hidden="1" x14ac:dyDescent="0.3">
      <c r="A2758" s="16" t="s">
        <v>146</v>
      </c>
      <c r="B2758" s="16" t="s">
        <v>194</v>
      </c>
      <c r="C2758" s="15">
        <v>6</v>
      </c>
      <c r="D2758" s="17">
        <v>235058</v>
      </c>
      <c r="E2758" s="17">
        <v>471024</v>
      </c>
      <c r="F2758" s="17">
        <v>235966</v>
      </c>
      <c r="G2758" s="18">
        <v>2.0038628763964641</v>
      </c>
      <c r="H2758" s="10">
        <v>2025</v>
      </c>
    </row>
    <row r="2759" spans="1:8" hidden="1" x14ac:dyDescent="0.3">
      <c r="A2759" s="16" t="s">
        <v>146</v>
      </c>
      <c r="B2759" s="16" t="s">
        <v>194</v>
      </c>
      <c r="C2759" s="15">
        <v>7</v>
      </c>
      <c r="D2759" s="17">
        <v>207877</v>
      </c>
      <c r="E2759" s="17">
        <v>220599</v>
      </c>
      <c r="F2759" s="17">
        <v>12722</v>
      </c>
      <c r="G2759" s="18">
        <v>1.0611996517171212</v>
      </c>
      <c r="H2759" s="10">
        <v>2025</v>
      </c>
    </row>
    <row r="2760" spans="1:8" hidden="1" x14ac:dyDescent="0.3">
      <c r="A2760" s="16" t="s">
        <v>146</v>
      </c>
      <c r="B2760" s="16" t="s">
        <v>194</v>
      </c>
      <c r="C2760" s="15">
        <v>8</v>
      </c>
      <c r="D2760" s="17">
        <v>234132</v>
      </c>
      <c r="E2760" s="17">
        <v>206402</v>
      </c>
      <c r="F2760" s="17">
        <v>-27730</v>
      </c>
      <c r="G2760" s="18">
        <v>0.88156253737208079</v>
      </c>
      <c r="H2760" s="10">
        <v>2025</v>
      </c>
    </row>
    <row r="2761" spans="1:8" hidden="1" x14ac:dyDescent="0.3">
      <c r="A2761" s="16" t="s">
        <v>146</v>
      </c>
      <c r="B2761" s="16" t="s">
        <v>194</v>
      </c>
      <c r="C2761" s="15">
        <v>9</v>
      </c>
      <c r="D2761" s="17">
        <v>205705</v>
      </c>
      <c r="E2761" s="17">
        <v>213100</v>
      </c>
      <c r="F2761" s="17">
        <v>7395</v>
      </c>
      <c r="G2761" s="18">
        <v>1.0359495393889309</v>
      </c>
      <c r="H2761" s="10">
        <v>2025</v>
      </c>
    </row>
    <row r="2762" spans="1:8" hidden="1" x14ac:dyDescent="0.3">
      <c r="A2762" s="16" t="s">
        <v>146</v>
      </c>
      <c r="B2762" s="16" t="s">
        <v>194</v>
      </c>
      <c r="C2762" s="15">
        <v>10</v>
      </c>
      <c r="D2762" s="17">
        <v>221810</v>
      </c>
      <c r="E2762" s="17">
        <v>254900</v>
      </c>
      <c r="F2762" s="17">
        <v>33090</v>
      </c>
      <c r="G2762" s="18">
        <v>1.1491817321130697</v>
      </c>
      <c r="H2762" s="10">
        <v>2025</v>
      </c>
    </row>
    <row r="2763" spans="1:8" hidden="1" x14ac:dyDescent="0.3">
      <c r="A2763" s="16" t="s">
        <v>146</v>
      </c>
      <c r="B2763" s="16" t="s">
        <v>195</v>
      </c>
      <c r="C2763" s="15">
        <v>1</v>
      </c>
      <c r="D2763" s="17">
        <v>119002</v>
      </c>
      <c r="E2763" s="17">
        <v>118700</v>
      </c>
      <c r="F2763" s="17">
        <v>-302</v>
      </c>
      <c r="G2763" s="18">
        <v>0.99746222752558789</v>
      </c>
      <c r="H2763" s="10">
        <v>2025</v>
      </c>
    </row>
    <row r="2764" spans="1:8" hidden="1" x14ac:dyDescent="0.3">
      <c r="A2764" s="16" t="s">
        <v>146</v>
      </c>
      <c r="B2764" s="16" t="s">
        <v>195</v>
      </c>
      <c r="C2764" s="15">
        <v>2</v>
      </c>
      <c r="D2764" s="17">
        <v>142832</v>
      </c>
      <c r="E2764" s="17">
        <v>118400</v>
      </c>
      <c r="F2764" s="17">
        <v>-24432</v>
      </c>
      <c r="G2764" s="18">
        <v>0.82894589447742806</v>
      </c>
      <c r="H2764" s="10">
        <v>2025</v>
      </c>
    </row>
    <row r="2765" spans="1:8" hidden="1" x14ac:dyDescent="0.3">
      <c r="A2765" s="16" t="s">
        <v>146</v>
      </c>
      <c r="B2765" s="16" t="s">
        <v>195</v>
      </c>
      <c r="C2765" s="15">
        <v>3</v>
      </c>
      <c r="D2765" s="17">
        <v>73253</v>
      </c>
      <c r="E2765" s="17">
        <v>148500</v>
      </c>
      <c r="F2765" s="17">
        <v>75247</v>
      </c>
      <c r="G2765" s="18">
        <v>2.0272207281613039</v>
      </c>
      <c r="H2765" s="10">
        <v>2025</v>
      </c>
    </row>
    <row r="2766" spans="1:8" hidden="1" x14ac:dyDescent="0.3">
      <c r="A2766" s="16" t="s">
        <v>146</v>
      </c>
      <c r="B2766" s="16" t="s">
        <v>195</v>
      </c>
      <c r="C2766" s="15">
        <v>4</v>
      </c>
      <c r="D2766" s="17">
        <v>66089</v>
      </c>
      <c r="E2766" s="17">
        <v>132200</v>
      </c>
      <c r="F2766" s="17">
        <v>66111</v>
      </c>
      <c r="G2766" s="18">
        <v>2.0003328844437047</v>
      </c>
      <c r="H2766" s="10">
        <v>2025</v>
      </c>
    </row>
    <row r="2767" spans="1:8" hidden="1" x14ac:dyDescent="0.3">
      <c r="A2767" s="16" t="s">
        <v>146</v>
      </c>
      <c r="B2767" s="16" t="s">
        <v>195</v>
      </c>
      <c r="C2767" s="15">
        <v>5</v>
      </c>
      <c r="D2767" s="17">
        <v>65113</v>
      </c>
      <c r="E2767" s="17">
        <v>143200</v>
      </c>
      <c r="F2767" s="17">
        <v>78087</v>
      </c>
      <c r="G2767" s="18">
        <v>2.1992536052708371</v>
      </c>
      <c r="H2767" s="10">
        <v>2025</v>
      </c>
    </row>
    <row r="2768" spans="1:8" hidden="1" x14ac:dyDescent="0.3">
      <c r="A2768" s="16" t="s">
        <v>146</v>
      </c>
      <c r="B2768" s="16" t="s">
        <v>195</v>
      </c>
      <c r="C2768" s="15">
        <v>6</v>
      </c>
      <c r="D2768" s="17">
        <v>78352</v>
      </c>
      <c r="E2768" s="17">
        <v>157100</v>
      </c>
      <c r="F2768" s="17">
        <v>78748</v>
      </c>
      <c r="G2768" s="18">
        <v>2.0050541147641412</v>
      </c>
      <c r="H2768" s="10">
        <v>2025</v>
      </c>
    </row>
    <row r="2769" spans="1:8" hidden="1" x14ac:dyDescent="0.3">
      <c r="A2769" s="16" t="s">
        <v>146</v>
      </c>
      <c r="B2769" s="16" t="s">
        <v>195</v>
      </c>
      <c r="C2769" s="15">
        <v>7</v>
      </c>
      <c r="D2769" s="17">
        <v>69292</v>
      </c>
      <c r="E2769" s="17">
        <v>73600</v>
      </c>
      <c r="F2769" s="17">
        <v>4308</v>
      </c>
      <c r="G2769" s="18">
        <v>1.0621716792703342</v>
      </c>
      <c r="H2769" s="10">
        <v>2025</v>
      </c>
    </row>
    <row r="2770" spans="1:8" hidden="1" x14ac:dyDescent="0.3">
      <c r="A2770" s="16" t="s">
        <v>146</v>
      </c>
      <c r="B2770" s="16" t="s">
        <v>195</v>
      </c>
      <c r="C2770" s="15">
        <v>8</v>
      </c>
      <c r="D2770" s="17">
        <v>78044</v>
      </c>
      <c r="E2770" s="17">
        <v>68800</v>
      </c>
      <c r="F2770" s="17">
        <v>-9244</v>
      </c>
      <c r="G2770" s="18">
        <v>0.8815539951822049</v>
      </c>
      <c r="H2770" s="10">
        <v>2025</v>
      </c>
    </row>
    <row r="2771" spans="1:8" hidden="1" x14ac:dyDescent="0.3">
      <c r="A2771" s="16" t="s">
        <v>146</v>
      </c>
      <c r="B2771" s="16" t="s">
        <v>195</v>
      </c>
      <c r="C2771" s="15">
        <v>9</v>
      </c>
      <c r="D2771" s="17">
        <v>68568</v>
      </c>
      <c r="E2771" s="17">
        <v>71100</v>
      </c>
      <c r="F2771" s="17">
        <v>2532</v>
      </c>
      <c r="G2771" s="18">
        <v>1.0369268463423171</v>
      </c>
      <c r="H2771" s="10">
        <v>2025</v>
      </c>
    </row>
    <row r="2772" spans="1:8" hidden="1" x14ac:dyDescent="0.3">
      <c r="A2772" s="16" t="s">
        <v>146</v>
      </c>
      <c r="B2772" s="16" t="s">
        <v>195</v>
      </c>
      <c r="C2772" s="15">
        <v>10</v>
      </c>
      <c r="D2772" s="17">
        <v>73936</v>
      </c>
      <c r="E2772" s="17">
        <v>85000</v>
      </c>
      <c r="F2772" s="17">
        <v>11064</v>
      </c>
      <c r="G2772" s="18">
        <v>1.1496429344297772</v>
      </c>
      <c r="H2772" s="10">
        <v>2025</v>
      </c>
    </row>
    <row r="2773" spans="1:8" hidden="1" x14ac:dyDescent="0.3">
      <c r="A2773" s="16" t="s">
        <v>146</v>
      </c>
      <c r="B2773" s="16" t="s">
        <v>198</v>
      </c>
      <c r="C2773" s="15">
        <v>1</v>
      </c>
      <c r="D2773" s="17">
        <v>32167</v>
      </c>
      <c r="E2773" s="17">
        <v>0</v>
      </c>
      <c r="F2773" s="17">
        <v>-32167</v>
      </c>
      <c r="G2773" s="18">
        <v>0</v>
      </c>
      <c r="H2773" s="10">
        <v>2025</v>
      </c>
    </row>
    <row r="2774" spans="1:8" hidden="1" x14ac:dyDescent="0.3">
      <c r="A2774" s="16" t="s">
        <v>146</v>
      </c>
      <c r="B2774" s="16" t="s">
        <v>198</v>
      </c>
      <c r="C2774" s="15">
        <v>2</v>
      </c>
      <c r="D2774" s="17">
        <v>32167</v>
      </c>
      <c r="E2774" s="17">
        <v>0</v>
      </c>
      <c r="F2774" s="17">
        <v>-32167</v>
      </c>
      <c r="G2774" s="18">
        <v>0</v>
      </c>
      <c r="H2774" s="10">
        <v>2025</v>
      </c>
    </row>
    <row r="2775" spans="1:8" hidden="1" x14ac:dyDescent="0.3">
      <c r="A2775" s="16" t="s">
        <v>146</v>
      </c>
      <c r="B2775" s="16" t="s">
        <v>198</v>
      </c>
      <c r="C2775" s="15">
        <v>3</v>
      </c>
      <c r="D2775" s="17">
        <v>32167</v>
      </c>
      <c r="E2775" s="17">
        <v>0</v>
      </c>
      <c r="F2775" s="17">
        <v>-32167</v>
      </c>
      <c r="G2775" s="18">
        <v>0</v>
      </c>
      <c r="H2775" s="10">
        <v>2025</v>
      </c>
    </row>
    <row r="2776" spans="1:8" hidden="1" x14ac:dyDescent="0.3">
      <c r="A2776" s="16" t="s">
        <v>146</v>
      </c>
      <c r="B2776" s="16" t="s">
        <v>198</v>
      </c>
      <c r="C2776" s="15">
        <v>4</v>
      </c>
      <c r="D2776" s="17">
        <v>32167</v>
      </c>
      <c r="E2776" s="17">
        <v>0</v>
      </c>
      <c r="F2776" s="17">
        <v>-32167</v>
      </c>
      <c r="G2776" s="18">
        <v>0</v>
      </c>
      <c r="H2776" s="10">
        <v>2025</v>
      </c>
    </row>
    <row r="2777" spans="1:8" hidden="1" x14ac:dyDescent="0.3">
      <c r="A2777" s="16" t="s">
        <v>146</v>
      </c>
      <c r="B2777" s="16" t="s">
        <v>198</v>
      </c>
      <c r="C2777" s="15">
        <v>5</v>
      </c>
      <c r="D2777" s="17">
        <v>32167</v>
      </c>
      <c r="E2777" s="17">
        <v>0</v>
      </c>
      <c r="F2777" s="17">
        <v>-32167</v>
      </c>
      <c r="G2777" s="18">
        <v>0</v>
      </c>
      <c r="H2777" s="10">
        <v>2025</v>
      </c>
    </row>
    <row r="2778" spans="1:8" hidden="1" x14ac:dyDescent="0.3">
      <c r="A2778" s="16" t="s">
        <v>146</v>
      </c>
      <c r="B2778" s="16" t="s">
        <v>198</v>
      </c>
      <c r="C2778" s="15">
        <v>6</v>
      </c>
      <c r="D2778" s="17">
        <v>32167</v>
      </c>
      <c r="E2778" s="17">
        <v>0</v>
      </c>
      <c r="F2778" s="17">
        <v>-32167</v>
      </c>
      <c r="G2778" s="18">
        <v>0</v>
      </c>
      <c r="H2778" s="10">
        <v>2025</v>
      </c>
    </row>
    <row r="2779" spans="1:8" hidden="1" x14ac:dyDescent="0.3">
      <c r="A2779" s="16" t="s">
        <v>146</v>
      </c>
      <c r="B2779" s="16" t="s">
        <v>198</v>
      </c>
      <c r="C2779" s="15">
        <v>7</v>
      </c>
      <c r="D2779" s="17">
        <v>32167</v>
      </c>
      <c r="E2779" s="17">
        <v>0</v>
      </c>
      <c r="F2779" s="17">
        <v>-32167</v>
      </c>
      <c r="G2779" s="18">
        <v>0</v>
      </c>
      <c r="H2779" s="10">
        <v>2025</v>
      </c>
    </row>
    <row r="2780" spans="1:8" hidden="1" x14ac:dyDescent="0.3">
      <c r="A2780" s="16" t="s">
        <v>146</v>
      </c>
      <c r="B2780" s="16" t="s">
        <v>198</v>
      </c>
      <c r="C2780" s="15">
        <v>8</v>
      </c>
      <c r="D2780" s="17">
        <v>32167</v>
      </c>
      <c r="E2780" s="17">
        <v>0</v>
      </c>
      <c r="F2780" s="17">
        <v>-32167</v>
      </c>
      <c r="G2780" s="18">
        <v>0</v>
      </c>
      <c r="H2780" s="10">
        <v>2025</v>
      </c>
    </row>
    <row r="2781" spans="1:8" hidden="1" x14ac:dyDescent="0.3">
      <c r="A2781" s="16" t="s">
        <v>146</v>
      </c>
      <c r="B2781" s="16" t="s">
        <v>198</v>
      </c>
      <c r="C2781" s="15">
        <v>9</v>
      </c>
      <c r="D2781" s="17">
        <v>32167</v>
      </c>
      <c r="E2781" s="17">
        <v>0</v>
      </c>
      <c r="F2781" s="17">
        <v>-32167</v>
      </c>
      <c r="G2781" s="18">
        <v>0</v>
      </c>
      <c r="H2781" s="10">
        <v>2025</v>
      </c>
    </row>
    <row r="2782" spans="1:8" hidden="1" x14ac:dyDescent="0.3">
      <c r="A2782" s="16" t="s">
        <v>146</v>
      </c>
      <c r="B2782" s="16" t="s">
        <v>198</v>
      </c>
      <c r="C2782" s="15">
        <v>10</v>
      </c>
      <c r="D2782" s="17">
        <v>32167</v>
      </c>
      <c r="E2782" s="17">
        <v>0</v>
      </c>
      <c r="F2782" s="17">
        <v>-32167</v>
      </c>
      <c r="G2782" s="18">
        <v>0</v>
      </c>
      <c r="H2782" s="10">
        <v>2025</v>
      </c>
    </row>
    <row r="2783" spans="1:8" hidden="1" x14ac:dyDescent="0.3">
      <c r="A2783" s="16" t="s">
        <v>146</v>
      </c>
      <c r="B2783" s="16" t="s">
        <v>199</v>
      </c>
      <c r="C2783" s="15">
        <v>1</v>
      </c>
      <c r="D2783" s="17">
        <v>154618</v>
      </c>
      <c r="E2783" s="17">
        <v>183800</v>
      </c>
      <c r="F2783" s="17">
        <v>29182</v>
      </c>
      <c r="G2783" s="18">
        <v>1.1887361109314569</v>
      </c>
      <c r="H2783" s="10">
        <v>2025</v>
      </c>
    </row>
    <row r="2784" spans="1:8" hidden="1" x14ac:dyDescent="0.3">
      <c r="A2784" s="16" t="s">
        <v>146</v>
      </c>
      <c r="B2784" s="16" t="s">
        <v>199</v>
      </c>
      <c r="C2784" s="15">
        <v>2</v>
      </c>
      <c r="D2784" s="17">
        <v>154618</v>
      </c>
      <c r="E2784" s="17">
        <v>102546</v>
      </c>
      <c r="F2784" s="17">
        <v>-52072</v>
      </c>
      <c r="G2784" s="18">
        <v>0.66322161714677463</v>
      </c>
      <c r="H2784" s="10">
        <v>2025</v>
      </c>
    </row>
    <row r="2785" spans="1:8" hidden="1" x14ac:dyDescent="0.3">
      <c r="A2785" s="16" t="s">
        <v>146</v>
      </c>
      <c r="B2785" s="16" t="s">
        <v>199</v>
      </c>
      <c r="C2785" s="15">
        <v>3</v>
      </c>
      <c r="D2785" s="17">
        <v>154618</v>
      </c>
      <c r="E2785" s="17">
        <v>110800</v>
      </c>
      <c r="F2785" s="17">
        <v>-43818</v>
      </c>
      <c r="G2785" s="18">
        <v>0.71660479374975738</v>
      </c>
      <c r="H2785" s="10">
        <v>2025</v>
      </c>
    </row>
    <row r="2786" spans="1:8" hidden="1" x14ac:dyDescent="0.3">
      <c r="A2786" s="16" t="s">
        <v>146</v>
      </c>
      <c r="B2786" s="16" t="s">
        <v>199</v>
      </c>
      <c r="C2786" s="15">
        <v>4</v>
      </c>
      <c r="D2786" s="17">
        <v>154618</v>
      </c>
      <c r="E2786" s="17">
        <v>96000</v>
      </c>
      <c r="F2786" s="17">
        <v>-58618</v>
      </c>
      <c r="G2786" s="18">
        <v>0.62088501985538558</v>
      </c>
      <c r="H2786" s="10">
        <v>2025</v>
      </c>
    </row>
    <row r="2787" spans="1:8" hidden="1" x14ac:dyDescent="0.3">
      <c r="A2787" s="16" t="s">
        <v>146</v>
      </c>
      <c r="B2787" s="16" t="s">
        <v>199</v>
      </c>
      <c r="C2787" s="15">
        <v>5</v>
      </c>
      <c r="D2787" s="17">
        <v>154618</v>
      </c>
      <c r="E2787" s="17">
        <v>169600</v>
      </c>
      <c r="F2787" s="17">
        <v>14982</v>
      </c>
      <c r="G2787" s="18">
        <v>1.0968968684111811</v>
      </c>
      <c r="H2787" s="10">
        <v>2025</v>
      </c>
    </row>
    <row r="2788" spans="1:8" hidden="1" x14ac:dyDescent="0.3">
      <c r="A2788" s="16" t="s">
        <v>146</v>
      </c>
      <c r="B2788" s="16" t="s">
        <v>199</v>
      </c>
      <c r="C2788" s="15">
        <v>6</v>
      </c>
      <c r="D2788" s="17">
        <v>507698</v>
      </c>
      <c r="E2788" s="17">
        <v>84800</v>
      </c>
      <c r="F2788" s="17">
        <v>-422898</v>
      </c>
      <c r="G2788" s="18">
        <v>0.16702843028729678</v>
      </c>
      <c r="H2788" s="10">
        <v>2025</v>
      </c>
    </row>
    <row r="2789" spans="1:8" hidden="1" x14ac:dyDescent="0.3">
      <c r="A2789" s="16" t="s">
        <v>146</v>
      </c>
      <c r="B2789" s="16" t="s">
        <v>199</v>
      </c>
      <c r="C2789" s="15">
        <v>7</v>
      </c>
      <c r="D2789" s="17">
        <v>154618</v>
      </c>
      <c r="E2789" s="17">
        <v>186600</v>
      </c>
      <c r="F2789" s="17">
        <v>31982</v>
      </c>
      <c r="G2789" s="18">
        <v>1.2068452573439057</v>
      </c>
      <c r="H2789" s="10">
        <v>2025</v>
      </c>
    </row>
    <row r="2790" spans="1:8" hidden="1" x14ac:dyDescent="0.3">
      <c r="A2790" s="16" t="s">
        <v>146</v>
      </c>
      <c r="B2790" s="16" t="s">
        <v>199</v>
      </c>
      <c r="C2790" s="15">
        <v>8</v>
      </c>
      <c r="D2790" s="17">
        <v>154618</v>
      </c>
      <c r="E2790" s="17">
        <v>107192</v>
      </c>
      <c r="F2790" s="17">
        <v>-47426</v>
      </c>
      <c r="G2790" s="18">
        <v>0.69326986508685928</v>
      </c>
      <c r="H2790" s="10">
        <v>2025</v>
      </c>
    </row>
    <row r="2791" spans="1:8" hidden="1" x14ac:dyDescent="0.3">
      <c r="A2791" s="16" t="s">
        <v>146</v>
      </c>
      <c r="B2791" s="16" t="s">
        <v>199</v>
      </c>
      <c r="C2791" s="15">
        <v>9</v>
      </c>
      <c r="D2791" s="17">
        <v>154618</v>
      </c>
      <c r="E2791" s="17">
        <v>0</v>
      </c>
      <c r="F2791" s="17">
        <v>-154618</v>
      </c>
      <c r="G2791" s="18">
        <v>0</v>
      </c>
      <c r="H2791" s="10">
        <v>2025</v>
      </c>
    </row>
    <row r="2792" spans="1:8" hidden="1" x14ac:dyDescent="0.3">
      <c r="A2792" s="16" t="s">
        <v>146</v>
      </c>
      <c r="B2792" s="16" t="s">
        <v>199</v>
      </c>
      <c r="C2792" s="15">
        <v>10</v>
      </c>
      <c r="D2792" s="17">
        <v>154618</v>
      </c>
      <c r="E2792" s="17">
        <v>142070</v>
      </c>
      <c r="F2792" s="17">
        <v>-12548</v>
      </c>
      <c r="G2792" s="18">
        <v>0.91884515386306898</v>
      </c>
      <c r="H2792" s="10">
        <v>2025</v>
      </c>
    </row>
    <row r="2793" spans="1:8" hidden="1" x14ac:dyDescent="0.3">
      <c r="A2793" s="16" t="s">
        <v>146</v>
      </c>
      <c r="B2793" s="16" t="s">
        <v>200</v>
      </c>
      <c r="C2793" s="15">
        <v>1</v>
      </c>
      <c r="D2793" s="17">
        <v>44069435</v>
      </c>
      <c r="E2793" s="17">
        <v>41336691</v>
      </c>
      <c r="F2793" s="17">
        <v>-2732744</v>
      </c>
      <c r="G2793" s="18">
        <v>0.93799003776653822</v>
      </c>
      <c r="H2793" s="10">
        <v>2025</v>
      </c>
    </row>
    <row r="2794" spans="1:8" hidden="1" x14ac:dyDescent="0.3">
      <c r="A2794" s="16" t="s">
        <v>146</v>
      </c>
      <c r="B2794" s="16" t="s">
        <v>200</v>
      </c>
      <c r="C2794" s="15">
        <v>2</v>
      </c>
      <c r="D2794" s="17">
        <v>50599062</v>
      </c>
      <c r="E2794" s="17">
        <v>43858333</v>
      </c>
      <c r="F2794" s="17">
        <v>-6740729</v>
      </c>
      <c r="G2794" s="18">
        <v>0.8667815423139662</v>
      </c>
      <c r="H2794" s="10">
        <v>2025</v>
      </c>
    </row>
    <row r="2795" spans="1:8" hidden="1" x14ac:dyDescent="0.3">
      <c r="A2795" s="16" t="s">
        <v>146</v>
      </c>
      <c r="B2795" s="16" t="s">
        <v>200</v>
      </c>
      <c r="C2795" s="15">
        <v>3</v>
      </c>
      <c r="D2795" s="17">
        <v>50300389</v>
      </c>
      <c r="E2795" s="17">
        <v>45053512</v>
      </c>
      <c r="F2795" s="17">
        <v>-5246877</v>
      </c>
      <c r="G2795" s="18">
        <v>0.89568913671820705</v>
      </c>
      <c r="H2795" s="10">
        <v>2025</v>
      </c>
    </row>
    <row r="2796" spans="1:8" hidden="1" x14ac:dyDescent="0.3">
      <c r="A2796" s="16" t="s">
        <v>146</v>
      </c>
      <c r="B2796" s="16" t="s">
        <v>200</v>
      </c>
      <c r="C2796" s="15">
        <v>4</v>
      </c>
      <c r="D2796" s="17">
        <v>45810957</v>
      </c>
      <c r="E2796" s="17">
        <v>34353016</v>
      </c>
      <c r="F2796" s="17">
        <v>-11457941</v>
      </c>
      <c r="G2796" s="18">
        <v>0.74988645183727554</v>
      </c>
      <c r="H2796" s="10">
        <v>2025</v>
      </c>
    </row>
    <row r="2797" spans="1:8" hidden="1" x14ac:dyDescent="0.3">
      <c r="A2797" s="16" t="s">
        <v>146</v>
      </c>
      <c r="B2797" s="16" t="s">
        <v>200</v>
      </c>
      <c r="C2797" s="15">
        <v>5</v>
      </c>
      <c r="D2797" s="17">
        <v>45198829</v>
      </c>
      <c r="E2797" s="17">
        <v>36681736</v>
      </c>
      <c r="F2797" s="17">
        <v>-8517093</v>
      </c>
      <c r="G2797" s="18">
        <v>0.81156385710789103</v>
      </c>
      <c r="H2797" s="10">
        <v>2025</v>
      </c>
    </row>
    <row r="2798" spans="1:8" hidden="1" x14ac:dyDescent="0.3">
      <c r="A2798" s="16" t="s">
        <v>146</v>
      </c>
      <c r="B2798" s="16" t="s">
        <v>200</v>
      </c>
      <c r="C2798" s="15">
        <v>6</v>
      </c>
      <c r="D2798" s="17">
        <v>53495735</v>
      </c>
      <c r="E2798" s="17">
        <v>42341219</v>
      </c>
      <c r="F2798" s="17">
        <v>-11154516</v>
      </c>
      <c r="G2798" s="18">
        <v>0.79148775131325888</v>
      </c>
      <c r="H2798" s="10">
        <v>2025</v>
      </c>
    </row>
    <row r="2799" spans="1:8" hidden="1" x14ac:dyDescent="0.3">
      <c r="A2799" s="16" t="s">
        <v>146</v>
      </c>
      <c r="B2799" s="16" t="s">
        <v>200</v>
      </c>
      <c r="C2799" s="15">
        <v>7</v>
      </c>
      <c r="D2799" s="17">
        <v>47817809</v>
      </c>
      <c r="E2799" s="17">
        <v>31288972</v>
      </c>
      <c r="F2799" s="17">
        <v>-16528837</v>
      </c>
      <c r="G2799" s="18">
        <v>0.6543372156595465</v>
      </c>
      <c r="H2799" s="10">
        <v>2025</v>
      </c>
    </row>
    <row r="2800" spans="1:8" hidden="1" x14ac:dyDescent="0.3">
      <c r="A2800" s="16" t="s">
        <v>146</v>
      </c>
      <c r="B2800" s="16" t="s">
        <v>200</v>
      </c>
      <c r="C2800" s="15">
        <v>8</v>
      </c>
      <c r="D2800" s="17">
        <v>53302124</v>
      </c>
      <c r="E2800" s="17">
        <v>33291842</v>
      </c>
      <c r="F2800" s="17">
        <v>-20010282</v>
      </c>
      <c r="G2800" s="18">
        <v>0.62458753050816518</v>
      </c>
      <c r="H2800" s="10">
        <v>2025</v>
      </c>
    </row>
    <row r="2801" spans="1:8" hidden="1" x14ac:dyDescent="0.3">
      <c r="A2801" s="16" t="s">
        <v>146</v>
      </c>
      <c r="B2801" s="16" t="s">
        <v>200</v>
      </c>
      <c r="C2801" s="15">
        <v>9</v>
      </c>
      <c r="D2801" s="17">
        <v>47364141</v>
      </c>
      <c r="E2801" s="17">
        <v>33017575</v>
      </c>
      <c r="F2801" s="17">
        <v>-14346566</v>
      </c>
      <c r="G2801" s="18">
        <v>0.69710068213841359</v>
      </c>
      <c r="H2801" s="10">
        <v>2025</v>
      </c>
    </row>
    <row r="2802" spans="1:8" hidden="1" x14ac:dyDescent="0.3">
      <c r="A2802" s="16" t="s">
        <v>146</v>
      </c>
      <c r="B2802" s="16" t="s">
        <v>200</v>
      </c>
      <c r="C2802" s="15">
        <v>10</v>
      </c>
      <c r="D2802" s="17">
        <v>50728301</v>
      </c>
      <c r="E2802" s="17">
        <v>51823438</v>
      </c>
      <c r="F2802" s="17">
        <v>1095137</v>
      </c>
      <c r="G2802" s="18">
        <v>1.021588284614539</v>
      </c>
      <c r="H2802" s="10">
        <v>2025</v>
      </c>
    </row>
    <row r="2803" spans="1:8" hidden="1" x14ac:dyDescent="0.3">
      <c r="A2803" s="16" t="s">
        <v>146</v>
      </c>
      <c r="B2803" s="16" t="s">
        <v>201</v>
      </c>
      <c r="C2803" s="15">
        <v>1</v>
      </c>
      <c r="D2803" s="17">
        <v>9320000</v>
      </c>
      <c r="E2803" s="17">
        <v>9320000</v>
      </c>
      <c r="F2803" s="17">
        <v>0</v>
      </c>
      <c r="G2803" s="18">
        <v>1</v>
      </c>
      <c r="H2803" s="10">
        <v>2025</v>
      </c>
    </row>
    <row r="2804" spans="1:8" hidden="1" x14ac:dyDescent="0.3">
      <c r="A2804" s="16" t="s">
        <v>146</v>
      </c>
      <c r="B2804" s="16" t="s">
        <v>201</v>
      </c>
      <c r="C2804" s="15">
        <v>2</v>
      </c>
      <c r="D2804" s="17">
        <v>3347607</v>
      </c>
      <c r="E2804" s="17">
        <v>3347607</v>
      </c>
      <c r="F2804" s="17">
        <v>0</v>
      </c>
      <c r="G2804" s="18">
        <v>1</v>
      </c>
      <c r="H2804" s="10">
        <v>2025</v>
      </c>
    </row>
    <row r="2805" spans="1:8" hidden="1" x14ac:dyDescent="0.3">
      <c r="A2805" s="16" t="s">
        <v>146</v>
      </c>
      <c r="B2805" s="16" t="s">
        <v>201</v>
      </c>
      <c r="C2805" s="15">
        <v>3</v>
      </c>
      <c r="D2805" s="17">
        <v>1866970</v>
      </c>
      <c r="E2805" s="17">
        <v>1594344</v>
      </c>
      <c r="F2805" s="17">
        <v>-272626</v>
      </c>
      <c r="G2805" s="18">
        <v>0.85397408635382466</v>
      </c>
      <c r="H2805" s="10">
        <v>2025</v>
      </c>
    </row>
    <row r="2806" spans="1:8" hidden="1" x14ac:dyDescent="0.3">
      <c r="A2806" s="16" t="s">
        <v>146</v>
      </c>
      <c r="B2806" s="16" t="s">
        <v>201</v>
      </c>
      <c r="C2806" s="15">
        <v>4</v>
      </c>
      <c r="D2806" s="17">
        <v>1866970</v>
      </c>
      <c r="E2806" s="17">
        <v>1450071</v>
      </c>
      <c r="F2806" s="17">
        <v>-416899</v>
      </c>
      <c r="G2806" s="18">
        <v>0.7766975366502944</v>
      </c>
      <c r="H2806" s="10">
        <v>2025</v>
      </c>
    </row>
    <row r="2807" spans="1:8" hidden="1" x14ac:dyDescent="0.3">
      <c r="A2807" s="16" t="s">
        <v>146</v>
      </c>
      <c r="B2807" s="16" t="s">
        <v>201</v>
      </c>
      <c r="C2807" s="15">
        <v>5</v>
      </c>
      <c r="D2807" s="17">
        <v>1866970</v>
      </c>
      <c r="E2807" s="17">
        <v>1500514</v>
      </c>
      <c r="F2807" s="17">
        <v>-366456</v>
      </c>
      <c r="G2807" s="18">
        <v>0.80371618183473759</v>
      </c>
      <c r="H2807" s="10">
        <v>2025</v>
      </c>
    </row>
    <row r="2808" spans="1:8" hidden="1" x14ac:dyDescent="0.3">
      <c r="A2808" s="16" t="s">
        <v>146</v>
      </c>
      <c r="B2808" s="16" t="s">
        <v>201</v>
      </c>
      <c r="C2808" s="15">
        <v>6</v>
      </c>
      <c r="D2808" s="17">
        <v>1866970</v>
      </c>
      <c r="E2808" s="17">
        <v>1620488</v>
      </c>
      <c r="F2808" s="17">
        <v>-246482</v>
      </c>
      <c r="G2808" s="18">
        <v>0.86797752508074588</v>
      </c>
      <c r="H2808" s="10">
        <v>2025</v>
      </c>
    </row>
    <row r="2809" spans="1:8" hidden="1" x14ac:dyDescent="0.3">
      <c r="A2809" s="16" t="s">
        <v>146</v>
      </c>
      <c r="B2809" s="16" t="s">
        <v>201</v>
      </c>
      <c r="C2809" s="15">
        <v>7</v>
      </c>
      <c r="D2809" s="17">
        <v>1866970</v>
      </c>
      <c r="E2809" s="17">
        <v>1210939</v>
      </c>
      <c r="F2809" s="17">
        <v>-656031</v>
      </c>
      <c r="G2809" s="18">
        <v>0.64861192199124784</v>
      </c>
      <c r="H2809" s="10">
        <v>2025</v>
      </c>
    </row>
    <row r="2810" spans="1:8" hidden="1" x14ac:dyDescent="0.3">
      <c r="A2810" s="16" t="s">
        <v>146</v>
      </c>
      <c r="B2810" s="16" t="s">
        <v>201</v>
      </c>
      <c r="C2810" s="15">
        <v>8</v>
      </c>
      <c r="D2810" s="17">
        <v>1866970</v>
      </c>
      <c r="E2810" s="17">
        <v>1302924</v>
      </c>
      <c r="F2810" s="17">
        <v>-564046</v>
      </c>
      <c r="G2810" s="18">
        <v>0.69788159424093588</v>
      </c>
      <c r="H2810" s="10">
        <v>2025</v>
      </c>
    </row>
    <row r="2811" spans="1:8" hidden="1" x14ac:dyDescent="0.3">
      <c r="A2811" s="16" t="s">
        <v>146</v>
      </c>
      <c r="B2811" s="16" t="s">
        <v>201</v>
      </c>
      <c r="C2811" s="15">
        <v>9</v>
      </c>
      <c r="D2811" s="17">
        <v>1866970</v>
      </c>
      <c r="E2811" s="17">
        <v>1313981</v>
      </c>
      <c r="F2811" s="17">
        <v>-552989</v>
      </c>
      <c r="G2811" s="18">
        <v>0.70380402470312864</v>
      </c>
      <c r="H2811" s="10">
        <v>2025</v>
      </c>
    </row>
    <row r="2812" spans="1:8" hidden="1" x14ac:dyDescent="0.3">
      <c r="A2812" s="16" t="s">
        <v>146</v>
      </c>
      <c r="B2812" s="16" t="s">
        <v>201</v>
      </c>
      <c r="C2812" s="15">
        <v>10</v>
      </c>
      <c r="D2812" s="17">
        <v>1866970</v>
      </c>
      <c r="E2812" s="17">
        <v>1842439</v>
      </c>
      <c r="F2812" s="17">
        <v>-24531</v>
      </c>
      <c r="G2812" s="18">
        <v>0.98686052802133939</v>
      </c>
      <c r="H2812" s="10">
        <v>2025</v>
      </c>
    </row>
    <row r="2813" spans="1:8" hidden="1" x14ac:dyDescent="0.3">
      <c r="A2813" s="16" t="s">
        <v>146</v>
      </c>
      <c r="B2813" s="16" t="s">
        <v>202</v>
      </c>
      <c r="C2813" s="15">
        <v>1</v>
      </c>
      <c r="D2813" s="17">
        <v>1031600</v>
      </c>
      <c r="E2813" s="17">
        <v>959133</v>
      </c>
      <c r="F2813" s="17">
        <v>-72467</v>
      </c>
      <c r="G2813" s="18">
        <v>0.92975281116711905</v>
      </c>
      <c r="H2813" s="10">
        <v>2025</v>
      </c>
    </row>
    <row r="2814" spans="1:8" hidden="1" x14ac:dyDescent="0.3">
      <c r="A2814" s="16" t="s">
        <v>146</v>
      </c>
      <c r="B2814" s="16" t="s">
        <v>202</v>
      </c>
      <c r="C2814" s="15">
        <v>2</v>
      </c>
      <c r="D2814" s="17">
        <v>1133840</v>
      </c>
      <c r="E2814" s="17">
        <v>1023425</v>
      </c>
      <c r="F2814" s="17">
        <v>-110415</v>
      </c>
      <c r="G2814" s="18">
        <v>0.90261853524306779</v>
      </c>
      <c r="H2814" s="10">
        <v>2025</v>
      </c>
    </row>
    <row r="2815" spans="1:8" hidden="1" x14ac:dyDescent="0.3">
      <c r="A2815" s="16" t="s">
        <v>146</v>
      </c>
      <c r="B2815" s="16" t="s">
        <v>202</v>
      </c>
      <c r="C2815" s="15">
        <v>3</v>
      </c>
      <c r="D2815" s="17">
        <v>1066840</v>
      </c>
      <c r="E2815" s="17">
        <v>911053</v>
      </c>
      <c r="F2815" s="17">
        <v>-155787</v>
      </c>
      <c r="G2815" s="18">
        <v>0.8539734168197668</v>
      </c>
      <c r="H2815" s="10">
        <v>2025</v>
      </c>
    </row>
    <row r="2816" spans="1:8" hidden="1" x14ac:dyDescent="0.3">
      <c r="A2816" s="16" t="s">
        <v>146</v>
      </c>
      <c r="B2816" s="16" t="s">
        <v>202</v>
      </c>
      <c r="C2816" s="15">
        <v>4</v>
      </c>
      <c r="D2816" s="17">
        <v>1066840</v>
      </c>
      <c r="E2816" s="17">
        <v>863827</v>
      </c>
      <c r="F2816" s="17">
        <v>-203013</v>
      </c>
      <c r="G2816" s="18">
        <v>0.8097062352367741</v>
      </c>
      <c r="H2816" s="10">
        <v>2025</v>
      </c>
    </row>
    <row r="2817" spans="1:8" hidden="1" x14ac:dyDescent="0.3">
      <c r="A2817" s="16" t="s">
        <v>146</v>
      </c>
      <c r="B2817" s="16" t="s">
        <v>202</v>
      </c>
      <c r="C2817" s="15">
        <v>5</v>
      </c>
      <c r="D2817" s="17">
        <v>1066840</v>
      </c>
      <c r="E2817" s="17">
        <v>893878</v>
      </c>
      <c r="F2817" s="17">
        <v>-172962</v>
      </c>
      <c r="G2817" s="18">
        <v>0.83787447039856022</v>
      </c>
      <c r="H2817" s="10">
        <v>2025</v>
      </c>
    </row>
    <row r="2818" spans="1:8" hidden="1" x14ac:dyDescent="0.3">
      <c r="A2818" s="16" t="s">
        <v>146</v>
      </c>
      <c r="B2818" s="16" t="s">
        <v>202</v>
      </c>
      <c r="C2818" s="15">
        <v>6</v>
      </c>
      <c r="D2818" s="17">
        <v>1066840</v>
      </c>
      <c r="E2818" s="17">
        <v>965347</v>
      </c>
      <c r="F2818" s="17">
        <v>-101493</v>
      </c>
      <c r="G2818" s="18">
        <v>0.90486577181208061</v>
      </c>
      <c r="H2818" s="10">
        <v>2025</v>
      </c>
    </row>
    <row r="2819" spans="1:8" hidden="1" x14ac:dyDescent="0.3">
      <c r="A2819" s="16" t="s">
        <v>146</v>
      </c>
      <c r="B2819" s="16" t="s">
        <v>202</v>
      </c>
      <c r="C2819" s="15">
        <v>7</v>
      </c>
      <c r="D2819" s="17">
        <v>1066840</v>
      </c>
      <c r="E2819" s="17">
        <v>721373</v>
      </c>
      <c r="F2819" s="17">
        <v>-345467</v>
      </c>
      <c r="G2819" s="18">
        <v>0.67617730868733839</v>
      </c>
      <c r="H2819" s="10">
        <v>2025</v>
      </c>
    </row>
    <row r="2820" spans="1:8" hidden="1" x14ac:dyDescent="0.3">
      <c r="A2820" s="16" t="s">
        <v>146</v>
      </c>
      <c r="B2820" s="16" t="s">
        <v>202</v>
      </c>
      <c r="C2820" s="15">
        <v>8</v>
      </c>
      <c r="D2820" s="17">
        <v>1066840</v>
      </c>
      <c r="E2820" s="17">
        <v>776170</v>
      </c>
      <c r="F2820" s="17">
        <v>-290670</v>
      </c>
      <c r="G2820" s="18">
        <v>0.72754114956319604</v>
      </c>
      <c r="H2820" s="10">
        <v>2025</v>
      </c>
    </row>
    <row r="2821" spans="1:8" hidden="1" x14ac:dyDescent="0.3">
      <c r="A2821" s="16" t="s">
        <v>146</v>
      </c>
      <c r="B2821" s="16" t="s">
        <v>202</v>
      </c>
      <c r="C2821" s="15">
        <v>9</v>
      </c>
      <c r="D2821" s="17">
        <v>1066840</v>
      </c>
      <c r="E2821" s="17">
        <v>782756</v>
      </c>
      <c r="F2821" s="17">
        <v>-284084</v>
      </c>
      <c r="G2821" s="18">
        <v>0.73371452139027415</v>
      </c>
      <c r="H2821" s="10">
        <v>2025</v>
      </c>
    </row>
    <row r="2822" spans="1:8" hidden="1" x14ac:dyDescent="0.3">
      <c r="A2822" s="16" t="s">
        <v>146</v>
      </c>
      <c r="B2822" s="16" t="s">
        <v>202</v>
      </c>
      <c r="C2822" s="15">
        <v>10</v>
      </c>
      <c r="D2822" s="17">
        <v>1066840</v>
      </c>
      <c r="E2822" s="17">
        <v>1097567</v>
      </c>
      <c r="F2822" s="17">
        <v>30727</v>
      </c>
      <c r="G2822" s="18">
        <v>1.0288018821941436</v>
      </c>
      <c r="H2822" s="10">
        <v>2025</v>
      </c>
    </row>
    <row r="2823" spans="1:8" hidden="1" x14ac:dyDescent="0.3">
      <c r="A2823" s="16" t="s">
        <v>146</v>
      </c>
      <c r="B2823" s="16" t="s">
        <v>203</v>
      </c>
      <c r="C2823" s="15">
        <v>1</v>
      </c>
      <c r="D2823" s="17">
        <v>317097</v>
      </c>
      <c r="E2823" s="17">
        <v>266468</v>
      </c>
      <c r="F2823" s="17">
        <v>-50629</v>
      </c>
      <c r="G2823" s="18">
        <v>0.84033592244644384</v>
      </c>
      <c r="H2823" s="10">
        <v>2025</v>
      </c>
    </row>
    <row r="2824" spans="1:8" hidden="1" x14ac:dyDescent="0.3">
      <c r="A2824" s="16" t="s">
        <v>146</v>
      </c>
      <c r="B2824" s="16" t="s">
        <v>203</v>
      </c>
      <c r="C2824" s="15">
        <v>3</v>
      </c>
      <c r="D2824" s="17">
        <v>0</v>
      </c>
      <c r="E2824" s="17">
        <v>234408</v>
      </c>
      <c r="F2824" s="17">
        <v>234408</v>
      </c>
      <c r="G2824" s="18">
        <v>0</v>
      </c>
      <c r="H2824" s="10">
        <v>2025</v>
      </c>
    </row>
    <row r="2825" spans="1:8" hidden="1" x14ac:dyDescent="0.3">
      <c r="A2825" s="16" t="s">
        <v>146</v>
      </c>
      <c r="B2825" s="16" t="s">
        <v>208</v>
      </c>
      <c r="C2825" s="15">
        <v>2</v>
      </c>
      <c r="D2825" s="17">
        <v>0</v>
      </c>
      <c r="E2825" s="17">
        <v>200738</v>
      </c>
      <c r="F2825" s="17">
        <v>200738</v>
      </c>
      <c r="G2825" s="18">
        <v>0</v>
      </c>
      <c r="H2825" s="10">
        <v>2025</v>
      </c>
    </row>
    <row r="2826" spans="1:8" hidden="1" x14ac:dyDescent="0.3">
      <c r="A2826" s="16" t="s">
        <v>146</v>
      </c>
      <c r="B2826" s="16" t="s">
        <v>208</v>
      </c>
      <c r="C2826" s="15">
        <v>3</v>
      </c>
      <c r="D2826" s="17">
        <v>0</v>
      </c>
      <c r="E2826" s="17">
        <v>133264</v>
      </c>
      <c r="F2826" s="17">
        <v>133264</v>
      </c>
      <c r="G2826" s="18">
        <v>0</v>
      </c>
      <c r="H2826" s="10">
        <v>2025</v>
      </c>
    </row>
    <row r="2827" spans="1:8" hidden="1" x14ac:dyDescent="0.3">
      <c r="A2827" s="16" t="s">
        <v>146</v>
      </c>
      <c r="B2827" s="16" t="s">
        <v>208</v>
      </c>
      <c r="C2827" s="15">
        <v>7</v>
      </c>
      <c r="D2827" s="17">
        <v>0</v>
      </c>
      <c r="E2827" s="17">
        <v>245467</v>
      </c>
      <c r="F2827" s="17">
        <v>245467</v>
      </c>
      <c r="G2827" s="18">
        <v>0</v>
      </c>
      <c r="H2827" s="10">
        <v>2025</v>
      </c>
    </row>
    <row r="2828" spans="1:8" hidden="1" x14ac:dyDescent="0.3">
      <c r="A2828" s="16" t="s">
        <v>146</v>
      </c>
      <c r="B2828" s="16" t="s">
        <v>208</v>
      </c>
      <c r="C2828" s="15">
        <v>9</v>
      </c>
      <c r="D2828" s="17">
        <v>0</v>
      </c>
      <c r="E2828" s="17">
        <v>65450</v>
      </c>
      <c r="F2828" s="17">
        <v>65450</v>
      </c>
      <c r="G2828" s="18">
        <v>0</v>
      </c>
      <c r="H2828" s="10">
        <v>2025</v>
      </c>
    </row>
    <row r="2829" spans="1:8" hidden="1" x14ac:dyDescent="0.3">
      <c r="A2829" s="16" t="s">
        <v>146</v>
      </c>
      <c r="B2829" s="16" t="s">
        <v>208</v>
      </c>
      <c r="C2829" s="15">
        <v>10</v>
      </c>
      <c r="D2829" s="17">
        <v>0</v>
      </c>
      <c r="E2829" s="17">
        <v>93672</v>
      </c>
      <c r="F2829" s="17">
        <v>93672</v>
      </c>
      <c r="G2829" s="18">
        <v>0</v>
      </c>
      <c r="H2829" s="10">
        <v>2025</v>
      </c>
    </row>
    <row r="2830" spans="1:8" hidden="1" x14ac:dyDescent="0.3">
      <c r="A2830" s="16" t="s">
        <v>146</v>
      </c>
      <c r="B2830" s="16" t="s">
        <v>181</v>
      </c>
      <c r="C2830" s="15">
        <v>11</v>
      </c>
      <c r="D2830" s="17">
        <v>168437</v>
      </c>
      <c r="E2830" s="17">
        <v>191002</v>
      </c>
      <c r="F2830" s="17">
        <v>22565</v>
      </c>
      <c r="G2830" s="18">
        <v>1.1339670024994508</v>
      </c>
      <c r="H2830" s="10">
        <v>2025</v>
      </c>
    </row>
    <row r="2831" spans="1:8" hidden="1" x14ac:dyDescent="0.3">
      <c r="A2831" s="16" t="s">
        <v>146</v>
      </c>
      <c r="B2831" s="16" t="s">
        <v>208</v>
      </c>
      <c r="C2831" s="15">
        <v>11</v>
      </c>
      <c r="D2831" s="17">
        <v>0</v>
      </c>
      <c r="E2831" s="17">
        <v>184520</v>
      </c>
      <c r="F2831" s="17">
        <v>184520</v>
      </c>
      <c r="G2831" s="18">
        <v>0</v>
      </c>
      <c r="H2831" s="10">
        <v>2025</v>
      </c>
    </row>
    <row r="2832" spans="1:8" hidden="1" x14ac:dyDescent="0.3">
      <c r="A2832" s="16" t="s">
        <v>146</v>
      </c>
      <c r="B2832" s="16" t="s">
        <v>189</v>
      </c>
      <c r="C2832" s="15">
        <v>11</v>
      </c>
      <c r="D2832" s="17">
        <v>637289</v>
      </c>
      <c r="E2832" s="17">
        <v>201695</v>
      </c>
      <c r="F2832" s="17">
        <v>-435594</v>
      </c>
      <c r="G2832" s="18">
        <v>0.31648906540046984</v>
      </c>
      <c r="H2832" s="10">
        <v>2025</v>
      </c>
    </row>
    <row r="2833" spans="1:8" hidden="1" x14ac:dyDescent="0.3">
      <c r="A2833" s="16" t="s">
        <v>146</v>
      </c>
      <c r="B2833" s="16" t="s">
        <v>199</v>
      </c>
      <c r="C2833" s="15">
        <v>11</v>
      </c>
      <c r="D2833" s="17">
        <v>154618</v>
      </c>
      <c r="E2833" s="17">
        <v>0</v>
      </c>
      <c r="F2833" s="17">
        <v>-154618</v>
      </c>
      <c r="G2833" s="18">
        <v>0</v>
      </c>
      <c r="H2833" s="10">
        <v>2025</v>
      </c>
    </row>
    <row r="2834" spans="1:8" hidden="1" x14ac:dyDescent="0.3">
      <c r="A2834" s="16" t="s">
        <v>146</v>
      </c>
      <c r="B2834" s="16" t="s">
        <v>198</v>
      </c>
      <c r="C2834" s="15">
        <v>11</v>
      </c>
      <c r="D2834" s="17">
        <v>32167</v>
      </c>
      <c r="E2834" s="17">
        <v>0</v>
      </c>
      <c r="F2834" s="17">
        <v>-32167</v>
      </c>
      <c r="G2834" s="18">
        <v>0</v>
      </c>
      <c r="H2834" s="10">
        <v>2025</v>
      </c>
    </row>
    <row r="2835" spans="1:8" hidden="1" x14ac:dyDescent="0.3">
      <c r="A2835" s="16" t="s">
        <v>146</v>
      </c>
      <c r="B2835" s="16" t="s">
        <v>205</v>
      </c>
      <c r="C2835" s="15">
        <v>11</v>
      </c>
      <c r="D2835" s="17">
        <v>237061</v>
      </c>
      <c r="E2835" s="17">
        <v>507939</v>
      </c>
      <c r="F2835" s="17">
        <v>270878</v>
      </c>
      <c r="G2835" s="18">
        <v>2.1426510476206548</v>
      </c>
      <c r="H2835" s="10">
        <v>2025</v>
      </c>
    </row>
    <row r="2836" spans="1:8" hidden="1" x14ac:dyDescent="0.3">
      <c r="A2836" s="16" t="s">
        <v>146</v>
      </c>
      <c r="B2836" s="16" t="s">
        <v>182</v>
      </c>
      <c r="C2836" s="15">
        <v>11</v>
      </c>
      <c r="D2836" s="17">
        <v>20212</v>
      </c>
      <c r="E2836" s="17">
        <v>22929</v>
      </c>
      <c r="F2836" s="17">
        <v>2717</v>
      </c>
      <c r="G2836" s="18">
        <v>1.1344250940035623</v>
      </c>
      <c r="H2836" s="10">
        <v>2025</v>
      </c>
    </row>
    <row r="2837" spans="1:8" hidden="1" x14ac:dyDescent="0.3">
      <c r="A2837" s="16" t="s">
        <v>146</v>
      </c>
      <c r="B2837" s="16" t="s">
        <v>200</v>
      </c>
      <c r="C2837" s="15">
        <v>11</v>
      </c>
      <c r="D2837" s="17">
        <v>50067569</v>
      </c>
      <c r="E2837" s="17">
        <v>51866884</v>
      </c>
      <c r="F2837" s="17">
        <v>1799315</v>
      </c>
      <c r="G2837" s="18">
        <v>1.0359377344643996</v>
      </c>
      <c r="H2837" s="10">
        <v>2025</v>
      </c>
    </row>
    <row r="2838" spans="1:8" hidden="1" x14ac:dyDescent="0.3">
      <c r="A2838" s="16" t="s">
        <v>146</v>
      </c>
      <c r="B2838" s="16" t="s">
        <v>187</v>
      </c>
      <c r="C2838" s="15">
        <v>11</v>
      </c>
      <c r="D2838" s="17">
        <v>66094</v>
      </c>
      <c r="E2838" s="17">
        <v>66095</v>
      </c>
      <c r="F2838" s="17">
        <v>1</v>
      </c>
      <c r="G2838" s="18">
        <v>1.0000151299664115</v>
      </c>
      <c r="H2838" s="10">
        <v>2025</v>
      </c>
    </row>
    <row r="2839" spans="1:8" hidden="1" x14ac:dyDescent="0.3">
      <c r="A2839" s="16" t="s">
        <v>146</v>
      </c>
      <c r="B2839" s="16" t="s">
        <v>202</v>
      </c>
      <c r="C2839" s="15">
        <v>11</v>
      </c>
      <c r="D2839" s="17">
        <v>1066840</v>
      </c>
      <c r="E2839" s="17">
        <v>1266688</v>
      </c>
      <c r="F2839" s="17">
        <v>199848</v>
      </c>
      <c r="G2839" s="18">
        <v>1.1873270593528553</v>
      </c>
      <c r="H2839" s="10">
        <v>2025</v>
      </c>
    </row>
    <row r="2840" spans="1:8" hidden="1" x14ac:dyDescent="0.3">
      <c r="A2840" s="16" t="s">
        <v>146</v>
      </c>
      <c r="B2840" s="16" t="s">
        <v>185</v>
      </c>
      <c r="C2840" s="15">
        <v>11</v>
      </c>
      <c r="D2840" s="17">
        <v>25144</v>
      </c>
      <c r="E2840" s="17">
        <v>28883</v>
      </c>
      <c r="F2840" s="17">
        <v>3739</v>
      </c>
      <c r="G2840" s="18">
        <v>1.1487034680241808</v>
      </c>
      <c r="H2840" s="10">
        <v>2025</v>
      </c>
    </row>
    <row r="2841" spans="1:8" hidden="1" x14ac:dyDescent="0.3">
      <c r="A2841" s="16" t="s">
        <v>146</v>
      </c>
      <c r="B2841" s="16" t="s">
        <v>192</v>
      </c>
      <c r="C2841" s="15">
        <v>11</v>
      </c>
      <c r="D2841" s="17">
        <v>44640</v>
      </c>
      <c r="E2841" s="17">
        <v>50400</v>
      </c>
      <c r="F2841" s="17">
        <v>5760</v>
      </c>
      <c r="G2841" s="18">
        <v>1.1290322580645162</v>
      </c>
      <c r="H2841" s="10">
        <v>2025</v>
      </c>
    </row>
    <row r="2842" spans="1:8" hidden="1" x14ac:dyDescent="0.3">
      <c r="A2842" s="16" t="s">
        <v>146</v>
      </c>
      <c r="B2842" s="16" t="s">
        <v>195</v>
      </c>
      <c r="C2842" s="15">
        <v>11</v>
      </c>
      <c r="D2842" s="17">
        <v>72882</v>
      </c>
      <c r="E2842" s="17">
        <v>83800</v>
      </c>
      <c r="F2842" s="17">
        <v>10918</v>
      </c>
      <c r="G2842" s="18">
        <v>1.1498037924316018</v>
      </c>
      <c r="H2842" s="10">
        <v>2025</v>
      </c>
    </row>
    <row r="2843" spans="1:8" hidden="1" x14ac:dyDescent="0.3">
      <c r="A2843" s="16" t="s">
        <v>146</v>
      </c>
      <c r="B2843" s="16" t="s">
        <v>194</v>
      </c>
      <c r="C2843" s="15">
        <v>11</v>
      </c>
      <c r="D2843" s="17">
        <v>218647</v>
      </c>
      <c r="E2843" s="17">
        <v>251200</v>
      </c>
      <c r="F2843" s="17">
        <v>32553</v>
      </c>
      <c r="G2843" s="18">
        <v>1.1488838172945433</v>
      </c>
      <c r="H2843" s="10">
        <v>2025</v>
      </c>
    </row>
    <row r="2844" spans="1:8" hidden="1" x14ac:dyDescent="0.3">
      <c r="A2844" s="16" t="s">
        <v>146</v>
      </c>
      <c r="B2844" s="16" t="s">
        <v>180</v>
      </c>
      <c r="C2844" s="15">
        <v>11</v>
      </c>
      <c r="D2844" s="17">
        <v>200000</v>
      </c>
      <c r="E2844" s="17">
        <v>200000</v>
      </c>
      <c r="F2844" s="17">
        <v>0</v>
      </c>
      <c r="G2844" s="18">
        <v>1</v>
      </c>
      <c r="H2844" s="10">
        <v>2025</v>
      </c>
    </row>
    <row r="2845" spans="1:8" hidden="1" x14ac:dyDescent="0.3">
      <c r="A2845" s="16" t="s">
        <v>146</v>
      </c>
      <c r="B2845" s="16" t="s">
        <v>186</v>
      </c>
      <c r="C2845" s="15">
        <v>11</v>
      </c>
      <c r="D2845" s="17">
        <v>216194</v>
      </c>
      <c r="E2845" s="17">
        <v>216194</v>
      </c>
      <c r="F2845" s="17">
        <v>0</v>
      </c>
      <c r="G2845" s="18">
        <v>1</v>
      </c>
      <c r="H2845" s="10">
        <v>2025</v>
      </c>
    </row>
    <row r="2846" spans="1:8" hidden="1" x14ac:dyDescent="0.3">
      <c r="A2846" s="16" t="s">
        <v>146</v>
      </c>
      <c r="B2846" s="16" t="s">
        <v>201</v>
      </c>
      <c r="C2846" s="15">
        <v>11</v>
      </c>
      <c r="D2846" s="17">
        <v>1866970</v>
      </c>
      <c r="E2846" s="17">
        <v>1681292</v>
      </c>
      <c r="F2846" s="17">
        <v>-185678</v>
      </c>
      <c r="G2846" s="18">
        <v>0.90054580416396623</v>
      </c>
      <c r="H2846" s="10">
        <v>2025</v>
      </c>
    </row>
    <row r="2847" spans="1:8" hidden="1" x14ac:dyDescent="0.3">
      <c r="A2847" s="16" t="s">
        <v>146</v>
      </c>
      <c r="B2847" s="16" t="s">
        <v>183</v>
      </c>
      <c r="C2847" s="15">
        <v>11</v>
      </c>
      <c r="D2847" s="17">
        <v>168437</v>
      </c>
      <c r="E2847" s="17">
        <v>191002</v>
      </c>
      <c r="F2847" s="17">
        <v>22565</v>
      </c>
      <c r="G2847" s="18">
        <v>1.1339670024994508</v>
      </c>
      <c r="H2847" s="10">
        <v>2025</v>
      </c>
    </row>
    <row r="2848" spans="1:8" hidden="1" x14ac:dyDescent="0.3">
      <c r="A2848" s="16" t="s">
        <v>146</v>
      </c>
      <c r="B2848" s="16" t="s">
        <v>177</v>
      </c>
      <c r="C2848" s="15">
        <v>11</v>
      </c>
      <c r="D2848" s="17">
        <v>1585000</v>
      </c>
      <c r="E2848" s="17">
        <v>1585000</v>
      </c>
      <c r="F2848" s="17">
        <v>0</v>
      </c>
      <c r="G2848" s="18">
        <v>1</v>
      </c>
      <c r="H2848" s="10">
        <v>2025</v>
      </c>
    </row>
    <row r="2849" spans="1:8" hidden="1" x14ac:dyDescent="0.3">
      <c r="A2849" s="16" t="s">
        <v>146</v>
      </c>
      <c r="B2849" s="16" t="s">
        <v>184</v>
      </c>
      <c r="C2849" s="15">
        <v>11</v>
      </c>
      <c r="D2849" s="17">
        <v>75979</v>
      </c>
      <c r="E2849" s="17">
        <v>87276</v>
      </c>
      <c r="F2849" s="17">
        <v>11297</v>
      </c>
      <c r="G2849" s="18">
        <v>1.1486858210821411</v>
      </c>
      <c r="H2849" s="10">
        <v>2025</v>
      </c>
    </row>
    <row r="2850" spans="1:8" hidden="1" x14ac:dyDescent="0.3">
      <c r="A2850" s="16" t="s">
        <v>146</v>
      </c>
      <c r="B2850" s="16" t="s">
        <v>177</v>
      </c>
      <c r="C2850" s="15">
        <v>12</v>
      </c>
      <c r="D2850" s="17">
        <v>1585000</v>
      </c>
      <c r="E2850" s="17">
        <v>1585000</v>
      </c>
      <c r="F2850" s="17">
        <v>0</v>
      </c>
      <c r="G2850" s="18">
        <v>1</v>
      </c>
      <c r="H2850" s="10">
        <v>2025</v>
      </c>
    </row>
    <row r="2851" spans="1:8" hidden="1" x14ac:dyDescent="0.3">
      <c r="A2851" s="16" t="s">
        <v>146</v>
      </c>
      <c r="B2851" s="16" t="s">
        <v>205</v>
      </c>
      <c r="C2851" s="15">
        <v>12</v>
      </c>
      <c r="D2851" s="17">
        <v>144535</v>
      </c>
      <c r="E2851" s="17">
        <v>92218</v>
      </c>
      <c r="F2851" s="17">
        <v>-52317</v>
      </c>
      <c r="G2851" s="18">
        <v>0.63803231051302456</v>
      </c>
      <c r="H2851" s="10">
        <v>2025</v>
      </c>
    </row>
    <row r="2852" spans="1:8" hidden="1" x14ac:dyDescent="0.3">
      <c r="A2852" s="16" t="s">
        <v>146</v>
      </c>
      <c r="B2852" s="16" t="s">
        <v>180</v>
      </c>
      <c r="C2852" s="15">
        <v>12</v>
      </c>
      <c r="D2852" s="17">
        <v>200000</v>
      </c>
      <c r="E2852" s="17">
        <v>186667</v>
      </c>
      <c r="F2852" s="17">
        <v>-13333</v>
      </c>
      <c r="G2852" s="18">
        <v>0.93333500000000003</v>
      </c>
      <c r="H2852" s="10">
        <v>2025</v>
      </c>
    </row>
    <row r="2853" spans="1:8" hidden="1" x14ac:dyDescent="0.3">
      <c r="A2853" s="16" t="s">
        <v>146</v>
      </c>
      <c r="B2853" s="16" t="s">
        <v>181</v>
      </c>
      <c r="C2853" s="15">
        <v>12</v>
      </c>
      <c r="D2853" s="17">
        <v>160730</v>
      </c>
      <c r="E2853" s="17">
        <v>237046</v>
      </c>
      <c r="F2853" s="17">
        <v>76316</v>
      </c>
      <c r="G2853" s="18">
        <v>1.4748086853729858</v>
      </c>
      <c r="H2853" s="10">
        <v>2025</v>
      </c>
    </row>
    <row r="2854" spans="1:8" hidden="1" x14ac:dyDescent="0.3">
      <c r="A2854" s="16" t="s">
        <v>146</v>
      </c>
      <c r="B2854" s="16" t="s">
        <v>182</v>
      </c>
      <c r="C2854" s="15">
        <v>12</v>
      </c>
      <c r="D2854" s="17">
        <v>19287</v>
      </c>
      <c r="E2854" s="17">
        <v>28255</v>
      </c>
      <c r="F2854" s="17">
        <v>8968</v>
      </c>
      <c r="G2854" s="18">
        <v>1.464976408980142</v>
      </c>
      <c r="H2854" s="10">
        <v>2025</v>
      </c>
    </row>
    <row r="2855" spans="1:8" hidden="1" x14ac:dyDescent="0.3">
      <c r="A2855" s="16" t="s">
        <v>146</v>
      </c>
      <c r="B2855" s="16" t="s">
        <v>183</v>
      </c>
      <c r="C2855" s="15">
        <v>12</v>
      </c>
      <c r="D2855" s="17">
        <v>160730</v>
      </c>
      <c r="E2855" s="17">
        <v>160983</v>
      </c>
      <c r="F2855" s="17">
        <v>253</v>
      </c>
      <c r="G2855" s="18">
        <v>1.0015740683133205</v>
      </c>
      <c r="H2855" s="10">
        <v>2025</v>
      </c>
    </row>
    <row r="2856" spans="1:8" hidden="1" x14ac:dyDescent="0.3">
      <c r="A2856" s="16" t="s">
        <v>146</v>
      </c>
      <c r="B2856" s="16" t="s">
        <v>184</v>
      </c>
      <c r="C2856" s="15">
        <v>12</v>
      </c>
      <c r="D2856" s="17">
        <v>72121</v>
      </c>
      <c r="E2856" s="17">
        <v>-389063</v>
      </c>
      <c r="F2856" s="17">
        <v>-461184</v>
      </c>
      <c r="G2856" s="18">
        <v>-5.3945868748353467</v>
      </c>
      <c r="H2856" s="10">
        <v>2025</v>
      </c>
    </row>
    <row r="2857" spans="1:8" hidden="1" x14ac:dyDescent="0.3">
      <c r="A2857" s="16" t="s">
        <v>146</v>
      </c>
      <c r="B2857" s="16" t="s">
        <v>185</v>
      </c>
      <c r="C2857" s="15">
        <v>12</v>
      </c>
      <c r="D2857" s="17">
        <v>23867</v>
      </c>
      <c r="E2857" s="17">
        <v>23146</v>
      </c>
      <c r="F2857" s="17">
        <v>-721</v>
      </c>
      <c r="G2857" s="18">
        <v>0.96979092470775552</v>
      </c>
      <c r="H2857" s="10">
        <v>2025</v>
      </c>
    </row>
    <row r="2858" spans="1:8" hidden="1" x14ac:dyDescent="0.3">
      <c r="A2858" s="16" t="s">
        <v>146</v>
      </c>
      <c r="B2858" s="16" t="s">
        <v>186</v>
      </c>
      <c r="C2858" s="15">
        <v>12</v>
      </c>
      <c r="D2858" s="17">
        <v>216194</v>
      </c>
      <c r="E2858" s="17">
        <v>-1619275</v>
      </c>
      <c r="F2858" s="17">
        <v>-1835469</v>
      </c>
      <c r="G2858" s="18">
        <v>-7.4899164639166678</v>
      </c>
      <c r="H2858" s="10">
        <v>2025</v>
      </c>
    </row>
    <row r="2859" spans="1:8" hidden="1" x14ac:dyDescent="0.3">
      <c r="A2859" s="16" t="s">
        <v>146</v>
      </c>
      <c r="B2859" s="16" t="s">
        <v>187</v>
      </c>
      <c r="C2859" s="15">
        <v>12</v>
      </c>
      <c r="D2859" s="17">
        <v>66094</v>
      </c>
      <c r="E2859" s="17">
        <v>90412</v>
      </c>
      <c r="F2859" s="17">
        <v>24318</v>
      </c>
      <c r="G2859" s="18">
        <v>1.3679305231942385</v>
      </c>
      <c r="H2859" s="10">
        <v>2025</v>
      </c>
    </row>
    <row r="2860" spans="1:8" hidden="1" x14ac:dyDescent="0.3">
      <c r="A2860" s="16" t="s">
        <v>146</v>
      </c>
      <c r="B2860" s="16" t="s">
        <v>188</v>
      </c>
      <c r="C2860" s="15">
        <v>12</v>
      </c>
      <c r="D2860" s="17">
        <v>1208409</v>
      </c>
      <c r="E2860" s="17">
        <v>1307393</v>
      </c>
      <c r="F2860" s="17">
        <v>98984</v>
      </c>
      <c r="G2860" s="18">
        <v>1.0819126636759575</v>
      </c>
      <c r="H2860" s="10">
        <v>2025</v>
      </c>
    </row>
    <row r="2861" spans="1:8" hidden="1" x14ac:dyDescent="0.3">
      <c r="A2861" s="16" t="s">
        <v>146</v>
      </c>
      <c r="B2861" s="16" t="s">
        <v>189</v>
      </c>
      <c r="C2861" s="15">
        <v>12</v>
      </c>
      <c r="D2861" s="17">
        <v>637289</v>
      </c>
      <c r="E2861" s="17">
        <v>291257</v>
      </c>
      <c r="F2861" s="17">
        <v>-346032</v>
      </c>
      <c r="G2861" s="18">
        <v>0.45702499180120792</v>
      </c>
      <c r="H2861" s="10">
        <v>2025</v>
      </c>
    </row>
    <row r="2862" spans="1:8" hidden="1" x14ac:dyDescent="0.3">
      <c r="A2862" s="16" t="s">
        <v>146</v>
      </c>
      <c r="B2862" s="16" t="s">
        <v>192</v>
      </c>
      <c r="C2862" s="15">
        <v>12</v>
      </c>
      <c r="D2862" s="17">
        <v>42373</v>
      </c>
      <c r="E2862" s="17">
        <v>45200</v>
      </c>
      <c r="F2862" s="17">
        <v>2827</v>
      </c>
      <c r="G2862" s="18">
        <v>1.0667170131923631</v>
      </c>
      <c r="H2862" s="10">
        <v>2025</v>
      </c>
    </row>
    <row r="2863" spans="1:8" hidden="1" x14ac:dyDescent="0.3">
      <c r="A2863" s="16" t="s">
        <v>146</v>
      </c>
      <c r="B2863" s="16" t="s">
        <v>194</v>
      </c>
      <c r="C2863" s="15">
        <v>12</v>
      </c>
      <c r="D2863" s="17">
        <v>207544</v>
      </c>
      <c r="E2863" s="17">
        <v>238600</v>
      </c>
      <c r="F2863" s="17">
        <v>31056</v>
      </c>
      <c r="G2863" s="18">
        <v>1.1496357398913002</v>
      </c>
      <c r="H2863" s="10">
        <v>2025</v>
      </c>
    </row>
    <row r="2864" spans="1:8" hidden="1" x14ac:dyDescent="0.3">
      <c r="A2864" s="16" t="s">
        <v>146</v>
      </c>
      <c r="B2864" s="16" t="s">
        <v>195</v>
      </c>
      <c r="C2864" s="15">
        <v>12</v>
      </c>
      <c r="D2864" s="17">
        <v>69181</v>
      </c>
      <c r="E2864" s="17">
        <v>78300</v>
      </c>
      <c r="F2864" s="17">
        <v>9119</v>
      </c>
      <c r="G2864" s="18">
        <v>1.1318136482560242</v>
      </c>
      <c r="H2864" s="10">
        <v>2025</v>
      </c>
    </row>
    <row r="2865" spans="1:8" hidden="1" x14ac:dyDescent="0.3">
      <c r="A2865" s="16" t="s">
        <v>146</v>
      </c>
      <c r="B2865" s="16" t="s">
        <v>198</v>
      </c>
      <c r="C2865" s="15">
        <v>12</v>
      </c>
      <c r="D2865" s="17">
        <v>32167</v>
      </c>
      <c r="E2865" s="17">
        <v>0</v>
      </c>
      <c r="F2865" s="17">
        <v>-32167</v>
      </c>
      <c r="G2865" s="18">
        <v>0</v>
      </c>
      <c r="H2865" s="10">
        <v>2025</v>
      </c>
    </row>
    <row r="2866" spans="1:8" hidden="1" x14ac:dyDescent="0.3">
      <c r="A2866" s="16" t="s">
        <v>146</v>
      </c>
      <c r="B2866" s="16" t="s">
        <v>199</v>
      </c>
      <c r="C2866" s="15">
        <v>12</v>
      </c>
      <c r="D2866" s="17">
        <v>154618</v>
      </c>
      <c r="E2866" s="17">
        <v>99092</v>
      </c>
      <c r="F2866" s="17">
        <v>-55526</v>
      </c>
      <c r="G2866" s="18">
        <v>0.64088269153656108</v>
      </c>
      <c r="H2866" s="10">
        <v>2025</v>
      </c>
    </row>
    <row r="2867" spans="1:8" hidden="1" x14ac:dyDescent="0.3">
      <c r="A2867" s="16" t="s">
        <v>146</v>
      </c>
      <c r="B2867" s="16" t="s">
        <v>200</v>
      </c>
      <c r="C2867" s="15">
        <v>12</v>
      </c>
      <c r="D2867" s="17">
        <v>47748275</v>
      </c>
      <c r="E2867" s="17">
        <v>50898007</v>
      </c>
      <c r="F2867" s="17">
        <v>3149732</v>
      </c>
      <c r="G2867" s="18">
        <v>1.0659653568636773</v>
      </c>
      <c r="H2867" s="10">
        <v>2025</v>
      </c>
    </row>
    <row r="2868" spans="1:8" hidden="1" x14ac:dyDescent="0.3">
      <c r="A2868" s="16" t="s">
        <v>146</v>
      </c>
      <c r="B2868" s="16" t="s">
        <v>201</v>
      </c>
      <c r="C2868" s="15">
        <v>12</v>
      </c>
      <c r="D2868" s="17">
        <v>1866970</v>
      </c>
      <c r="E2868" s="17">
        <v>-9628724</v>
      </c>
      <c r="F2868" s="17">
        <v>-11495694</v>
      </c>
      <c r="G2868" s="18">
        <v>-5.1574069213752765</v>
      </c>
      <c r="H2868" s="10">
        <v>2025</v>
      </c>
    </row>
    <row r="2869" spans="1:8" hidden="1" x14ac:dyDescent="0.3">
      <c r="A2869" s="16" t="s">
        <v>146</v>
      </c>
      <c r="B2869" s="16" t="s">
        <v>202</v>
      </c>
      <c r="C2869" s="15">
        <v>12</v>
      </c>
      <c r="D2869" s="17">
        <v>1066840</v>
      </c>
      <c r="E2869" s="17">
        <v>1586123</v>
      </c>
      <c r="F2869" s="17">
        <v>519283</v>
      </c>
      <c r="G2869" s="18">
        <v>1.486748715833677</v>
      </c>
      <c r="H2869" s="10">
        <v>2025</v>
      </c>
    </row>
    <row r="2870" spans="1:8" hidden="1" x14ac:dyDescent="0.3">
      <c r="A2870" s="16" t="s">
        <v>147</v>
      </c>
      <c r="B2870" s="16" t="s">
        <v>177</v>
      </c>
      <c r="C2870" s="15">
        <v>1</v>
      </c>
      <c r="D2870" s="17">
        <v>47283500</v>
      </c>
      <c r="E2870" s="17">
        <v>44978381</v>
      </c>
      <c r="F2870" s="17">
        <v>-2305119</v>
      </c>
      <c r="G2870" s="18">
        <v>0.95124897691583754</v>
      </c>
      <c r="H2870" s="10">
        <v>2025</v>
      </c>
    </row>
    <row r="2871" spans="1:8" hidden="1" x14ac:dyDescent="0.3">
      <c r="A2871" s="16" t="s">
        <v>147</v>
      </c>
      <c r="B2871" s="16" t="s">
        <v>177</v>
      </c>
      <c r="C2871" s="15">
        <v>2</v>
      </c>
      <c r="D2871" s="17">
        <v>51513500</v>
      </c>
      <c r="E2871" s="17">
        <v>49592299</v>
      </c>
      <c r="F2871" s="17">
        <v>-1921201</v>
      </c>
      <c r="G2871" s="18">
        <v>0.96270490259834807</v>
      </c>
      <c r="H2871" s="10">
        <v>2025</v>
      </c>
    </row>
    <row r="2872" spans="1:8" hidden="1" x14ac:dyDescent="0.3">
      <c r="A2872" s="16" t="s">
        <v>147</v>
      </c>
      <c r="B2872" s="16" t="s">
        <v>177</v>
      </c>
      <c r="C2872" s="15">
        <v>3</v>
      </c>
      <c r="D2872" s="17">
        <v>51513500</v>
      </c>
      <c r="E2872" s="17">
        <v>47700622</v>
      </c>
      <c r="F2872" s="17">
        <v>-3812878</v>
      </c>
      <c r="G2872" s="18">
        <v>0.9259829365117882</v>
      </c>
      <c r="H2872" s="10">
        <v>2025</v>
      </c>
    </row>
    <row r="2873" spans="1:8" hidden="1" x14ac:dyDescent="0.3">
      <c r="A2873" s="16" t="s">
        <v>147</v>
      </c>
      <c r="B2873" s="16" t="s">
        <v>177</v>
      </c>
      <c r="C2873" s="15">
        <v>4</v>
      </c>
      <c r="D2873" s="17">
        <v>51513500</v>
      </c>
      <c r="E2873" s="17">
        <v>47362622</v>
      </c>
      <c r="F2873" s="17">
        <v>-4150878</v>
      </c>
      <c r="G2873" s="18">
        <v>0.91942154969085776</v>
      </c>
      <c r="H2873" s="10">
        <v>2025</v>
      </c>
    </row>
    <row r="2874" spans="1:8" hidden="1" x14ac:dyDescent="0.3">
      <c r="A2874" s="16" t="s">
        <v>147</v>
      </c>
      <c r="B2874" s="16" t="s">
        <v>177</v>
      </c>
      <c r="C2874" s="15">
        <v>5</v>
      </c>
      <c r="D2874" s="17">
        <v>51513500</v>
      </c>
      <c r="E2874" s="17">
        <v>48453524</v>
      </c>
      <c r="F2874" s="17">
        <v>-3059976</v>
      </c>
      <c r="G2874" s="18">
        <v>0.94059856154211996</v>
      </c>
      <c r="H2874" s="10">
        <v>2025</v>
      </c>
    </row>
    <row r="2875" spans="1:8" hidden="1" x14ac:dyDescent="0.3">
      <c r="A2875" s="16" t="s">
        <v>147</v>
      </c>
      <c r="B2875" s="16" t="s">
        <v>177</v>
      </c>
      <c r="C2875" s="15">
        <v>6</v>
      </c>
      <c r="D2875" s="17">
        <v>51513500</v>
      </c>
      <c r="E2875" s="17">
        <v>48678433</v>
      </c>
      <c r="F2875" s="17">
        <v>-2835067</v>
      </c>
      <c r="G2875" s="18">
        <v>0.94496458209983791</v>
      </c>
      <c r="H2875" s="10">
        <v>2025</v>
      </c>
    </row>
    <row r="2876" spans="1:8" hidden="1" x14ac:dyDescent="0.3">
      <c r="A2876" s="16" t="s">
        <v>147</v>
      </c>
      <c r="B2876" s="16" t="s">
        <v>177</v>
      </c>
      <c r="C2876" s="15">
        <v>7</v>
      </c>
      <c r="D2876" s="17">
        <v>51513500</v>
      </c>
      <c r="E2876" s="17">
        <v>47128664</v>
      </c>
      <c r="F2876" s="17">
        <v>-4384836</v>
      </c>
      <c r="G2876" s="18">
        <v>0.91487986644277719</v>
      </c>
      <c r="H2876" s="10">
        <v>2025</v>
      </c>
    </row>
    <row r="2877" spans="1:8" hidden="1" x14ac:dyDescent="0.3">
      <c r="A2877" s="16" t="s">
        <v>147</v>
      </c>
      <c r="B2877" s="16" t="s">
        <v>177</v>
      </c>
      <c r="C2877" s="15">
        <v>8</v>
      </c>
      <c r="D2877" s="17">
        <v>51513500</v>
      </c>
      <c r="E2877" s="17">
        <v>45786501</v>
      </c>
      <c r="F2877" s="17">
        <v>-5726999</v>
      </c>
      <c r="G2877" s="18">
        <v>0.88882527881040896</v>
      </c>
      <c r="H2877" s="10">
        <v>2025</v>
      </c>
    </row>
    <row r="2878" spans="1:8" hidden="1" x14ac:dyDescent="0.3">
      <c r="A2878" s="16" t="s">
        <v>147</v>
      </c>
      <c r="B2878" s="16" t="s">
        <v>177</v>
      </c>
      <c r="C2878" s="15">
        <v>9</v>
      </c>
      <c r="D2878" s="17">
        <v>51513500</v>
      </c>
      <c r="E2878" s="17">
        <v>49014466</v>
      </c>
      <c r="F2878" s="17">
        <v>-2499034</v>
      </c>
      <c r="G2878" s="18">
        <v>0.95148778475545248</v>
      </c>
      <c r="H2878" s="10">
        <v>2025</v>
      </c>
    </row>
    <row r="2879" spans="1:8" hidden="1" x14ac:dyDescent="0.3">
      <c r="A2879" s="16" t="s">
        <v>147</v>
      </c>
      <c r="B2879" s="16" t="s">
        <v>177</v>
      </c>
      <c r="C2879" s="15">
        <v>10</v>
      </c>
      <c r="D2879" s="17">
        <v>51513500</v>
      </c>
      <c r="E2879" s="17">
        <v>48752934</v>
      </c>
      <c r="F2879" s="17">
        <v>-2760566</v>
      </c>
      <c r="G2879" s="18">
        <v>0.94641082434701584</v>
      </c>
      <c r="H2879" s="10">
        <v>2025</v>
      </c>
    </row>
    <row r="2880" spans="1:8" hidden="1" x14ac:dyDescent="0.3">
      <c r="A2880" s="16" t="s">
        <v>147</v>
      </c>
      <c r="B2880" s="16" t="s">
        <v>205</v>
      </c>
      <c r="C2880" s="15">
        <v>1</v>
      </c>
      <c r="D2880" s="17">
        <v>6770997</v>
      </c>
      <c r="E2880" s="17">
        <v>4594570</v>
      </c>
      <c r="F2880" s="17">
        <v>-2176427</v>
      </c>
      <c r="G2880" s="18">
        <v>0.67856624364181528</v>
      </c>
      <c r="H2880" s="10">
        <v>2025</v>
      </c>
    </row>
    <row r="2881" spans="1:8" hidden="1" x14ac:dyDescent="0.3">
      <c r="A2881" s="16" t="s">
        <v>147</v>
      </c>
      <c r="B2881" s="16" t="s">
        <v>205</v>
      </c>
      <c r="C2881" s="15">
        <v>2</v>
      </c>
      <c r="D2881" s="17">
        <v>7376733</v>
      </c>
      <c r="E2881" s="17">
        <v>4930556</v>
      </c>
      <c r="F2881" s="17">
        <v>-2446177</v>
      </c>
      <c r="G2881" s="18">
        <v>0.66839290509769034</v>
      </c>
      <c r="H2881" s="10">
        <v>2025</v>
      </c>
    </row>
    <row r="2882" spans="1:8" hidden="1" x14ac:dyDescent="0.3">
      <c r="A2882" s="16" t="s">
        <v>147</v>
      </c>
      <c r="B2882" s="16" t="s">
        <v>205</v>
      </c>
      <c r="C2882" s="15">
        <v>3</v>
      </c>
      <c r="D2882" s="17">
        <v>7376733</v>
      </c>
      <c r="E2882" s="17">
        <v>17039698</v>
      </c>
      <c r="F2882" s="17">
        <v>9662965</v>
      </c>
      <c r="G2882" s="18">
        <v>2.3099247322629139</v>
      </c>
      <c r="H2882" s="10">
        <v>2025</v>
      </c>
    </row>
    <row r="2883" spans="1:8" hidden="1" x14ac:dyDescent="0.3">
      <c r="A2883" s="16" t="s">
        <v>147</v>
      </c>
      <c r="B2883" s="16" t="s">
        <v>205</v>
      </c>
      <c r="C2883" s="15">
        <v>4</v>
      </c>
      <c r="D2883" s="17">
        <v>7376733</v>
      </c>
      <c r="E2883" s="17">
        <v>10217471</v>
      </c>
      <c r="F2883" s="17">
        <v>2840738</v>
      </c>
      <c r="G2883" s="18">
        <v>1.3850943229204582</v>
      </c>
      <c r="H2883" s="10">
        <v>2025</v>
      </c>
    </row>
    <row r="2884" spans="1:8" hidden="1" x14ac:dyDescent="0.3">
      <c r="A2884" s="16" t="s">
        <v>147</v>
      </c>
      <c r="B2884" s="16" t="s">
        <v>205</v>
      </c>
      <c r="C2884" s="15">
        <v>5</v>
      </c>
      <c r="D2884" s="17">
        <v>7376733</v>
      </c>
      <c r="E2884" s="17">
        <v>8406355</v>
      </c>
      <c r="F2884" s="17">
        <v>1029622</v>
      </c>
      <c r="G2884" s="18">
        <v>1.1395769644909204</v>
      </c>
      <c r="H2884" s="10">
        <v>2025</v>
      </c>
    </row>
    <row r="2885" spans="1:8" hidden="1" x14ac:dyDescent="0.3">
      <c r="A2885" s="16" t="s">
        <v>147</v>
      </c>
      <c r="B2885" s="16" t="s">
        <v>205</v>
      </c>
      <c r="C2885" s="15">
        <v>6</v>
      </c>
      <c r="D2885" s="17">
        <v>7376733</v>
      </c>
      <c r="E2885" s="17">
        <v>9982668</v>
      </c>
      <c r="F2885" s="17">
        <v>2605935</v>
      </c>
      <c r="G2885" s="18">
        <v>1.353264107566317</v>
      </c>
      <c r="H2885" s="10">
        <v>2025</v>
      </c>
    </row>
    <row r="2886" spans="1:8" hidden="1" x14ac:dyDescent="0.3">
      <c r="A2886" s="16" t="s">
        <v>147</v>
      </c>
      <c r="B2886" s="16" t="s">
        <v>205</v>
      </c>
      <c r="C2886" s="15">
        <v>7</v>
      </c>
      <c r="D2886" s="17">
        <v>7376733</v>
      </c>
      <c r="E2886" s="17">
        <v>12586912</v>
      </c>
      <c r="F2886" s="17">
        <v>5210179</v>
      </c>
      <c r="G2886" s="18">
        <v>1.7062989808632087</v>
      </c>
      <c r="H2886" s="10">
        <v>2025</v>
      </c>
    </row>
    <row r="2887" spans="1:8" hidden="1" x14ac:dyDescent="0.3">
      <c r="A2887" s="16" t="s">
        <v>147</v>
      </c>
      <c r="B2887" s="16" t="s">
        <v>205</v>
      </c>
      <c r="C2887" s="15">
        <v>8</v>
      </c>
      <c r="D2887" s="17">
        <v>7376733</v>
      </c>
      <c r="E2887" s="17">
        <v>9566730</v>
      </c>
      <c r="F2887" s="17">
        <v>2189997</v>
      </c>
      <c r="G2887" s="18">
        <v>1.2968789842332642</v>
      </c>
      <c r="H2887" s="10">
        <v>2025</v>
      </c>
    </row>
    <row r="2888" spans="1:8" hidden="1" x14ac:dyDescent="0.3">
      <c r="A2888" s="16" t="s">
        <v>147</v>
      </c>
      <c r="B2888" s="16" t="s">
        <v>205</v>
      </c>
      <c r="C2888" s="15">
        <v>9</v>
      </c>
      <c r="D2888" s="17">
        <v>7376733</v>
      </c>
      <c r="E2888" s="17">
        <v>11573735</v>
      </c>
      <c r="F2888" s="17">
        <v>4197002</v>
      </c>
      <c r="G2888" s="18">
        <v>1.5689513230314829</v>
      </c>
      <c r="H2888" s="10">
        <v>2025</v>
      </c>
    </row>
    <row r="2889" spans="1:8" hidden="1" x14ac:dyDescent="0.3">
      <c r="A2889" s="16" t="s">
        <v>147</v>
      </c>
      <c r="B2889" s="16" t="s">
        <v>205</v>
      </c>
      <c r="C2889" s="15">
        <v>10</v>
      </c>
      <c r="D2889" s="17">
        <v>7376733</v>
      </c>
      <c r="E2889" s="17">
        <v>16550336</v>
      </c>
      <c r="F2889" s="17">
        <v>9173603</v>
      </c>
      <c r="G2889" s="18">
        <v>2.2435861512135524</v>
      </c>
      <c r="H2889" s="10">
        <v>2025</v>
      </c>
    </row>
    <row r="2890" spans="1:8" hidden="1" x14ac:dyDescent="0.3">
      <c r="A2890" s="16" t="s">
        <v>147</v>
      </c>
      <c r="B2890" s="16" t="s">
        <v>179</v>
      </c>
      <c r="C2890" s="15">
        <v>1</v>
      </c>
      <c r="D2890" s="17">
        <v>0</v>
      </c>
      <c r="E2890" s="17">
        <v>521950</v>
      </c>
      <c r="F2890" s="17">
        <v>521950</v>
      </c>
      <c r="G2890" s="18">
        <v>0</v>
      </c>
      <c r="H2890" s="10">
        <v>2025</v>
      </c>
    </row>
    <row r="2891" spans="1:8" hidden="1" x14ac:dyDescent="0.3">
      <c r="A2891" s="16" t="s">
        <v>147</v>
      </c>
      <c r="B2891" s="16" t="s">
        <v>179</v>
      </c>
      <c r="C2891" s="15">
        <v>2</v>
      </c>
      <c r="D2891" s="17">
        <v>0</v>
      </c>
      <c r="E2891" s="17">
        <v>1086067</v>
      </c>
      <c r="F2891" s="17">
        <v>1086067</v>
      </c>
      <c r="G2891" s="18">
        <v>0</v>
      </c>
      <c r="H2891" s="10">
        <v>2025</v>
      </c>
    </row>
    <row r="2892" spans="1:8" hidden="1" x14ac:dyDescent="0.3">
      <c r="A2892" s="16" t="s">
        <v>147</v>
      </c>
      <c r="B2892" s="16" t="s">
        <v>179</v>
      </c>
      <c r="C2892" s="15">
        <v>3</v>
      </c>
      <c r="D2892" s="17">
        <v>0</v>
      </c>
      <c r="E2892" s="17">
        <v>1141833</v>
      </c>
      <c r="F2892" s="17">
        <v>1141833</v>
      </c>
      <c r="G2892" s="18">
        <v>0</v>
      </c>
      <c r="H2892" s="10">
        <v>2025</v>
      </c>
    </row>
    <row r="2893" spans="1:8" hidden="1" x14ac:dyDescent="0.3">
      <c r="A2893" s="16" t="s">
        <v>147</v>
      </c>
      <c r="B2893" s="16" t="s">
        <v>179</v>
      </c>
      <c r="C2893" s="15">
        <v>4</v>
      </c>
      <c r="D2893" s="17">
        <v>0</v>
      </c>
      <c r="E2893" s="17">
        <v>521950</v>
      </c>
      <c r="F2893" s="17">
        <v>521950</v>
      </c>
      <c r="G2893" s="18">
        <v>0</v>
      </c>
      <c r="H2893" s="10">
        <v>2025</v>
      </c>
    </row>
    <row r="2894" spans="1:8" hidden="1" x14ac:dyDescent="0.3">
      <c r="A2894" s="16" t="s">
        <v>147</v>
      </c>
      <c r="B2894" s="16" t="s">
        <v>179</v>
      </c>
      <c r="C2894" s="15">
        <v>5</v>
      </c>
      <c r="D2894" s="17">
        <v>0</v>
      </c>
      <c r="E2894" s="17">
        <v>427050</v>
      </c>
      <c r="F2894" s="17">
        <v>427050</v>
      </c>
      <c r="G2894" s="18">
        <v>0</v>
      </c>
      <c r="H2894" s="10">
        <v>2025</v>
      </c>
    </row>
    <row r="2895" spans="1:8" hidden="1" x14ac:dyDescent="0.3">
      <c r="A2895" s="16" t="s">
        <v>147</v>
      </c>
      <c r="B2895" s="16" t="s">
        <v>179</v>
      </c>
      <c r="C2895" s="15">
        <v>6</v>
      </c>
      <c r="D2895" s="17">
        <v>0</v>
      </c>
      <c r="E2895" s="17">
        <v>491267</v>
      </c>
      <c r="F2895" s="17">
        <v>491267</v>
      </c>
      <c r="G2895" s="18">
        <v>0</v>
      </c>
      <c r="H2895" s="10">
        <v>2025</v>
      </c>
    </row>
    <row r="2896" spans="1:8" hidden="1" x14ac:dyDescent="0.3">
      <c r="A2896" s="16" t="s">
        <v>147</v>
      </c>
      <c r="B2896" s="16" t="s">
        <v>179</v>
      </c>
      <c r="C2896" s="15">
        <v>7</v>
      </c>
      <c r="D2896" s="17">
        <v>0</v>
      </c>
      <c r="E2896" s="17">
        <v>672350</v>
      </c>
      <c r="F2896" s="17">
        <v>672350</v>
      </c>
      <c r="G2896" s="18">
        <v>0</v>
      </c>
      <c r="H2896" s="10">
        <v>2025</v>
      </c>
    </row>
    <row r="2897" spans="1:8" hidden="1" x14ac:dyDescent="0.3">
      <c r="A2897" s="16" t="s">
        <v>147</v>
      </c>
      <c r="B2897" s="16" t="s">
        <v>179</v>
      </c>
      <c r="C2897" s="15">
        <v>8</v>
      </c>
      <c r="D2897" s="17">
        <v>0</v>
      </c>
      <c r="E2897" s="17">
        <v>1271187</v>
      </c>
      <c r="F2897" s="17">
        <v>1271187</v>
      </c>
      <c r="G2897" s="18">
        <v>0</v>
      </c>
      <c r="H2897" s="10">
        <v>2025</v>
      </c>
    </row>
    <row r="2898" spans="1:8" hidden="1" x14ac:dyDescent="0.3">
      <c r="A2898" s="16" t="s">
        <v>147</v>
      </c>
      <c r="B2898" s="16" t="s">
        <v>179</v>
      </c>
      <c r="C2898" s="15">
        <v>9</v>
      </c>
      <c r="D2898" s="17">
        <v>0</v>
      </c>
      <c r="E2898" s="17">
        <v>237250</v>
      </c>
      <c r="F2898" s="17">
        <v>237250</v>
      </c>
      <c r="G2898" s="18">
        <v>0</v>
      </c>
      <c r="H2898" s="10">
        <v>2025</v>
      </c>
    </row>
    <row r="2899" spans="1:8" hidden="1" x14ac:dyDescent="0.3">
      <c r="A2899" s="16" t="s">
        <v>147</v>
      </c>
      <c r="B2899" s="16" t="s">
        <v>179</v>
      </c>
      <c r="C2899" s="15">
        <v>10</v>
      </c>
      <c r="D2899" s="17">
        <v>0</v>
      </c>
      <c r="E2899" s="17">
        <v>1063050</v>
      </c>
      <c r="F2899" s="17">
        <v>1063050</v>
      </c>
      <c r="G2899" s="18">
        <v>0</v>
      </c>
      <c r="H2899" s="10">
        <v>2025</v>
      </c>
    </row>
    <row r="2900" spans="1:8" hidden="1" x14ac:dyDescent="0.3">
      <c r="A2900" s="16" t="s">
        <v>147</v>
      </c>
      <c r="B2900" s="16" t="s">
        <v>180</v>
      </c>
      <c r="C2900" s="15">
        <v>1</v>
      </c>
      <c r="D2900" s="17">
        <v>6200000</v>
      </c>
      <c r="E2900" s="17">
        <v>5900000</v>
      </c>
      <c r="F2900" s="17">
        <v>-300000</v>
      </c>
      <c r="G2900" s="18">
        <v>0.95161290322580649</v>
      </c>
      <c r="H2900" s="10">
        <v>2025</v>
      </c>
    </row>
    <row r="2901" spans="1:8" hidden="1" x14ac:dyDescent="0.3">
      <c r="A2901" s="16" t="s">
        <v>147</v>
      </c>
      <c r="B2901" s="16" t="s">
        <v>180</v>
      </c>
      <c r="C2901" s="15">
        <v>2</v>
      </c>
      <c r="D2901" s="17">
        <v>6200000</v>
      </c>
      <c r="E2901" s="17">
        <v>5974606</v>
      </c>
      <c r="F2901" s="17">
        <v>-225394</v>
      </c>
      <c r="G2901" s="18">
        <v>0.9636461290322581</v>
      </c>
      <c r="H2901" s="10">
        <v>2025</v>
      </c>
    </row>
    <row r="2902" spans="1:8" hidden="1" x14ac:dyDescent="0.3">
      <c r="A2902" s="16" t="s">
        <v>147</v>
      </c>
      <c r="B2902" s="16" t="s">
        <v>180</v>
      </c>
      <c r="C2902" s="15">
        <v>3</v>
      </c>
      <c r="D2902" s="17">
        <v>6200000</v>
      </c>
      <c r="E2902" s="17">
        <v>5706667</v>
      </c>
      <c r="F2902" s="17">
        <v>-493333</v>
      </c>
      <c r="G2902" s="18">
        <v>0.92043016129032262</v>
      </c>
      <c r="H2902" s="10">
        <v>2025</v>
      </c>
    </row>
    <row r="2903" spans="1:8" hidden="1" x14ac:dyDescent="0.3">
      <c r="A2903" s="16" t="s">
        <v>147</v>
      </c>
      <c r="B2903" s="16" t="s">
        <v>180</v>
      </c>
      <c r="C2903" s="15">
        <v>4</v>
      </c>
      <c r="D2903" s="17">
        <v>6200000</v>
      </c>
      <c r="E2903" s="17">
        <v>5708985</v>
      </c>
      <c r="F2903" s="17">
        <v>-491015</v>
      </c>
      <c r="G2903" s="18">
        <v>0.92080403225806451</v>
      </c>
      <c r="H2903" s="10">
        <v>2025</v>
      </c>
    </row>
    <row r="2904" spans="1:8" hidden="1" x14ac:dyDescent="0.3">
      <c r="A2904" s="16" t="s">
        <v>147</v>
      </c>
      <c r="B2904" s="16" t="s">
        <v>180</v>
      </c>
      <c r="C2904" s="15">
        <v>5</v>
      </c>
      <c r="D2904" s="17">
        <v>6200000</v>
      </c>
      <c r="E2904" s="17">
        <v>5828985</v>
      </c>
      <c r="F2904" s="17">
        <v>-371015</v>
      </c>
      <c r="G2904" s="18">
        <v>0.94015887096774198</v>
      </c>
      <c r="H2904" s="10">
        <v>2025</v>
      </c>
    </row>
    <row r="2905" spans="1:8" hidden="1" x14ac:dyDescent="0.3">
      <c r="A2905" s="16" t="s">
        <v>147</v>
      </c>
      <c r="B2905" s="16" t="s">
        <v>180</v>
      </c>
      <c r="C2905" s="15">
        <v>6</v>
      </c>
      <c r="D2905" s="17">
        <v>6200000</v>
      </c>
      <c r="E2905" s="17">
        <v>5860000</v>
      </c>
      <c r="F2905" s="17">
        <v>-340000</v>
      </c>
      <c r="G2905" s="18">
        <v>0.94516129032258067</v>
      </c>
      <c r="H2905" s="10">
        <v>2025</v>
      </c>
    </row>
    <row r="2906" spans="1:8" hidden="1" x14ac:dyDescent="0.3">
      <c r="A2906" s="16" t="s">
        <v>147</v>
      </c>
      <c r="B2906" s="16" t="s">
        <v>180</v>
      </c>
      <c r="C2906" s="15">
        <v>7</v>
      </c>
      <c r="D2906" s="17">
        <v>6200000</v>
      </c>
      <c r="E2906" s="17">
        <v>5680000</v>
      </c>
      <c r="F2906" s="17">
        <v>-520000</v>
      </c>
      <c r="G2906" s="18">
        <v>0.91612903225806452</v>
      </c>
      <c r="H2906" s="10">
        <v>2025</v>
      </c>
    </row>
    <row r="2907" spans="1:8" hidden="1" x14ac:dyDescent="0.3">
      <c r="A2907" s="16" t="s">
        <v>147</v>
      </c>
      <c r="B2907" s="16" t="s">
        <v>180</v>
      </c>
      <c r="C2907" s="15">
        <v>8</v>
      </c>
      <c r="D2907" s="17">
        <v>6200000</v>
      </c>
      <c r="E2907" s="17">
        <v>5533334</v>
      </c>
      <c r="F2907" s="17">
        <v>-666666</v>
      </c>
      <c r="G2907" s="18">
        <v>0.89247322580645161</v>
      </c>
      <c r="H2907" s="10">
        <v>2025</v>
      </c>
    </row>
    <row r="2908" spans="1:8" hidden="1" x14ac:dyDescent="0.3">
      <c r="A2908" s="16" t="s">
        <v>147</v>
      </c>
      <c r="B2908" s="16" t="s">
        <v>180</v>
      </c>
      <c r="C2908" s="15">
        <v>9</v>
      </c>
      <c r="D2908" s="17">
        <v>6200000</v>
      </c>
      <c r="E2908" s="17">
        <v>5906667</v>
      </c>
      <c r="F2908" s="17">
        <v>-293333</v>
      </c>
      <c r="G2908" s="18">
        <v>0.95268822580645163</v>
      </c>
      <c r="H2908" s="10">
        <v>2025</v>
      </c>
    </row>
    <row r="2909" spans="1:8" hidden="1" x14ac:dyDescent="0.3">
      <c r="A2909" s="16" t="s">
        <v>147</v>
      </c>
      <c r="B2909" s="16" t="s">
        <v>180</v>
      </c>
      <c r="C2909" s="15">
        <v>10</v>
      </c>
      <c r="D2909" s="17">
        <v>6200000</v>
      </c>
      <c r="E2909" s="17">
        <v>5860218</v>
      </c>
      <c r="F2909" s="17">
        <v>-339782</v>
      </c>
      <c r="G2909" s="18">
        <v>0.94519645161290322</v>
      </c>
      <c r="H2909" s="10">
        <v>2025</v>
      </c>
    </row>
    <row r="2910" spans="1:8" hidden="1" x14ac:dyDescent="0.3">
      <c r="A2910" s="16" t="s">
        <v>147</v>
      </c>
      <c r="B2910" s="16" t="s">
        <v>181</v>
      </c>
      <c r="C2910" s="15">
        <v>1</v>
      </c>
      <c r="D2910" s="17">
        <v>5019199</v>
      </c>
      <c r="E2910" s="17">
        <v>4719499</v>
      </c>
      <c r="F2910" s="17">
        <v>-299700</v>
      </c>
      <c r="G2910" s="18">
        <v>0.94028927723327971</v>
      </c>
      <c r="H2910" s="10">
        <v>2025</v>
      </c>
    </row>
    <row r="2911" spans="1:8" hidden="1" x14ac:dyDescent="0.3">
      <c r="A2911" s="16" t="s">
        <v>147</v>
      </c>
      <c r="B2911" s="16" t="s">
        <v>181</v>
      </c>
      <c r="C2911" s="15">
        <v>2</v>
      </c>
      <c r="D2911" s="17">
        <v>5422016</v>
      </c>
      <c r="E2911" s="17">
        <v>5380816</v>
      </c>
      <c r="F2911" s="17">
        <v>-41200</v>
      </c>
      <c r="G2911" s="18">
        <v>0.99240135034643939</v>
      </c>
      <c r="H2911" s="10">
        <v>2025</v>
      </c>
    </row>
    <row r="2912" spans="1:8" hidden="1" x14ac:dyDescent="0.3">
      <c r="A2912" s="16" t="s">
        <v>147</v>
      </c>
      <c r="B2912" s="16" t="s">
        <v>181</v>
      </c>
      <c r="C2912" s="15">
        <v>3</v>
      </c>
      <c r="D2912" s="17">
        <v>5422016</v>
      </c>
      <c r="E2912" s="17">
        <v>6151300</v>
      </c>
      <c r="F2912" s="17">
        <v>729284</v>
      </c>
      <c r="G2912" s="18">
        <v>1.1345042139307593</v>
      </c>
      <c r="H2912" s="10">
        <v>2025</v>
      </c>
    </row>
    <row r="2913" spans="1:8" hidden="1" x14ac:dyDescent="0.3">
      <c r="A2913" s="16" t="s">
        <v>147</v>
      </c>
      <c r="B2913" s="16" t="s">
        <v>181</v>
      </c>
      <c r="C2913" s="15">
        <v>4</v>
      </c>
      <c r="D2913" s="17">
        <v>5422016</v>
      </c>
      <c r="E2913" s="17">
        <v>5772028</v>
      </c>
      <c r="F2913" s="17">
        <v>350012</v>
      </c>
      <c r="G2913" s="18">
        <v>1.0645538486053896</v>
      </c>
      <c r="H2913" s="10">
        <v>2025</v>
      </c>
    </row>
    <row r="2914" spans="1:8" hidden="1" x14ac:dyDescent="0.3">
      <c r="A2914" s="16" t="s">
        <v>147</v>
      </c>
      <c r="B2914" s="16" t="s">
        <v>181</v>
      </c>
      <c r="C2914" s="15">
        <v>5</v>
      </c>
      <c r="D2914" s="17">
        <v>5422016</v>
      </c>
      <c r="E2914" s="17">
        <v>5257568</v>
      </c>
      <c r="F2914" s="17">
        <v>-164448</v>
      </c>
      <c r="G2914" s="18">
        <v>0.96967032188765212</v>
      </c>
      <c r="H2914" s="10">
        <v>2025</v>
      </c>
    </row>
    <row r="2915" spans="1:8" hidden="1" x14ac:dyDescent="0.3">
      <c r="A2915" s="16" t="s">
        <v>147</v>
      </c>
      <c r="B2915" s="16" t="s">
        <v>181</v>
      </c>
      <c r="C2915" s="15">
        <v>6</v>
      </c>
      <c r="D2915" s="17">
        <v>5422016</v>
      </c>
      <c r="E2915" s="17">
        <v>5906078</v>
      </c>
      <c r="F2915" s="17">
        <v>484062</v>
      </c>
      <c r="G2915" s="18">
        <v>1.0892771249660644</v>
      </c>
      <c r="H2915" s="10">
        <v>2025</v>
      </c>
    </row>
    <row r="2916" spans="1:8" hidden="1" x14ac:dyDescent="0.3">
      <c r="A2916" s="16" t="s">
        <v>147</v>
      </c>
      <c r="B2916" s="16" t="s">
        <v>181</v>
      </c>
      <c r="C2916" s="15">
        <v>7</v>
      </c>
      <c r="D2916" s="17">
        <v>5422016</v>
      </c>
      <c r="E2916" s="17">
        <v>5503465</v>
      </c>
      <c r="F2916" s="17">
        <v>81449</v>
      </c>
      <c r="G2916" s="18">
        <v>1.0150219032920595</v>
      </c>
      <c r="H2916" s="10">
        <v>2025</v>
      </c>
    </row>
    <row r="2917" spans="1:8" hidden="1" x14ac:dyDescent="0.3">
      <c r="A2917" s="16" t="s">
        <v>147</v>
      </c>
      <c r="B2917" s="16" t="s">
        <v>181</v>
      </c>
      <c r="C2917" s="15">
        <v>8</v>
      </c>
      <c r="D2917" s="17">
        <v>5422016</v>
      </c>
      <c r="E2917" s="17">
        <v>5452246</v>
      </c>
      <c r="F2917" s="17">
        <v>30230</v>
      </c>
      <c r="G2917" s="18">
        <v>1.0055754169666782</v>
      </c>
      <c r="H2917" s="10">
        <v>2025</v>
      </c>
    </row>
    <row r="2918" spans="1:8" hidden="1" x14ac:dyDescent="0.3">
      <c r="A2918" s="16" t="s">
        <v>147</v>
      </c>
      <c r="B2918" s="16" t="s">
        <v>181</v>
      </c>
      <c r="C2918" s="15">
        <v>9</v>
      </c>
      <c r="D2918" s="17">
        <v>5422016</v>
      </c>
      <c r="E2918" s="17">
        <v>5558792</v>
      </c>
      <c r="F2918" s="17">
        <v>136776</v>
      </c>
      <c r="G2918" s="18">
        <v>1.025226041383869</v>
      </c>
      <c r="H2918" s="10">
        <v>2025</v>
      </c>
    </row>
    <row r="2919" spans="1:8" hidden="1" x14ac:dyDescent="0.3">
      <c r="A2919" s="16" t="s">
        <v>147</v>
      </c>
      <c r="B2919" s="16" t="s">
        <v>181</v>
      </c>
      <c r="C2919" s="15">
        <v>10</v>
      </c>
      <c r="D2919" s="17">
        <v>5422016</v>
      </c>
      <c r="E2919" s="17">
        <v>6016478</v>
      </c>
      <c r="F2919" s="17">
        <v>594462</v>
      </c>
      <c r="G2919" s="18">
        <v>1.1096385551057024</v>
      </c>
      <c r="H2919" s="10">
        <v>2025</v>
      </c>
    </row>
    <row r="2920" spans="1:8" hidden="1" x14ac:dyDescent="0.3">
      <c r="A2920" s="16" t="s">
        <v>147</v>
      </c>
      <c r="B2920" s="16" t="s">
        <v>182</v>
      </c>
      <c r="C2920" s="15">
        <v>1</v>
      </c>
      <c r="D2920" s="17">
        <v>602303.88</v>
      </c>
      <c r="E2920" s="17">
        <v>566564</v>
      </c>
      <c r="F2920" s="17">
        <v>-35739.879999999997</v>
      </c>
      <c r="G2920" s="18">
        <v>0.94066138175965264</v>
      </c>
      <c r="H2920" s="10">
        <v>2025</v>
      </c>
    </row>
    <row r="2921" spans="1:8" hidden="1" x14ac:dyDescent="0.3">
      <c r="A2921" s="16" t="s">
        <v>147</v>
      </c>
      <c r="B2921" s="16" t="s">
        <v>182</v>
      </c>
      <c r="C2921" s="15">
        <v>2</v>
      </c>
      <c r="D2921" s="17">
        <v>650641.92000000004</v>
      </c>
      <c r="E2921" s="17">
        <v>645953</v>
      </c>
      <c r="F2921" s="17">
        <v>-4688.92</v>
      </c>
      <c r="G2921" s="18">
        <v>0.99279339394547472</v>
      </c>
      <c r="H2921" s="10">
        <v>2025</v>
      </c>
    </row>
    <row r="2922" spans="1:8" hidden="1" x14ac:dyDescent="0.3">
      <c r="A2922" s="16" t="s">
        <v>147</v>
      </c>
      <c r="B2922" s="16" t="s">
        <v>182</v>
      </c>
      <c r="C2922" s="15">
        <v>3</v>
      </c>
      <c r="D2922" s="17">
        <v>650641.92000000004</v>
      </c>
      <c r="E2922" s="17">
        <v>738450</v>
      </c>
      <c r="F2922" s="17">
        <v>87808.08</v>
      </c>
      <c r="G2922" s="18">
        <v>1.1349560753786045</v>
      </c>
      <c r="H2922" s="10">
        <v>2025</v>
      </c>
    </row>
    <row r="2923" spans="1:8" hidden="1" x14ac:dyDescent="0.3">
      <c r="A2923" s="16" t="s">
        <v>147</v>
      </c>
      <c r="B2923" s="16" t="s">
        <v>182</v>
      </c>
      <c r="C2923" s="15">
        <v>4</v>
      </c>
      <c r="D2923" s="17">
        <v>650641.92000000004</v>
      </c>
      <c r="E2923" s="17">
        <v>692921</v>
      </c>
      <c r="F2923" s="17">
        <v>42279.08</v>
      </c>
      <c r="G2923" s="18">
        <v>1.0649805656543003</v>
      </c>
      <c r="H2923" s="10">
        <v>2025</v>
      </c>
    </row>
    <row r="2924" spans="1:8" hidden="1" x14ac:dyDescent="0.3">
      <c r="A2924" s="16" t="s">
        <v>147</v>
      </c>
      <c r="B2924" s="16" t="s">
        <v>182</v>
      </c>
      <c r="C2924" s="15">
        <v>5</v>
      </c>
      <c r="D2924" s="17">
        <v>650641.92000000004</v>
      </c>
      <c r="E2924" s="17">
        <v>631163</v>
      </c>
      <c r="F2924" s="17">
        <v>-19478.919999999998</v>
      </c>
      <c r="G2924" s="18">
        <v>0.97006199662019932</v>
      </c>
      <c r="H2924" s="10">
        <v>2025</v>
      </c>
    </row>
    <row r="2925" spans="1:8" hidden="1" x14ac:dyDescent="0.3">
      <c r="A2925" s="16" t="s">
        <v>147</v>
      </c>
      <c r="B2925" s="16" t="s">
        <v>182</v>
      </c>
      <c r="C2925" s="15">
        <v>6</v>
      </c>
      <c r="D2925" s="17">
        <v>650641.92000000004</v>
      </c>
      <c r="E2925" s="17">
        <v>709013</v>
      </c>
      <c r="F2925" s="17">
        <v>58371.08</v>
      </c>
      <c r="G2925" s="18">
        <v>1.0897130636771759</v>
      </c>
      <c r="H2925" s="10">
        <v>2025</v>
      </c>
    </row>
    <row r="2926" spans="1:8" hidden="1" x14ac:dyDescent="0.3">
      <c r="A2926" s="16" t="s">
        <v>147</v>
      </c>
      <c r="B2926" s="16" t="s">
        <v>182</v>
      </c>
      <c r="C2926" s="15">
        <v>7</v>
      </c>
      <c r="D2926" s="17">
        <v>650641.92000000004</v>
      </c>
      <c r="E2926" s="17">
        <v>660677</v>
      </c>
      <c r="F2926" s="17">
        <v>10035.08</v>
      </c>
      <c r="G2926" s="18">
        <v>1.01542335298654</v>
      </c>
      <c r="H2926" s="10">
        <v>2025</v>
      </c>
    </row>
    <row r="2927" spans="1:8" hidden="1" x14ac:dyDescent="0.3">
      <c r="A2927" s="16" t="s">
        <v>147</v>
      </c>
      <c r="B2927" s="16" t="s">
        <v>182</v>
      </c>
      <c r="C2927" s="15">
        <v>8</v>
      </c>
      <c r="D2927" s="17">
        <v>650641.92000000004</v>
      </c>
      <c r="E2927" s="17">
        <v>654531</v>
      </c>
      <c r="F2927" s="17">
        <v>3889.08</v>
      </c>
      <c r="G2927" s="18">
        <v>1.0059772970053944</v>
      </c>
      <c r="H2927" s="10">
        <v>2025</v>
      </c>
    </row>
    <row r="2928" spans="1:8" hidden="1" x14ac:dyDescent="0.3">
      <c r="A2928" s="16" t="s">
        <v>147</v>
      </c>
      <c r="B2928" s="16" t="s">
        <v>182</v>
      </c>
      <c r="C2928" s="15">
        <v>9</v>
      </c>
      <c r="D2928" s="17">
        <v>650641.92000000004</v>
      </c>
      <c r="E2928" s="17">
        <v>667322</v>
      </c>
      <c r="F2928" s="17">
        <v>16680.080000000002</v>
      </c>
      <c r="G2928" s="18">
        <v>1.0256363438740621</v>
      </c>
      <c r="H2928" s="10">
        <v>2025</v>
      </c>
    </row>
    <row r="2929" spans="1:8" hidden="1" x14ac:dyDescent="0.3">
      <c r="A2929" s="16" t="s">
        <v>147</v>
      </c>
      <c r="B2929" s="16" t="s">
        <v>182</v>
      </c>
      <c r="C2929" s="15">
        <v>10</v>
      </c>
      <c r="D2929" s="17">
        <v>650641.92000000004</v>
      </c>
      <c r="E2929" s="17">
        <v>722266</v>
      </c>
      <c r="F2929" s="17">
        <v>71624.08</v>
      </c>
      <c r="G2929" s="18">
        <v>1.1100821785353148</v>
      </c>
      <c r="H2929" s="10">
        <v>2025</v>
      </c>
    </row>
    <row r="2930" spans="1:8" hidden="1" x14ac:dyDescent="0.3">
      <c r="A2930" s="16" t="s">
        <v>147</v>
      </c>
      <c r="B2930" s="16" t="s">
        <v>183</v>
      </c>
      <c r="C2930" s="15">
        <v>1</v>
      </c>
      <c r="D2930" s="17">
        <v>5019199</v>
      </c>
      <c r="E2930" s="17">
        <v>4719499</v>
      </c>
      <c r="F2930" s="17">
        <v>-299700</v>
      </c>
      <c r="G2930" s="18">
        <v>0.94028927723327971</v>
      </c>
      <c r="H2930" s="10">
        <v>2025</v>
      </c>
    </row>
    <row r="2931" spans="1:8" hidden="1" x14ac:dyDescent="0.3">
      <c r="A2931" s="16" t="s">
        <v>147</v>
      </c>
      <c r="B2931" s="16" t="s">
        <v>183</v>
      </c>
      <c r="C2931" s="15">
        <v>2</v>
      </c>
      <c r="D2931" s="17">
        <v>5422016</v>
      </c>
      <c r="E2931" s="17">
        <v>5380816</v>
      </c>
      <c r="F2931" s="17">
        <v>-41200</v>
      </c>
      <c r="G2931" s="18">
        <v>0.99240135034643939</v>
      </c>
      <c r="H2931" s="10">
        <v>2025</v>
      </c>
    </row>
    <row r="2932" spans="1:8" hidden="1" x14ac:dyDescent="0.3">
      <c r="A2932" s="16" t="s">
        <v>147</v>
      </c>
      <c r="B2932" s="16" t="s">
        <v>183</v>
      </c>
      <c r="C2932" s="15">
        <v>3</v>
      </c>
      <c r="D2932" s="17">
        <v>5422016</v>
      </c>
      <c r="E2932" s="17">
        <v>6151300</v>
      </c>
      <c r="F2932" s="17">
        <v>729284</v>
      </c>
      <c r="G2932" s="18">
        <v>1.1345042139307593</v>
      </c>
      <c r="H2932" s="10">
        <v>2025</v>
      </c>
    </row>
    <row r="2933" spans="1:8" hidden="1" x14ac:dyDescent="0.3">
      <c r="A2933" s="16" t="s">
        <v>147</v>
      </c>
      <c r="B2933" s="16" t="s">
        <v>183</v>
      </c>
      <c r="C2933" s="15">
        <v>4</v>
      </c>
      <c r="D2933" s="17">
        <v>5422016</v>
      </c>
      <c r="E2933" s="17">
        <v>5772028</v>
      </c>
      <c r="F2933" s="17">
        <v>350012</v>
      </c>
      <c r="G2933" s="18">
        <v>1.0645538486053896</v>
      </c>
      <c r="H2933" s="10">
        <v>2025</v>
      </c>
    </row>
    <row r="2934" spans="1:8" hidden="1" x14ac:dyDescent="0.3">
      <c r="A2934" s="16" t="s">
        <v>147</v>
      </c>
      <c r="B2934" s="16" t="s">
        <v>183</v>
      </c>
      <c r="C2934" s="15">
        <v>5</v>
      </c>
      <c r="D2934" s="17">
        <v>5422016</v>
      </c>
      <c r="E2934" s="17">
        <v>5257568</v>
      </c>
      <c r="F2934" s="17">
        <v>-164448</v>
      </c>
      <c r="G2934" s="18">
        <v>0.96967032188765212</v>
      </c>
      <c r="H2934" s="10">
        <v>2025</v>
      </c>
    </row>
    <row r="2935" spans="1:8" hidden="1" x14ac:dyDescent="0.3">
      <c r="A2935" s="16" t="s">
        <v>147</v>
      </c>
      <c r="B2935" s="16" t="s">
        <v>183</v>
      </c>
      <c r="C2935" s="15">
        <v>6</v>
      </c>
      <c r="D2935" s="17">
        <v>5422016</v>
      </c>
      <c r="E2935" s="17">
        <v>5906078</v>
      </c>
      <c r="F2935" s="17">
        <v>484062</v>
      </c>
      <c r="G2935" s="18">
        <v>1.0892771249660644</v>
      </c>
      <c r="H2935" s="10">
        <v>2025</v>
      </c>
    </row>
    <row r="2936" spans="1:8" hidden="1" x14ac:dyDescent="0.3">
      <c r="A2936" s="16" t="s">
        <v>147</v>
      </c>
      <c r="B2936" s="16" t="s">
        <v>183</v>
      </c>
      <c r="C2936" s="15">
        <v>7</v>
      </c>
      <c r="D2936" s="17">
        <v>5422016</v>
      </c>
      <c r="E2936" s="17">
        <v>5503465</v>
      </c>
      <c r="F2936" s="17">
        <v>81449</v>
      </c>
      <c r="G2936" s="18">
        <v>1.0150219032920595</v>
      </c>
      <c r="H2936" s="10">
        <v>2025</v>
      </c>
    </row>
    <row r="2937" spans="1:8" hidden="1" x14ac:dyDescent="0.3">
      <c r="A2937" s="16" t="s">
        <v>147</v>
      </c>
      <c r="B2937" s="16" t="s">
        <v>183</v>
      </c>
      <c r="C2937" s="15">
        <v>8</v>
      </c>
      <c r="D2937" s="17">
        <v>5422016</v>
      </c>
      <c r="E2937" s="17">
        <v>5452246</v>
      </c>
      <c r="F2937" s="17">
        <v>30230</v>
      </c>
      <c r="G2937" s="18">
        <v>1.0055754169666782</v>
      </c>
      <c r="H2937" s="10">
        <v>2025</v>
      </c>
    </row>
    <row r="2938" spans="1:8" hidden="1" x14ac:dyDescent="0.3">
      <c r="A2938" s="16" t="s">
        <v>147</v>
      </c>
      <c r="B2938" s="16" t="s">
        <v>183</v>
      </c>
      <c r="C2938" s="15">
        <v>9</v>
      </c>
      <c r="D2938" s="17">
        <v>5422016</v>
      </c>
      <c r="E2938" s="17">
        <v>5558792</v>
      </c>
      <c r="F2938" s="17">
        <v>136776</v>
      </c>
      <c r="G2938" s="18">
        <v>1.025226041383869</v>
      </c>
      <c r="H2938" s="10">
        <v>2025</v>
      </c>
    </row>
    <row r="2939" spans="1:8" hidden="1" x14ac:dyDescent="0.3">
      <c r="A2939" s="16" t="s">
        <v>147</v>
      </c>
      <c r="B2939" s="16" t="s">
        <v>183</v>
      </c>
      <c r="C2939" s="15">
        <v>10</v>
      </c>
      <c r="D2939" s="17">
        <v>5422016</v>
      </c>
      <c r="E2939" s="17">
        <v>6016478</v>
      </c>
      <c r="F2939" s="17">
        <v>594462</v>
      </c>
      <c r="G2939" s="18">
        <v>1.1096385551057024</v>
      </c>
      <c r="H2939" s="10">
        <v>2025</v>
      </c>
    </row>
    <row r="2940" spans="1:8" hidden="1" x14ac:dyDescent="0.3">
      <c r="A2940" s="16" t="s">
        <v>147</v>
      </c>
      <c r="B2940" s="16" t="s">
        <v>184</v>
      </c>
      <c r="C2940" s="15">
        <v>1</v>
      </c>
      <c r="D2940" s="17">
        <v>2254072</v>
      </c>
      <c r="E2940" s="17">
        <v>2116556</v>
      </c>
      <c r="F2940" s="17">
        <v>-137516</v>
      </c>
      <c r="G2940" s="18">
        <v>0.93899218835955556</v>
      </c>
      <c r="H2940" s="10">
        <v>2025</v>
      </c>
    </row>
    <row r="2941" spans="1:8" hidden="1" x14ac:dyDescent="0.3">
      <c r="A2941" s="16" t="s">
        <v>147</v>
      </c>
      <c r="B2941" s="16" t="s">
        <v>184</v>
      </c>
      <c r="C2941" s="15">
        <v>2</v>
      </c>
      <c r="D2941" s="17">
        <v>2455722</v>
      </c>
      <c r="E2941" s="17">
        <v>2444497</v>
      </c>
      <c r="F2941" s="17">
        <v>-11225</v>
      </c>
      <c r="G2941" s="18">
        <v>0.99542904286397238</v>
      </c>
      <c r="H2941" s="10">
        <v>2025</v>
      </c>
    </row>
    <row r="2942" spans="1:8" hidden="1" x14ac:dyDescent="0.3">
      <c r="A2942" s="16" t="s">
        <v>147</v>
      </c>
      <c r="B2942" s="16" t="s">
        <v>184</v>
      </c>
      <c r="C2942" s="15">
        <v>3</v>
      </c>
      <c r="D2942" s="17">
        <v>2455722</v>
      </c>
      <c r="E2942" s="17">
        <v>2841376</v>
      </c>
      <c r="F2942" s="17">
        <v>385654</v>
      </c>
      <c r="G2942" s="18">
        <v>1.1570430203418791</v>
      </c>
      <c r="H2942" s="10">
        <v>2025</v>
      </c>
    </row>
    <row r="2943" spans="1:8" hidden="1" x14ac:dyDescent="0.3">
      <c r="A2943" s="16" t="s">
        <v>147</v>
      </c>
      <c r="B2943" s="16" t="s">
        <v>184</v>
      </c>
      <c r="C2943" s="15">
        <v>4</v>
      </c>
      <c r="D2943" s="17">
        <v>2455722</v>
      </c>
      <c r="E2943" s="17">
        <v>2651412</v>
      </c>
      <c r="F2943" s="17">
        <v>195690</v>
      </c>
      <c r="G2943" s="18">
        <v>1.0796873587482623</v>
      </c>
      <c r="H2943" s="10">
        <v>2025</v>
      </c>
    </row>
    <row r="2944" spans="1:8" hidden="1" x14ac:dyDescent="0.3">
      <c r="A2944" s="16" t="s">
        <v>147</v>
      </c>
      <c r="B2944" s="16" t="s">
        <v>184</v>
      </c>
      <c r="C2944" s="15">
        <v>5</v>
      </c>
      <c r="D2944" s="17">
        <v>2455722</v>
      </c>
      <c r="E2944" s="17">
        <v>2388871</v>
      </c>
      <c r="F2944" s="17">
        <v>-66851</v>
      </c>
      <c r="G2944" s="18">
        <v>0.97277745608012633</v>
      </c>
      <c r="H2944" s="10">
        <v>2025</v>
      </c>
    </row>
    <row r="2945" spans="1:8" hidden="1" x14ac:dyDescent="0.3">
      <c r="A2945" s="16" t="s">
        <v>147</v>
      </c>
      <c r="B2945" s="16" t="s">
        <v>184</v>
      </c>
      <c r="C2945" s="15">
        <v>6</v>
      </c>
      <c r="D2945" s="17">
        <v>2455722</v>
      </c>
      <c r="E2945" s="17">
        <v>2712223</v>
      </c>
      <c r="F2945" s="17">
        <v>256501</v>
      </c>
      <c r="G2945" s="18">
        <v>1.1044503408773469</v>
      </c>
      <c r="H2945" s="10">
        <v>2025</v>
      </c>
    </row>
    <row r="2946" spans="1:8" hidden="1" x14ac:dyDescent="0.3">
      <c r="A2946" s="16" t="s">
        <v>147</v>
      </c>
      <c r="B2946" s="16" t="s">
        <v>184</v>
      </c>
      <c r="C2946" s="15">
        <v>7</v>
      </c>
      <c r="D2946" s="17">
        <v>2455722</v>
      </c>
      <c r="E2946" s="17">
        <v>2518180</v>
      </c>
      <c r="F2946" s="17">
        <v>62458</v>
      </c>
      <c r="G2946" s="18">
        <v>1.0254336606505134</v>
      </c>
      <c r="H2946" s="10">
        <v>2025</v>
      </c>
    </row>
    <row r="2947" spans="1:8" hidden="1" x14ac:dyDescent="0.3">
      <c r="A2947" s="16" t="s">
        <v>147</v>
      </c>
      <c r="B2947" s="16" t="s">
        <v>184</v>
      </c>
      <c r="C2947" s="15">
        <v>8</v>
      </c>
      <c r="D2947" s="17">
        <v>2455722</v>
      </c>
      <c r="E2947" s="17">
        <v>2498658</v>
      </c>
      <c r="F2947" s="17">
        <v>42936</v>
      </c>
      <c r="G2947" s="18">
        <v>1.017484063749887</v>
      </c>
      <c r="H2947" s="10">
        <v>2025</v>
      </c>
    </row>
    <row r="2948" spans="1:8" hidden="1" x14ac:dyDescent="0.3">
      <c r="A2948" s="16" t="s">
        <v>147</v>
      </c>
      <c r="B2948" s="16" t="s">
        <v>184</v>
      </c>
      <c r="C2948" s="15">
        <v>9</v>
      </c>
      <c r="D2948" s="17">
        <v>2455722</v>
      </c>
      <c r="E2948" s="17">
        <v>2536424</v>
      </c>
      <c r="F2948" s="17">
        <v>80702</v>
      </c>
      <c r="G2948" s="18">
        <v>1.0328628403377906</v>
      </c>
      <c r="H2948" s="10">
        <v>2025</v>
      </c>
    </row>
    <row r="2949" spans="1:8" hidden="1" x14ac:dyDescent="0.3">
      <c r="A2949" s="16" t="s">
        <v>147</v>
      </c>
      <c r="B2949" s="16" t="s">
        <v>184</v>
      </c>
      <c r="C2949" s="15">
        <v>10</v>
      </c>
      <c r="D2949" s="17">
        <v>2455722</v>
      </c>
      <c r="E2949" s="17">
        <v>2767484</v>
      </c>
      <c r="F2949" s="17">
        <v>311762</v>
      </c>
      <c r="G2949" s="18">
        <v>1.1269532952019814</v>
      </c>
      <c r="H2949" s="10">
        <v>2025</v>
      </c>
    </row>
    <row r="2950" spans="1:8" hidden="1" x14ac:dyDescent="0.3">
      <c r="A2950" s="16" t="s">
        <v>147</v>
      </c>
      <c r="B2950" s="16" t="s">
        <v>185</v>
      </c>
      <c r="C2950" s="15">
        <v>1</v>
      </c>
      <c r="D2950" s="17">
        <v>745952</v>
      </c>
      <c r="E2950" s="17">
        <v>700444</v>
      </c>
      <c r="F2950" s="17">
        <v>-45508</v>
      </c>
      <c r="G2950" s="18">
        <v>0.9389933936768049</v>
      </c>
      <c r="H2950" s="10">
        <v>2025</v>
      </c>
    </row>
    <row r="2951" spans="1:8" hidden="1" x14ac:dyDescent="0.3">
      <c r="A2951" s="16" t="s">
        <v>147</v>
      </c>
      <c r="B2951" s="16" t="s">
        <v>185</v>
      </c>
      <c r="C2951" s="15">
        <v>2</v>
      </c>
      <c r="D2951" s="17">
        <v>812685</v>
      </c>
      <c r="E2951" s="17">
        <v>808971</v>
      </c>
      <c r="F2951" s="17">
        <v>-3714</v>
      </c>
      <c r="G2951" s="18">
        <v>0.99542996363904834</v>
      </c>
      <c r="H2951" s="10">
        <v>2025</v>
      </c>
    </row>
    <row r="2952" spans="1:8" hidden="1" x14ac:dyDescent="0.3">
      <c r="A2952" s="16" t="s">
        <v>147</v>
      </c>
      <c r="B2952" s="16" t="s">
        <v>185</v>
      </c>
      <c r="C2952" s="15">
        <v>3</v>
      </c>
      <c r="D2952" s="17">
        <v>812685</v>
      </c>
      <c r="E2952" s="17">
        <v>940307</v>
      </c>
      <c r="F2952" s="17">
        <v>127622</v>
      </c>
      <c r="G2952" s="18">
        <v>1.1570374745442578</v>
      </c>
      <c r="H2952" s="10">
        <v>2025</v>
      </c>
    </row>
    <row r="2953" spans="1:8" hidden="1" x14ac:dyDescent="0.3">
      <c r="A2953" s="16" t="s">
        <v>147</v>
      </c>
      <c r="B2953" s="16" t="s">
        <v>185</v>
      </c>
      <c r="C2953" s="15">
        <v>4</v>
      </c>
      <c r="D2953" s="17">
        <v>812685</v>
      </c>
      <c r="E2953" s="17">
        <v>877446</v>
      </c>
      <c r="F2953" s="17">
        <v>64761</v>
      </c>
      <c r="G2953" s="18">
        <v>1.0796877018771112</v>
      </c>
      <c r="H2953" s="10">
        <v>2025</v>
      </c>
    </row>
    <row r="2954" spans="1:8" hidden="1" x14ac:dyDescent="0.3">
      <c r="A2954" s="16" t="s">
        <v>147</v>
      </c>
      <c r="B2954" s="16" t="s">
        <v>185</v>
      </c>
      <c r="C2954" s="15">
        <v>5</v>
      </c>
      <c r="D2954" s="17">
        <v>812685</v>
      </c>
      <c r="E2954" s="17">
        <v>790561</v>
      </c>
      <c r="F2954" s="17">
        <v>-22124</v>
      </c>
      <c r="G2954" s="18">
        <v>0.97277666008355024</v>
      </c>
      <c r="H2954" s="10">
        <v>2025</v>
      </c>
    </row>
    <row r="2955" spans="1:8" hidden="1" x14ac:dyDescent="0.3">
      <c r="A2955" s="16" t="s">
        <v>147</v>
      </c>
      <c r="B2955" s="16" t="s">
        <v>185</v>
      </c>
      <c r="C2955" s="15">
        <v>6</v>
      </c>
      <c r="D2955" s="17">
        <v>812685</v>
      </c>
      <c r="E2955" s="17">
        <v>897567</v>
      </c>
      <c r="F2955" s="17">
        <v>84882</v>
      </c>
      <c r="G2955" s="18">
        <v>1.1044463722106352</v>
      </c>
      <c r="H2955" s="10">
        <v>2025</v>
      </c>
    </row>
    <row r="2956" spans="1:8" hidden="1" x14ac:dyDescent="0.3">
      <c r="A2956" s="16" t="s">
        <v>147</v>
      </c>
      <c r="B2956" s="16" t="s">
        <v>185</v>
      </c>
      <c r="C2956" s="15">
        <v>7</v>
      </c>
      <c r="D2956" s="17">
        <v>812685</v>
      </c>
      <c r="E2956" s="17">
        <v>833357</v>
      </c>
      <c r="F2956" s="17">
        <v>20672</v>
      </c>
      <c r="G2956" s="18">
        <v>1.0254366698044137</v>
      </c>
      <c r="H2956" s="10">
        <v>2025</v>
      </c>
    </row>
    <row r="2957" spans="1:8" hidden="1" x14ac:dyDescent="0.3">
      <c r="A2957" s="16" t="s">
        <v>147</v>
      </c>
      <c r="B2957" s="16" t="s">
        <v>185</v>
      </c>
      <c r="C2957" s="15">
        <v>8</v>
      </c>
      <c r="D2957" s="17">
        <v>812685</v>
      </c>
      <c r="E2957" s="17">
        <v>826892</v>
      </c>
      <c r="F2957" s="17">
        <v>14207</v>
      </c>
      <c r="G2957" s="18">
        <v>1.0174815580452452</v>
      </c>
      <c r="H2957" s="10">
        <v>2025</v>
      </c>
    </row>
    <row r="2958" spans="1:8" hidden="1" x14ac:dyDescent="0.3">
      <c r="A2958" s="16" t="s">
        <v>147</v>
      </c>
      <c r="B2958" s="16" t="s">
        <v>185</v>
      </c>
      <c r="C2958" s="15">
        <v>9</v>
      </c>
      <c r="D2958" s="17">
        <v>812685</v>
      </c>
      <c r="E2958" s="17">
        <v>839391</v>
      </c>
      <c r="F2958" s="17">
        <v>26706</v>
      </c>
      <c r="G2958" s="18">
        <v>1.0328614407796379</v>
      </c>
      <c r="H2958" s="10">
        <v>2025</v>
      </c>
    </row>
    <row r="2959" spans="1:8" hidden="1" x14ac:dyDescent="0.3">
      <c r="A2959" s="16" t="s">
        <v>147</v>
      </c>
      <c r="B2959" s="16" t="s">
        <v>185</v>
      </c>
      <c r="C2959" s="15">
        <v>10</v>
      </c>
      <c r="D2959" s="17">
        <v>812685</v>
      </c>
      <c r="E2959" s="17">
        <v>915854</v>
      </c>
      <c r="F2959" s="17">
        <v>103169</v>
      </c>
      <c r="G2959" s="18">
        <v>1.1269483256120145</v>
      </c>
      <c r="H2959" s="10">
        <v>2025</v>
      </c>
    </row>
    <row r="2960" spans="1:8" hidden="1" x14ac:dyDescent="0.3">
      <c r="A2960" s="16" t="s">
        <v>147</v>
      </c>
      <c r="B2960" s="16" t="s">
        <v>186</v>
      </c>
      <c r="C2960" s="15">
        <v>1</v>
      </c>
      <c r="D2960" s="17">
        <v>20252500</v>
      </c>
      <c r="E2960" s="17">
        <v>20252500</v>
      </c>
      <c r="F2960" s="17">
        <v>0</v>
      </c>
      <c r="G2960" s="18">
        <v>1</v>
      </c>
      <c r="H2960" s="10">
        <v>2025</v>
      </c>
    </row>
    <row r="2961" spans="1:8" hidden="1" x14ac:dyDescent="0.3">
      <c r="A2961" s="16" t="s">
        <v>147</v>
      </c>
      <c r="B2961" s="16" t="s">
        <v>186</v>
      </c>
      <c r="C2961" s="15">
        <v>2</v>
      </c>
      <c r="D2961" s="17">
        <v>7026441</v>
      </c>
      <c r="E2961" s="17">
        <v>7323366</v>
      </c>
      <c r="F2961" s="17">
        <v>296925</v>
      </c>
      <c r="G2961" s="18">
        <v>1.0422582357127883</v>
      </c>
      <c r="H2961" s="10">
        <v>2025</v>
      </c>
    </row>
    <row r="2962" spans="1:8" hidden="1" x14ac:dyDescent="0.3">
      <c r="A2962" s="16" t="s">
        <v>147</v>
      </c>
      <c r="B2962" s="16" t="s">
        <v>186</v>
      </c>
      <c r="C2962" s="15">
        <v>3</v>
      </c>
      <c r="D2962" s="17">
        <v>7026441</v>
      </c>
      <c r="E2962" s="17">
        <v>6969857</v>
      </c>
      <c r="F2962" s="17">
        <v>-56584</v>
      </c>
      <c r="G2962" s="18">
        <v>0.99194698994839636</v>
      </c>
      <c r="H2962" s="10">
        <v>2025</v>
      </c>
    </row>
    <row r="2963" spans="1:8" hidden="1" x14ac:dyDescent="0.3">
      <c r="A2963" s="16" t="s">
        <v>147</v>
      </c>
      <c r="B2963" s="16" t="s">
        <v>186</v>
      </c>
      <c r="C2963" s="15">
        <v>4</v>
      </c>
      <c r="D2963" s="17">
        <v>7026441</v>
      </c>
      <c r="E2963" s="17">
        <v>7279055</v>
      </c>
      <c r="F2963" s="17">
        <v>252614</v>
      </c>
      <c r="G2963" s="18">
        <v>1.0359519136359361</v>
      </c>
      <c r="H2963" s="10">
        <v>2025</v>
      </c>
    </row>
    <row r="2964" spans="1:8" hidden="1" x14ac:dyDescent="0.3">
      <c r="A2964" s="16" t="s">
        <v>147</v>
      </c>
      <c r="B2964" s="16" t="s">
        <v>186</v>
      </c>
      <c r="C2964" s="15">
        <v>5</v>
      </c>
      <c r="D2964" s="17">
        <v>7026441</v>
      </c>
      <c r="E2964" s="17">
        <v>6667309</v>
      </c>
      <c r="F2964" s="17">
        <v>-359132</v>
      </c>
      <c r="G2964" s="18">
        <v>0.94888849134291464</v>
      </c>
      <c r="H2964" s="10">
        <v>2025</v>
      </c>
    </row>
    <row r="2965" spans="1:8" hidden="1" x14ac:dyDescent="0.3">
      <c r="A2965" s="16" t="s">
        <v>147</v>
      </c>
      <c r="B2965" s="16" t="s">
        <v>186</v>
      </c>
      <c r="C2965" s="15">
        <v>6</v>
      </c>
      <c r="D2965" s="17">
        <v>7026441</v>
      </c>
      <c r="E2965" s="17">
        <v>7509983</v>
      </c>
      <c r="F2965" s="17">
        <v>483542</v>
      </c>
      <c r="G2965" s="18">
        <v>1.0688174852674348</v>
      </c>
      <c r="H2965" s="10">
        <v>2025</v>
      </c>
    </row>
    <row r="2966" spans="1:8" hidden="1" x14ac:dyDescent="0.3">
      <c r="A2966" s="16" t="s">
        <v>147</v>
      </c>
      <c r="B2966" s="16" t="s">
        <v>186</v>
      </c>
      <c r="C2966" s="15">
        <v>7</v>
      </c>
      <c r="D2966" s="17">
        <v>7026441</v>
      </c>
      <c r="E2966" s="17">
        <v>6520056</v>
      </c>
      <c r="F2966" s="17">
        <v>-506385</v>
      </c>
      <c r="G2966" s="18">
        <v>0.92793150899580601</v>
      </c>
      <c r="H2966" s="10">
        <v>2025</v>
      </c>
    </row>
    <row r="2967" spans="1:8" hidden="1" x14ac:dyDescent="0.3">
      <c r="A2967" s="16" t="s">
        <v>147</v>
      </c>
      <c r="B2967" s="16" t="s">
        <v>186</v>
      </c>
      <c r="C2967" s="15">
        <v>8</v>
      </c>
      <c r="D2967" s="17">
        <v>7026441</v>
      </c>
      <c r="E2967" s="17">
        <v>6868146</v>
      </c>
      <c r="F2967" s="17">
        <v>-158295</v>
      </c>
      <c r="G2967" s="18">
        <v>0.97747152505799173</v>
      </c>
      <c r="H2967" s="10">
        <v>2025</v>
      </c>
    </row>
    <row r="2968" spans="1:8" hidden="1" x14ac:dyDescent="0.3">
      <c r="A2968" s="16" t="s">
        <v>147</v>
      </c>
      <c r="B2968" s="16" t="s">
        <v>186</v>
      </c>
      <c r="C2968" s="15">
        <v>9</v>
      </c>
      <c r="D2968" s="17">
        <v>7026441</v>
      </c>
      <c r="E2968" s="17">
        <v>6717932</v>
      </c>
      <c r="F2968" s="17">
        <v>-308509</v>
      </c>
      <c r="G2968" s="18">
        <v>0.95609313449013522</v>
      </c>
      <c r="H2968" s="10">
        <v>2025</v>
      </c>
    </row>
    <row r="2969" spans="1:8" hidden="1" x14ac:dyDescent="0.3">
      <c r="A2969" s="16" t="s">
        <v>147</v>
      </c>
      <c r="B2969" s="16" t="s">
        <v>186</v>
      </c>
      <c r="C2969" s="15">
        <v>10</v>
      </c>
      <c r="D2969" s="17">
        <v>7026441</v>
      </c>
      <c r="E2969" s="17">
        <v>6794900</v>
      </c>
      <c r="F2969" s="17">
        <v>-231541</v>
      </c>
      <c r="G2969" s="18">
        <v>0.96704718647747845</v>
      </c>
      <c r="H2969" s="10">
        <v>2025</v>
      </c>
    </row>
    <row r="2970" spans="1:8" hidden="1" x14ac:dyDescent="0.3">
      <c r="A2970" s="16" t="s">
        <v>147</v>
      </c>
      <c r="B2970" s="16" t="s">
        <v>187</v>
      </c>
      <c r="C2970" s="15">
        <v>1</v>
      </c>
      <c r="D2970" s="17">
        <v>1971721</v>
      </c>
      <c r="E2970" s="17">
        <v>1924959</v>
      </c>
      <c r="F2970" s="17">
        <v>-46762</v>
      </c>
      <c r="G2970" s="18">
        <v>0.97628366285087997</v>
      </c>
      <c r="H2970" s="10">
        <v>2025</v>
      </c>
    </row>
    <row r="2971" spans="1:8" hidden="1" x14ac:dyDescent="0.3">
      <c r="A2971" s="16" t="s">
        <v>147</v>
      </c>
      <c r="B2971" s="16" t="s">
        <v>187</v>
      </c>
      <c r="C2971" s="15">
        <v>2</v>
      </c>
      <c r="D2971" s="17">
        <v>2148112</v>
      </c>
      <c r="E2971" s="17">
        <v>2238894</v>
      </c>
      <c r="F2971" s="17">
        <v>90782</v>
      </c>
      <c r="G2971" s="18">
        <v>1.0422612973625212</v>
      </c>
      <c r="H2971" s="10">
        <v>2025</v>
      </c>
    </row>
    <row r="2972" spans="1:8" hidden="1" x14ac:dyDescent="0.3">
      <c r="A2972" s="16" t="s">
        <v>147</v>
      </c>
      <c r="B2972" s="16" t="s">
        <v>187</v>
      </c>
      <c r="C2972" s="15">
        <v>3</v>
      </c>
      <c r="D2972" s="17">
        <v>2148112</v>
      </c>
      <c r="E2972" s="17">
        <v>2130819</v>
      </c>
      <c r="F2972" s="17">
        <v>-17293</v>
      </c>
      <c r="G2972" s="18">
        <v>0.99194967487728758</v>
      </c>
      <c r="H2972" s="10">
        <v>2025</v>
      </c>
    </row>
    <row r="2973" spans="1:8" hidden="1" x14ac:dyDescent="0.3">
      <c r="A2973" s="16" t="s">
        <v>147</v>
      </c>
      <c r="B2973" s="16" t="s">
        <v>187</v>
      </c>
      <c r="C2973" s="15">
        <v>4</v>
      </c>
      <c r="D2973" s="17">
        <v>2148112</v>
      </c>
      <c r="E2973" s="17">
        <v>2225344</v>
      </c>
      <c r="F2973" s="17">
        <v>77232</v>
      </c>
      <c r="G2973" s="18">
        <v>1.0359534325956934</v>
      </c>
      <c r="H2973" s="10">
        <v>2025</v>
      </c>
    </row>
    <row r="2974" spans="1:8" hidden="1" x14ac:dyDescent="0.3">
      <c r="A2974" s="16" t="s">
        <v>147</v>
      </c>
      <c r="B2974" s="16" t="s">
        <v>187</v>
      </c>
      <c r="C2974" s="15">
        <v>5</v>
      </c>
      <c r="D2974" s="17">
        <v>2148112</v>
      </c>
      <c r="E2974" s="17">
        <v>2038324</v>
      </c>
      <c r="F2974" s="17">
        <v>-109788</v>
      </c>
      <c r="G2974" s="18">
        <v>0.94889093306121841</v>
      </c>
      <c r="H2974" s="10">
        <v>2025</v>
      </c>
    </row>
    <row r="2975" spans="1:8" hidden="1" x14ac:dyDescent="0.3">
      <c r="A2975" s="16" t="s">
        <v>147</v>
      </c>
      <c r="B2975" s="16" t="s">
        <v>187</v>
      </c>
      <c r="C2975" s="15">
        <v>6</v>
      </c>
      <c r="D2975" s="17">
        <v>2148112</v>
      </c>
      <c r="E2975" s="17">
        <v>2295947</v>
      </c>
      <c r="F2975" s="17">
        <v>147835</v>
      </c>
      <c r="G2975" s="18">
        <v>1.068820899468929</v>
      </c>
      <c r="H2975" s="10">
        <v>2025</v>
      </c>
    </row>
    <row r="2976" spans="1:8" hidden="1" x14ac:dyDescent="0.3">
      <c r="A2976" s="16" t="s">
        <v>147</v>
      </c>
      <c r="B2976" s="16" t="s">
        <v>187</v>
      </c>
      <c r="C2976" s="15">
        <v>7</v>
      </c>
      <c r="D2976" s="17">
        <v>2148112</v>
      </c>
      <c r="E2976" s="17">
        <v>1993307</v>
      </c>
      <c r="F2976" s="17">
        <v>-154805</v>
      </c>
      <c r="G2976" s="18">
        <v>0.92793439075802386</v>
      </c>
      <c r="H2976" s="10">
        <v>2025</v>
      </c>
    </row>
    <row r="2977" spans="1:8" hidden="1" x14ac:dyDescent="0.3">
      <c r="A2977" s="16" t="s">
        <v>147</v>
      </c>
      <c r="B2977" s="16" t="s">
        <v>187</v>
      </c>
      <c r="C2977" s="15">
        <v>8</v>
      </c>
      <c r="D2977" s="17">
        <v>2148112</v>
      </c>
      <c r="E2977" s="17">
        <v>2099725</v>
      </c>
      <c r="F2977" s="17">
        <v>-48387</v>
      </c>
      <c r="G2977" s="18">
        <v>0.97747463819391167</v>
      </c>
      <c r="H2977" s="10">
        <v>2025</v>
      </c>
    </row>
    <row r="2978" spans="1:8" hidden="1" x14ac:dyDescent="0.3">
      <c r="A2978" s="16" t="s">
        <v>147</v>
      </c>
      <c r="B2978" s="16" t="s">
        <v>187</v>
      </c>
      <c r="C2978" s="15">
        <v>9</v>
      </c>
      <c r="D2978" s="17">
        <v>2148112</v>
      </c>
      <c r="E2978" s="17">
        <v>2053800</v>
      </c>
      <c r="F2978" s="17">
        <v>-94312</v>
      </c>
      <c r="G2978" s="18">
        <v>0.95609539912257835</v>
      </c>
      <c r="H2978" s="10">
        <v>2025</v>
      </c>
    </row>
    <row r="2979" spans="1:8" hidden="1" x14ac:dyDescent="0.3">
      <c r="A2979" s="16" t="s">
        <v>147</v>
      </c>
      <c r="B2979" s="16" t="s">
        <v>187</v>
      </c>
      <c r="C2979" s="15">
        <v>10</v>
      </c>
      <c r="D2979" s="17">
        <v>2148112</v>
      </c>
      <c r="E2979" s="17">
        <v>2077333</v>
      </c>
      <c r="F2979" s="17">
        <v>-70779</v>
      </c>
      <c r="G2979" s="18">
        <v>0.96705060071355686</v>
      </c>
      <c r="H2979" s="10">
        <v>2025</v>
      </c>
    </row>
    <row r="2980" spans="1:8" hidden="1" x14ac:dyDescent="0.3">
      <c r="A2980" s="16" t="s">
        <v>147</v>
      </c>
      <c r="B2980" s="16" t="s">
        <v>188</v>
      </c>
      <c r="C2980" s="15">
        <v>1</v>
      </c>
      <c r="D2980" s="17">
        <v>0</v>
      </c>
      <c r="E2980" s="17">
        <v>1640748</v>
      </c>
      <c r="F2980" s="17">
        <v>1640748</v>
      </c>
      <c r="G2980" s="18">
        <v>0</v>
      </c>
      <c r="H2980" s="10">
        <v>2025</v>
      </c>
    </row>
    <row r="2981" spans="1:8" hidden="1" x14ac:dyDescent="0.3">
      <c r="A2981" s="16" t="s">
        <v>147</v>
      </c>
      <c r="B2981" s="16" t="s">
        <v>188</v>
      </c>
      <c r="C2981" s="15">
        <v>4</v>
      </c>
      <c r="D2981" s="17">
        <v>17091758</v>
      </c>
      <c r="E2981" s="17">
        <v>0</v>
      </c>
      <c r="F2981" s="17">
        <v>-17091758</v>
      </c>
      <c r="G2981" s="18">
        <v>0</v>
      </c>
      <c r="H2981" s="10">
        <v>2025</v>
      </c>
    </row>
    <row r="2982" spans="1:8" hidden="1" x14ac:dyDescent="0.3">
      <c r="A2982" s="16" t="s">
        <v>147</v>
      </c>
      <c r="B2982" s="16" t="s">
        <v>188</v>
      </c>
      <c r="C2982" s="15">
        <v>5</v>
      </c>
      <c r="D2982" s="17">
        <v>0</v>
      </c>
      <c r="E2982" s="17">
        <v>14465406</v>
      </c>
      <c r="F2982" s="17">
        <v>14465406</v>
      </c>
      <c r="G2982" s="18">
        <v>0</v>
      </c>
      <c r="H2982" s="10">
        <v>2025</v>
      </c>
    </row>
    <row r="2983" spans="1:8" hidden="1" x14ac:dyDescent="0.3">
      <c r="A2983" s="16" t="s">
        <v>147</v>
      </c>
      <c r="B2983" s="16" t="s">
        <v>188</v>
      </c>
      <c r="C2983" s="15">
        <v>6</v>
      </c>
      <c r="D2983" s="17">
        <v>0</v>
      </c>
      <c r="E2983" s="17">
        <v>639536</v>
      </c>
      <c r="F2983" s="17">
        <v>639536</v>
      </c>
      <c r="G2983" s="18">
        <v>0</v>
      </c>
      <c r="H2983" s="10">
        <v>2025</v>
      </c>
    </row>
    <row r="2984" spans="1:8" hidden="1" x14ac:dyDescent="0.3">
      <c r="A2984" s="16" t="s">
        <v>147</v>
      </c>
      <c r="B2984" s="16" t="s">
        <v>188</v>
      </c>
      <c r="C2984" s="15">
        <v>8</v>
      </c>
      <c r="D2984" s="17">
        <v>7343582</v>
      </c>
      <c r="E2984" s="17">
        <v>10411291</v>
      </c>
      <c r="F2984" s="17">
        <v>3067709</v>
      </c>
      <c r="G2984" s="18">
        <v>1.4177401437064365</v>
      </c>
      <c r="H2984" s="10">
        <v>2025</v>
      </c>
    </row>
    <row r="2985" spans="1:8" hidden="1" x14ac:dyDescent="0.3">
      <c r="A2985" s="16" t="s">
        <v>147</v>
      </c>
      <c r="B2985" s="16" t="s">
        <v>188</v>
      </c>
      <c r="C2985" s="15">
        <v>10</v>
      </c>
      <c r="D2985" s="17">
        <v>0</v>
      </c>
      <c r="E2985" s="17">
        <v>259035</v>
      </c>
      <c r="F2985" s="17">
        <v>259035</v>
      </c>
      <c r="G2985" s="18">
        <v>0</v>
      </c>
      <c r="H2985" s="10">
        <v>2025</v>
      </c>
    </row>
    <row r="2986" spans="1:8" hidden="1" x14ac:dyDescent="0.3">
      <c r="A2986" s="16" t="s">
        <v>147</v>
      </c>
      <c r="B2986" s="16" t="s">
        <v>189</v>
      </c>
      <c r="C2986" s="15">
        <v>1</v>
      </c>
      <c r="D2986" s="17">
        <v>3900446</v>
      </c>
      <c r="E2986" s="17">
        <v>4128658</v>
      </c>
      <c r="F2986" s="17">
        <v>228212</v>
      </c>
      <c r="G2986" s="18">
        <v>1.058509206383065</v>
      </c>
      <c r="H2986" s="10">
        <v>2025</v>
      </c>
    </row>
    <row r="2987" spans="1:8" hidden="1" x14ac:dyDescent="0.3">
      <c r="A2987" s="16" t="s">
        <v>147</v>
      </c>
      <c r="B2987" s="16" t="s">
        <v>189</v>
      </c>
      <c r="C2987" s="15">
        <v>2</v>
      </c>
      <c r="D2987" s="17">
        <v>3900446</v>
      </c>
      <c r="E2987" s="17">
        <v>3449256</v>
      </c>
      <c r="F2987" s="17">
        <v>-451190</v>
      </c>
      <c r="G2987" s="18">
        <v>0.88432348505786262</v>
      </c>
      <c r="H2987" s="10">
        <v>2025</v>
      </c>
    </row>
    <row r="2988" spans="1:8" hidden="1" x14ac:dyDescent="0.3">
      <c r="A2988" s="16" t="s">
        <v>147</v>
      </c>
      <c r="B2988" s="16" t="s">
        <v>189</v>
      </c>
      <c r="C2988" s="15">
        <v>3</v>
      </c>
      <c r="D2988" s="17">
        <v>3900446</v>
      </c>
      <c r="E2988" s="17">
        <v>6101321</v>
      </c>
      <c r="F2988" s="17">
        <v>2200875</v>
      </c>
      <c r="G2988" s="18">
        <v>1.5642623946082064</v>
      </c>
      <c r="H2988" s="10">
        <v>2025</v>
      </c>
    </row>
    <row r="2989" spans="1:8" hidden="1" x14ac:dyDescent="0.3">
      <c r="A2989" s="16" t="s">
        <v>147</v>
      </c>
      <c r="B2989" s="16" t="s">
        <v>189</v>
      </c>
      <c r="C2989" s="15">
        <v>4</v>
      </c>
      <c r="D2989" s="17">
        <v>3900446</v>
      </c>
      <c r="E2989" s="17">
        <v>4273495</v>
      </c>
      <c r="F2989" s="17">
        <v>373049</v>
      </c>
      <c r="G2989" s="18">
        <v>1.0956426521479852</v>
      </c>
      <c r="H2989" s="10">
        <v>2025</v>
      </c>
    </row>
    <row r="2990" spans="1:8" hidden="1" x14ac:dyDescent="0.3">
      <c r="A2990" s="16" t="s">
        <v>147</v>
      </c>
      <c r="B2990" s="16" t="s">
        <v>189</v>
      </c>
      <c r="C2990" s="15">
        <v>5</v>
      </c>
      <c r="D2990" s="17">
        <v>3900446</v>
      </c>
      <c r="E2990" s="17">
        <v>5090089</v>
      </c>
      <c r="F2990" s="17">
        <v>1189643</v>
      </c>
      <c r="G2990" s="18">
        <v>1.3050017869751307</v>
      </c>
      <c r="H2990" s="10">
        <v>2025</v>
      </c>
    </row>
    <row r="2991" spans="1:8" hidden="1" x14ac:dyDescent="0.3">
      <c r="A2991" s="16" t="s">
        <v>147</v>
      </c>
      <c r="B2991" s="16" t="s">
        <v>189</v>
      </c>
      <c r="C2991" s="15">
        <v>6</v>
      </c>
      <c r="D2991" s="17">
        <v>3900446</v>
      </c>
      <c r="E2991" s="17">
        <v>4546260</v>
      </c>
      <c r="F2991" s="17">
        <v>645814</v>
      </c>
      <c r="G2991" s="18">
        <v>1.1655743984149505</v>
      </c>
      <c r="H2991" s="10">
        <v>2025</v>
      </c>
    </row>
    <row r="2992" spans="1:8" hidden="1" x14ac:dyDescent="0.3">
      <c r="A2992" s="16" t="s">
        <v>147</v>
      </c>
      <c r="B2992" s="16" t="s">
        <v>189</v>
      </c>
      <c r="C2992" s="15">
        <v>7</v>
      </c>
      <c r="D2992" s="17">
        <v>3900446</v>
      </c>
      <c r="E2992" s="17">
        <v>4450069</v>
      </c>
      <c r="F2992" s="17">
        <v>549623</v>
      </c>
      <c r="G2992" s="18">
        <v>1.140912859708864</v>
      </c>
      <c r="H2992" s="10">
        <v>2025</v>
      </c>
    </row>
    <row r="2993" spans="1:8" hidden="1" x14ac:dyDescent="0.3">
      <c r="A2993" s="16" t="s">
        <v>147</v>
      </c>
      <c r="B2993" s="16" t="s">
        <v>189</v>
      </c>
      <c r="C2993" s="15">
        <v>8</v>
      </c>
      <c r="D2993" s="17">
        <v>3900446</v>
      </c>
      <c r="E2993" s="17">
        <v>4352112</v>
      </c>
      <c r="F2993" s="17">
        <v>451666</v>
      </c>
      <c r="G2993" s="18">
        <v>1.1157985522681253</v>
      </c>
      <c r="H2993" s="10">
        <v>2025</v>
      </c>
    </row>
    <row r="2994" spans="1:8" hidden="1" x14ac:dyDescent="0.3">
      <c r="A2994" s="16" t="s">
        <v>147</v>
      </c>
      <c r="B2994" s="16" t="s">
        <v>189</v>
      </c>
      <c r="C2994" s="15">
        <v>9</v>
      </c>
      <c r="D2994" s="17">
        <v>3900446</v>
      </c>
      <c r="E2994" s="17">
        <v>5085672</v>
      </c>
      <c r="F2994" s="17">
        <v>1185226</v>
      </c>
      <c r="G2994" s="18">
        <v>1.3038693523766256</v>
      </c>
      <c r="H2994" s="10">
        <v>2025</v>
      </c>
    </row>
    <row r="2995" spans="1:8" hidden="1" x14ac:dyDescent="0.3">
      <c r="A2995" s="16" t="s">
        <v>147</v>
      </c>
      <c r="B2995" s="16" t="s">
        <v>189</v>
      </c>
      <c r="C2995" s="15">
        <v>10</v>
      </c>
      <c r="D2995" s="17">
        <v>3900446</v>
      </c>
      <c r="E2995" s="17">
        <v>4210640</v>
      </c>
      <c r="F2995" s="17">
        <v>310194</v>
      </c>
      <c r="G2995" s="18">
        <v>1.0795278283560392</v>
      </c>
      <c r="H2995" s="10">
        <v>2025</v>
      </c>
    </row>
    <row r="2996" spans="1:8" hidden="1" x14ac:dyDescent="0.3">
      <c r="A2996" s="16" t="s">
        <v>147</v>
      </c>
      <c r="B2996" s="16" t="s">
        <v>192</v>
      </c>
      <c r="C2996" s="15">
        <v>1</v>
      </c>
      <c r="D2996" s="17">
        <v>1324335</v>
      </c>
      <c r="E2996" s="17">
        <v>1208900</v>
      </c>
      <c r="F2996" s="17">
        <v>-115435</v>
      </c>
      <c r="G2996" s="18">
        <v>0.9128354985709809</v>
      </c>
      <c r="H2996" s="10">
        <v>2025</v>
      </c>
    </row>
    <row r="2997" spans="1:8" hidden="1" x14ac:dyDescent="0.3">
      <c r="A2997" s="16" t="s">
        <v>147</v>
      </c>
      <c r="B2997" s="16" t="s">
        <v>192</v>
      </c>
      <c r="C2997" s="15">
        <v>2</v>
      </c>
      <c r="D2997" s="17">
        <v>1442810</v>
      </c>
      <c r="E2997" s="17">
        <v>1342400</v>
      </c>
      <c r="F2997" s="17">
        <v>-100410</v>
      </c>
      <c r="G2997" s="18">
        <v>0.93040663704853732</v>
      </c>
      <c r="H2997" s="10">
        <v>2025</v>
      </c>
    </row>
    <row r="2998" spans="1:8" hidden="1" x14ac:dyDescent="0.3">
      <c r="A2998" s="16" t="s">
        <v>147</v>
      </c>
      <c r="B2998" s="16" t="s">
        <v>192</v>
      </c>
      <c r="C2998" s="15">
        <v>3</v>
      </c>
      <c r="D2998" s="17">
        <v>1442810</v>
      </c>
      <c r="E2998" s="17">
        <v>1656700</v>
      </c>
      <c r="F2998" s="17">
        <v>213890</v>
      </c>
      <c r="G2998" s="18">
        <v>1.1482454377222227</v>
      </c>
      <c r="H2998" s="10">
        <v>2025</v>
      </c>
    </row>
    <row r="2999" spans="1:8" hidden="1" x14ac:dyDescent="0.3">
      <c r="A2999" s="16" t="s">
        <v>147</v>
      </c>
      <c r="B2999" s="16" t="s">
        <v>192</v>
      </c>
      <c r="C2999" s="15">
        <v>4</v>
      </c>
      <c r="D2999" s="17">
        <v>1442810</v>
      </c>
      <c r="E2999" s="17">
        <v>1403000</v>
      </c>
      <c r="F2999" s="17">
        <v>-39810</v>
      </c>
      <c r="G2999" s="18">
        <v>0.97240800937060323</v>
      </c>
      <c r="H2999" s="10">
        <v>2025</v>
      </c>
    </row>
    <row r="3000" spans="1:8" hidden="1" x14ac:dyDescent="0.3">
      <c r="A3000" s="16" t="s">
        <v>147</v>
      </c>
      <c r="B3000" s="16" t="s">
        <v>192</v>
      </c>
      <c r="C3000" s="15">
        <v>5</v>
      </c>
      <c r="D3000" s="17">
        <v>1442810</v>
      </c>
      <c r="E3000" s="17">
        <v>1386400</v>
      </c>
      <c r="F3000" s="17">
        <v>-56410</v>
      </c>
      <c r="G3000" s="18">
        <v>0.96090268295894821</v>
      </c>
      <c r="H3000" s="10">
        <v>2025</v>
      </c>
    </row>
    <row r="3001" spans="1:8" hidden="1" x14ac:dyDescent="0.3">
      <c r="A3001" s="16" t="s">
        <v>147</v>
      </c>
      <c r="B3001" s="16" t="s">
        <v>192</v>
      </c>
      <c r="C3001" s="15">
        <v>6</v>
      </c>
      <c r="D3001" s="17">
        <v>1442810</v>
      </c>
      <c r="E3001" s="17">
        <v>1430500</v>
      </c>
      <c r="F3001" s="17">
        <v>-12310</v>
      </c>
      <c r="G3001" s="18">
        <v>0.99146803806461004</v>
      </c>
      <c r="H3001" s="10">
        <v>2025</v>
      </c>
    </row>
    <row r="3002" spans="1:8" hidden="1" x14ac:dyDescent="0.3">
      <c r="A3002" s="16" t="s">
        <v>147</v>
      </c>
      <c r="B3002" s="16" t="s">
        <v>192</v>
      </c>
      <c r="C3002" s="15">
        <v>7</v>
      </c>
      <c r="D3002" s="17">
        <v>1442810</v>
      </c>
      <c r="E3002" s="17">
        <v>1457700</v>
      </c>
      <c r="F3002" s="17">
        <v>14890</v>
      </c>
      <c r="G3002" s="18">
        <v>1.010320139172864</v>
      </c>
      <c r="H3002" s="10">
        <v>2025</v>
      </c>
    </row>
    <row r="3003" spans="1:8" hidden="1" x14ac:dyDescent="0.3">
      <c r="A3003" s="16" t="s">
        <v>147</v>
      </c>
      <c r="B3003" s="16" t="s">
        <v>192</v>
      </c>
      <c r="C3003" s="15">
        <v>8</v>
      </c>
      <c r="D3003" s="17">
        <v>1442810</v>
      </c>
      <c r="E3003" s="17">
        <v>1405500</v>
      </c>
      <c r="F3003" s="17">
        <v>-37310</v>
      </c>
      <c r="G3003" s="18">
        <v>0.97414073925187661</v>
      </c>
      <c r="H3003" s="10">
        <v>2025</v>
      </c>
    </row>
    <row r="3004" spans="1:8" hidden="1" x14ac:dyDescent="0.3">
      <c r="A3004" s="16" t="s">
        <v>147</v>
      </c>
      <c r="B3004" s="16" t="s">
        <v>192</v>
      </c>
      <c r="C3004" s="15">
        <v>9</v>
      </c>
      <c r="D3004" s="17">
        <v>1442810</v>
      </c>
      <c r="E3004" s="17">
        <v>1479100</v>
      </c>
      <c r="F3004" s="17">
        <v>36290</v>
      </c>
      <c r="G3004" s="18">
        <v>1.025152306956564</v>
      </c>
      <c r="H3004" s="10">
        <v>2025</v>
      </c>
    </row>
    <row r="3005" spans="1:8" hidden="1" x14ac:dyDescent="0.3">
      <c r="A3005" s="16" t="s">
        <v>147</v>
      </c>
      <c r="B3005" s="16" t="s">
        <v>192</v>
      </c>
      <c r="C3005" s="15">
        <v>10</v>
      </c>
      <c r="D3005" s="17">
        <v>1442810</v>
      </c>
      <c r="E3005" s="17">
        <v>1594000</v>
      </c>
      <c r="F3005" s="17">
        <v>151190</v>
      </c>
      <c r="G3005" s="18">
        <v>1.1047885722998871</v>
      </c>
      <c r="H3005" s="10">
        <v>2025</v>
      </c>
    </row>
    <row r="3006" spans="1:8" hidden="1" x14ac:dyDescent="0.3">
      <c r="A3006" s="16" t="s">
        <v>147</v>
      </c>
      <c r="B3006" s="16" t="s">
        <v>193</v>
      </c>
      <c r="C3006" s="15">
        <v>1</v>
      </c>
      <c r="D3006" s="17">
        <v>0</v>
      </c>
      <c r="E3006" s="17">
        <v>46028</v>
      </c>
      <c r="F3006" s="17">
        <v>46028</v>
      </c>
      <c r="G3006" s="18">
        <v>0</v>
      </c>
      <c r="H3006" s="10">
        <v>2025</v>
      </c>
    </row>
    <row r="3007" spans="1:8" hidden="1" x14ac:dyDescent="0.3">
      <c r="A3007" s="16" t="s">
        <v>147</v>
      </c>
      <c r="B3007" s="16" t="s">
        <v>193</v>
      </c>
      <c r="C3007" s="15">
        <v>2</v>
      </c>
      <c r="D3007" s="17">
        <v>0</v>
      </c>
      <c r="E3007" s="17">
        <v>-10038</v>
      </c>
      <c r="F3007" s="17">
        <v>-10038</v>
      </c>
      <c r="G3007" s="18">
        <v>0</v>
      </c>
      <c r="H3007" s="10">
        <v>2025</v>
      </c>
    </row>
    <row r="3008" spans="1:8" hidden="1" x14ac:dyDescent="0.3">
      <c r="A3008" s="16" t="s">
        <v>147</v>
      </c>
      <c r="B3008" s="16" t="s">
        <v>193</v>
      </c>
      <c r="C3008" s="15">
        <v>3</v>
      </c>
      <c r="D3008" s="17">
        <v>0</v>
      </c>
      <c r="E3008" s="17">
        <v>78716</v>
      </c>
      <c r="F3008" s="17">
        <v>78716</v>
      </c>
      <c r="G3008" s="18">
        <v>0</v>
      </c>
      <c r="H3008" s="10">
        <v>2025</v>
      </c>
    </row>
    <row r="3009" spans="1:8" hidden="1" x14ac:dyDescent="0.3">
      <c r="A3009" s="16" t="s">
        <v>147</v>
      </c>
      <c r="B3009" s="16" t="s">
        <v>193</v>
      </c>
      <c r="C3009" s="15">
        <v>4</v>
      </c>
      <c r="D3009" s="17">
        <v>0</v>
      </c>
      <c r="E3009" s="17">
        <v>-60405</v>
      </c>
      <c r="F3009" s="17">
        <v>-60405</v>
      </c>
      <c r="G3009" s="18">
        <v>0</v>
      </c>
      <c r="H3009" s="10">
        <v>2025</v>
      </c>
    </row>
    <row r="3010" spans="1:8" hidden="1" x14ac:dyDescent="0.3">
      <c r="A3010" s="16" t="s">
        <v>147</v>
      </c>
      <c r="B3010" s="16" t="s">
        <v>193</v>
      </c>
      <c r="C3010" s="15">
        <v>5</v>
      </c>
      <c r="D3010" s="17">
        <v>0</v>
      </c>
      <c r="E3010" s="17">
        <v>117430</v>
      </c>
      <c r="F3010" s="17">
        <v>117430</v>
      </c>
      <c r="G3010" s="18">
        <v>0</v>
      </c>
      <c r="H3010" s="10">
        <v>2025</v>
      </c>
    </row>
    <row r="3011" spans="1:8" hidden="1" x14ac:dyDescent="0.3">
      <c r="A3011" s="16" t="s">
        <v>147</v>
      </c>
      <c r="B3011" s="16" t="s">
        <v>193</v>
      </c>
      <c r="C3011" s="15">
        <v>6</v>
      </c>
      <c r="D3011" s="17">
        <v>0</v>
      </c>
      <c r="E3011" s="17">
        <v>-83560</v>
      </c>
      <c r="F3011" s="17">
        <v>-83560</v>
      </c>
      <c r="G3011" s="18">
        <v>0</v>
      </c>
      <c r="H3011" s="10">
        <v>2025</v>
      </c>
    </row>
    <row r="3012" spans="1:8" hidden="1" x14ac:dyDescent="0.3">
      <c r="A3012" s="16" t="s">
        <v>147</v>
      </c>
      <c r="B3012" s="16" t="s">
        <v>193</v>
      </c>
      <c r="C3012" s="15">
        <v>7</v>
      </c>
      <c r="D3012" s="17">
        <v>0</v>
      </c>
      <c r="E3012" s="17">
        <v>87377</v>
      </c>
      <c r="F3012" s="17">
        <v>87377</v>
      </c>
      <c r="G3012" s="18">
        <v>0</v>
      </c>
      <c r="H3012" s="10">
        <v>2025</v>
      </c>
    </row>
    <row r="3013" spans="1:8" hidden="1" x14ac:dyDescent="0.3">
      <c r="A3013" s="16" t="s">
        <v>147</v>
      </c>
      <c r="B3013" s="16" t="s">
        <v>193</v>
      </c>
      <c r="C3013" s="15">
        <v>8</v>
      </c>
      <c r="D3013" s="17">
        <v>0</v>
      </c>
      <c r="E3013" s="17">
        <v>64701</v>
      </c>
      <c r="F3013" s="17">
        <v>64701</v>
      </c>
      <c r="G3013" s="18">
        <v>0</v>
      </c>
      <c r="H3013" s="10">
        <v>2025</v>
      </c>
    </row>
    <row r="3014" spans="1:8" hidden="1" x14ac:dyDescent="0.3">
      <c r="A3014" s="16" t="s">
        <v>147</v>
      </c>
      <c r="B3014" s="16" t="s">
        <v>193</v>
      </c>
      <c r="C3014" s="15">
        <v>9</v>
      </c>
      <c r="D3014" s="17">
        <v>0</v>
      </c>
      <c r="E3014" s="17">
        <v>26600</v>
      </c>
      <c r="F3014" s="17">
        <v>26600</v>
      </c>
      <c r="G3014" s="18">
        <v>0</v>
      </c>
      <c r="H3014" s="10">
        <v>2025</v>
      </c>
    </row>
    <row r="3015" spans="1:8" hidden="1" x14ac:dyDescent="0.3">
      <c r="A3015" s="16" t="s">
        <v>147</v>
      </c>
      <c r="B3015" s="16" t="s">
        <v>194</v>
      </c>
      <c r="C3015" s="15">
        <v>1</v>
      </c>
      <c r="D3015" s="17">
        <v>6486539</v>
      </c>
      <c r="E3015" s="17">
        <v>6102418</v>
      </c>
      <c r="F3015" s="17">
        <v>-384121</v>
      </c>
      <c r="G3015" s="18">
        <v>0.94078182525380638</v>
      </c>
      <c r="H3015" s="10">
        <v>2025</v>
      </c>
    </row>
    <row r="3016" spans="1:8" hidden="1" x14ac:dyDescent="0.3">
      <c r="A3016" s="16" t="s">
        <v>147</v>
      </c>
      <c r="B3016" s="16" t="s">
        <v>194</v>
      </c>
      <c r="C3016" s="15">
        <v>2</v>
      </c>
      <c r="D3016" s="17">
        <v>7066827</v>
      </c>
      <c r="E3016" s="17">
        <v>6773749</v>
      </c>
      <c r="F3016" s="17">
        <v>-293078</v>
      </c>
      <c r="G3016" s="18">
        <v>0.95852763906630234</v>
      </c>
      <c r="H3016" s="10">
        <v>2025</v>
      </c>
    </row>
    <row r="3017" spans="1:8" hidden="1" x14ac:dyDescent="0.3">
      <c r="A3017" s="16" t="s">
        <v>147</v>
      </c>
      <c r="B3017" s="16" t="s">
        <v>194</v>
      </c>
      <c r="C3017" s="15">
        <v>3</v>
      </c>
      <c r="D3017" s="17">
        <v>7066827</v>
      </c>
      <c r="E3017" s="17">
        <v>8208970</v>
      </c>
      <c r="F3017" s="17">
        <v>1142143</v>
      </c>
      <c r="G3017" s="18">
        <v>1.1616203424818523</v>
      </c>
      <c r="H3017" s="10">
        <v>2025</v>
      </c>
    </row>
    <row r="3018" spans="1:8" hidden="1" x14ac:dyDescent="0.3">
      <c r="A3018" s="16" t="s">
        <v>147</v>
      </c>
      <c r="B3018" s="16" t="s">
        <v>194</v>
      </c>
      <c r="C3018" s="15">
        <v>4</v>
      </c>
      <c r="D3018" s="17">
        <v>7066827</v>
      </c>
      <c r="E3018" s="17">
        <v>7175878</v>
      </c>
      <c r="F3018" s="17">
        <v>109051</v>
      </c>
      <c r="G3018" s="18">
        <v>1.0154313951650438</v>
      </c>
      <c r="H3018" s="10">
        <v>2025</v>
      </c>
    </row>
    <row r="3019" spans="1:8" hidden="1" x14ac:dyDescent="0.3">
      <c r="A3019" s="16" t="s">
        <v>147</v>
      </c>
      <c r="B3019" s="16" t="s">
        <v>194</v>
      </c>
      <c r="C3019" s="15">
        <v>5</v>
      </c>
      <c r="D3019" s="17">
        <v>7066827</v>
      </c>
      <c r="E3019" s="17">
        <v>7185200</v>
      </c>
      <c r="F3019" s="17">
        <v>118373</v>
      </c>
      <c r="G3019" s="18">
        <v>1.0167505161793264</v>
      </c>
      <c r="H3019" s="10">
        <v>2025</v>
      </c>
    </row>
    <row r="3020" spans="1:8" hidden="1" x14ac:dyDescent="0.3">
      <c r="A3020" s="16" t="s">
        <v>147</v>
      </c>
      <c r="B3020" s="16" t="s">
        <v>194</v>
      </c>
      <c r="C3020" s="15">
        <v>6</v>
      </c>
      <c r="D3020" s="17">
        <v>7066827</v>
      </c>
      <c r="E3020" s="17">
        <v>7148792</v>
      </c>
      <c r="F3020" s="17">
        <v>81965</v>
      </c>
      <c r="G3020" s="18">
        <v>1.011598557598764</v>
      </c>
      <c r="H3020" s="10">
        <v>2025</v>
      </c>
    </row>
    <row r="3021" spans="1:8" hidden="1" x14ac:dyDescent="0.3">
      <c r="A3021" s="16" t="s">
        <v>147</v>
      </c>
      <c r="B3021" s="16" t="s">
        <v>194</v>
      </c>
      <c r="C3021" s="15">
        <v>7</v>
      </c>
      <c r="D3021" s="17">
        <v>7066827</v>
      </c>
      <c r="E3021" s="17">
        <v>7359941</v>
      </c>
      <c r="F3021" s="17">
        <v>293114</v>
      </c>
      <c r="G3021" s="18">
        <v>1.0414774551577393</v>
      </c>
      <c r="H3021" s="10">
        <v>2025</v>
      </c>
    </row>
    <row r="3022" spans="1:8" hidden="1" x14ac:dyDescent="0.3">
      <c r="A3022" s="16" t="s">
        <v>147</v>
      </c>
      <c r="B3022" s="16" t="s">
        <v>194</v>
      </c>
      <c r="C3022" s="15">
        <v>8</v>
      </c>
      <c r="D3022" s="17">
        <v>7066827</v>
      </c>
      <c r="E3022" s="17">
        <v>7187137</v>
      </c>
      <c r="F3022" s="17">
        <v>120310</v>
      </c>
      <c r="G3022" s="18">
        <v>1.0170246137339998</v>
      </c>
      <c r="H3022" s="10">
        <v>2025</v>
      </c>
    </row>
    <row r="3023" spans="1:8" hidden="1" x14ac:dyDescent="0.3">
      <c r="A3023" s="16" t="s">
        <v>147</v>
      </c>
      <c r="B3023" s="16" t="s">
        <v>194</v>
      </c>
      <c r="C3023" s="15">
        <v>9</v>
      </c>
      <c r="D3023" s="17">
        <v>7066827</v>
      </c>
      <c r="E3023" s="17">
        <v>7161600</v>
      </c>
      <c r="F3023" s="17">
        <v>94773</v>
      </c>
      <c r="G3023" s="18">
        <v>1.0134109693077247</v>
      </c>
      <c r="H3023" s="10">
        <v>2025</v>
      </c>
    </row>
    <row r="3024" spans="1:8" hidden="1" x14ac:dyDescent="0.3">
      <c r="A3024" s="16" t="s">
        <v>147</v>
      </c>
      <c r="B3024" s="16" t="s">
        <v>194</v>
      </c>
      <c r="C3024" s="15">
        <v>10</v>
      </c>
      <c r="D3024" s="17">
        <v>7066827</v>
      </c>
      <c r="E3024" s="17">
        <v>7706400</v>
      </c>
      <c r="F3024" s="17">
        <v>639573</v>
      </c>
      <c r="G3024" s="18">
        <v>1.0905035598013084</v>
      </c>
      <c r="H3024" s="10">
        <v>2025</v>
      </c>
    </row>
    <row r="3025" spans="1:8" hidden="1" x14ac:dyDescent="0.3">
      <c r="A3025" s="16" t="s">
        <v>147</v>
      </c>
      <c r="B3025" s="16" t="s">
        <v>195</v>
      </c>
      <c r="C3025" s="15">
        <v>1</v>
      </c>
      <c r="D3025" s="17">
        <v>2162179</v>
      </c>
      <c r="E3025" s="17">
        <v>2055400</v>
      </c>
      <c r="F3025" s="17">
        <v>-106779</v>
      </c>
      <c r="G3025" s="18">
        <v>0.95061509708493153</v>
      </c>
      <c r="H3025" s="10">
        <v>2025</v>
      </c>
    </row>
    <row r="3026" spans="1:8" hidden="1" x14ac:dyDescent="0.3">
      <c r="A3026" s="16" t="s">
        <v>147</v>
      </c>
      <c r="B3026" s="16" t="s">
        <v>195</v>
      </c>
      <c r="C3026" s="15">
        <v>2</v>
      </c>
      <c r="D3026" s="17">
        <v>2355609</v>
      </c>
      <c r="E3026" s="17">
        <v>2312000</v>
      </c>
      <c r="F3026" s="17">
        <v>-43609</v>
      </c>
      <c r="G3026" s="18">
        <v>0.98148716531478697</v>
      </c>
      <c r="H3026" s="10">
        <v>2025</v>
      </c>
    </row>
    <row r="3027" spans="1:8" hidden="1" x14ac:dyDescent="0.3">
      <c r="A3027" s="16" t="s">
        <v>147</v>
      </c>
      <c r="B3027" s="16" t="s">
        <v>195</v>
      </c>
      <c r="C3027" s="15">
        <v>3</v>
      </c>
      <c r="D3027" s="17">
        <v>2355609</v>
      </c>
      <c r="E3027" s="17">
        <v>2764400</v>
      </c>
      <c r="F3027" s="17">
        <v>408791</v>
      </c>
      <c r="G3027" s="18">
        <v>1.1735394116765558</v>
      </c>
      <c r="H3027" s="10">
        <v>2025</v>
      </c>
    </row>
    <row r="3028" spans="1:8" hidden="1" x14ac:dyDescent="0.3">
      <c r="A3028" s="16" t="s">
        <v>147</v>
      </c>
      <c r="B3028" s="16" t="s">
        <v>195</v>
      </c>
      <c r="C3028" s="15">
        <v>4</v>
      </c>
      <c r="D3028" s="17">
        <v>2355609</v>
      </c>
      <c r="E3028" s="17">
        <v>2461500</v>
      </c>
      <c r="F3028" s="17">
        <v>105891</v>
      </c>
      <c r="G3028" s="18">
        <v>1.0449527064975555</v>
      </c>
      <c r="H3028" s="10">
        <v>2025</v>
      </c>
    </row>
    <row r="3029" spans="1:8" hidden="1" x14ac:dyDescent="0.3">
      <c r="A3029" s="16" t="s">
        <v>147</v>
      </c>
      <c r="B3029" s="16" t="s">
        <v>195</v>
      </c>
      <c r="C3029" s="15">
        <v>5</v>
      </c>
      <c r="D3029" s="17">
        <v>2355609</v>
      </c>
      <c r="E3029" s="17">
        <v>2391800</v>
      </c>
      <c r="F3029" s="17">
        <v>36191</v>
      </c>
      <c r="G3029" s="18">
        <v>1.0153637551902714</v>
      </c>
      <c r="H3029" s="10">
        <v>2025</v>
      </c>
    </row>
    <row r="3030" spans="1:8" hidden="1" x14ac:dyDescent="0.3">
      <c r="A3030" s="16" t="s">
        <v>147</v>
      </c>
      <c r="B3030" s="16" t="s">
        <v>195</v>
      </c>
      <c r="C3030" s="15">
        <v>6</v>
      </c>
      <c r="D3030" s="17">
        <v>2355609</v>
      </c>
      <c r="E3030" s="17">
        <v>2498400</v>
      </c>
      <c r="F3030" s="17">
        <v>142791</v>
      </c>
      <c r="G3030" s="18">
        <v>1.0606174454249411</v>
      </c>
      <c r="H3030" s="10">
        <v>2025</v>
      </c>
    </row>
    <row r="3031" spans="1:8" hidden="1" x14ac:dyDescent="0.3">
      <c r="A3031" s="16" t="s">
        <v>147</v>
      </c>
      <c r="B3031" s="16" t="s">
        <v>195</v>
      </c>
      <c r="C3031" s="15">
        <v>7</v>
      </c>
      <c r="D3031" s="17">
        <v>2355609</v>
      </c>
      <c r="E3031" s="17">
        <v>2478200</v>
      </c>
      <c r="F3031" s="17">
        <v>122591</v>
      </c>
      <c r="G3031" s="18">
        <v>1.0520421682885404</v>
      </c>
      <c r="H3031" s="10">
        <v>2025</v>
      </c>
    </row>
    <row r="3032" spans="1:8" hidden="1" x14ac:dyDescent="0.3">
      <c r="A3032" s="16" t="s">
        <v>147</v>
      </c>
      <c r="B3032" s="16" t="s">
        <v>195</v>
      </c>
      <c r="C3032" s="15">
        <v>8</v>
      </c>
      <c r="D3032" s="17">
        <v>2355609</v>
      </c>
      <c r="E3032" s="17">
        <v>2415900</v>
      </c>
      <c r="F3032" s="17">
        <v>60291</v>
      </c>
      <c r="G3032" s="18">
        <v>1.0255946551401358</v>
      </c>
      <c r="H3032" s="10">
        <v>2025</v>
      </c>
    </row>
    <row r="3033" spans="1:8" hidden="1" x14ac:dyDescent="0.3">
      <c r="A3033" s="16" t="s">
        <v>147</v>
      </c>
      <c r="B3033" s="16" t="s">
        <v>195</v>
      </c>
      <c r="C3033" s="15">
        <v>9</v>
      </c>
      <c r="D3033" s="17">
        <v>2355609</v>
      </c>
      <c r="E3033" s="17">
        <v>2425100</v>
      </c>
      <c r="F3033" s="17">
        <v>69491</v>
      </c>
      <c r="G3033" s="18">
        <v>1.0295002269052291</v>
      </c>
      <c r="H3033" s="10">
        <v>2025</v>
      </c>
    </row>
    <row r="3034" spans="1:8" hidden="1" x14ac:dyDescent="0.3">
      <c r="A3034" s="16" t="s">
        <v>147</v>
      </c>
      <c r="B3034" s="16" t="s">
        <v>195</v>
      </c>
      <c r="C3034" s="15">
        <v>10</v>
      </c>
      <c r="D3034" s="17">
        <v>2355609</v>
      </c>
      <c r="E3034" s="17">
        <v>2620200</v>
      </c>
      <c r="F3034" s="17">
        <v>264591</v>
      </c>
      <c r="G3034" s="18">
        <v>1.1123238194454173</v>
      </c>
      <c r="H3034" s="10">
        <v>2025</v>
      </c>
    </row>
    <row r="3035" spans="1:8" hidden="1" x14ac:dyDescent="0.3">
      <c r="A3035" s="16" t="s">
        <v>147</v>
      </c>
      <c r="B3035" s="16" t="s">
        <v>198</v>
      </c>
      <c r="C3035" s="15">
        <v>1</v>
      </c>
      <c r="D3035" s="17">
        <v>32167</v>
      </c>
      <c r="E3035" s="17">
        <v>0</v>
      </c>
      <c r="F3035" s="17">
        <v>-32167</v>
      </c>
      <c r="G3035" s="18">
        <v>0</v>
      </c>
      <c r="H3035" s="10">
        <v>2025</v>
      </c>
    </row>
    <row r="3036" spans="1:8" hidden="1" x14ac:dyDescent="0.3">
      <c r="A3036" s="16" t="s">
        <v>147</v>
      </c>
      <c r="B3036" s="16" t="s">
        <v>198</v>
      </c>
      <c r="C3036" s="15">
        <v>2</v>
      </c>
      <c r="D3036" s="17">
        <v>32167</v>
      </c>
      <c r="E3036" s="17">
        <v>0</v>
      </c>
      <c r="F3036" s="17">
        <v>-32167</v>
      </c>
      <c r="G3036" s="18">
        <v>0</v>
      </c>
      <c r="H3036" s="10">
        <v>2025</v>
      </c>
    </row>
    <row r="3037" spans="1:8" hidden="1" x14ac:dyDescent="0.3">
      <c r="A3037" s="16" t="s">
        <v>147</v>
      </c>
      <c r="B3037" s="16" t="s">
        <v>198</v>
      </c>
      <c r="C3037" s="15">
        <v>3</v>
      </c>
      <c r="D3037" s="17">
        <v>32167</v>
      </c>
      <c r="E3037" s="17">
        <v>0</v>
      </c>
      <c r="F3037" s="17">
        <v>-32167</v>
      </c>
      <c r="G3037" s="18">
        <v>0</v>
      </c>
      <c r="H3037" s="10">
        <v>2025</v>
      </c>
    </row>
    <row r="3038" spans="1:8" hidden="1" x14ac:dyDescent="0.3">
      <c r="A3038" s="16" t="s">
        <v>147</v>
      </c>
      <c r="B3038" s="16" t="s">
        <v>198</v>
      </c>
      <c r="C3038" s="15">
        <v>4</v>
      </c>
      <c r="D3038" s="17">
        <v>32167</v>
      </c>
      <c r="E3038" s="17">
        <v>0</v>
      </c>
      <c r="F3038" s="17">
        <v>-32167</v>
      </c>
      <c r="G3038" s="18">
        <v>0</v>
      </c>
      <c r="H3038" s="10">
        <v>2025</v>
      </c>
    </row>
    <row r="3039" spans="1:8" hidden="1" x14ac:dyDescent="0.3">
      <c r="A3039" s="16" t="s">
        <v>147</v>
      </c>
      <c r="B3039" s="16" t="s">
        <v>198</v>
      </c>
      <c r="C3039" s="15">
        <v>5</v>
      </c>
      <c r="D3039" s="17">
        <v>32167</v>
      </c>
      <c r="E3039" s="17">
        <v>0</v>
      </c>
      <c r="F3039" s="17">
        <v>-32167</v>
      </c>
      <c r="G3039" s="18">
        <v>0</v>
      </c>
      <c r="H3039" s="10">
        <v>2025</v>
      </c>
    </row>
    <row r="3040" spans="1:8" hidden="1" x14ac:dyDescent="0.3">
      <c r="A3040" s="16" t="s">
        <v>147</v>
      </c>
      <c r="B3040" s="16" t="s">
        <v>198</v>
      </c>
      <c r="C3040" s="15">
        <v>6</v>
      </c>
      <c r="D3040" s="17">
        <v>32167</v>
      </c>
      <c r="E3040" s="17">
        <v>0</v>
      </c>
      <c r="F3040" s="17">
        <v>-32167</v>
      </c>
      <c r="G3040" s="18">
        <v>0</v>
      </c>
      <c r="H3040" s="10">
        <v>2025</v>
      </c>
    </row>
    <row r="3041" spans="1:8" hidden="1" x14ac:dyDescent="0.3">
      <c r="A3041" s="16" t="s">
        <v>147</v>
      </c>
      <c r="B3041" s="16" t="s">
        <v>198</v>
      </c>
      <c r="C3041" s="15">
        <v>7</v>
      </c>
      <c r="D3041" s="17">
        <v>32167</v>
      </c>
      <c r="E3041" s="17">
        <v>0</v>
      </c>
      <c r="F3041" s="17">
        <v>-32167</v>
      </c>
      <c r="G3041" s="18">
        <v>0</v>
      </c>
      <c r="H3041" s="10">
        <v>2025</v>
      </c>
    </row>
    <row r="3042" spans="1:8" hidden="1" x14ac:dyDescent="0.3">
      <c r="A3042" s="16" t="s">
        <v>147</v>
      </c>
      <c r="B3042" s="16" t="s">
        <v>198</v>
      </c>
      <c r="C3042" s="15">
        <v>8</v>
      </c>
      <c r="D3042" s="17">
        <v>32167</v>
      </c>
      <c r="E3042" s="17">
        <v>0</v>
      </c>
      <c r="F3042" s="17">
        <v>-32167</v>
      </c>
      <c r="G3042" s="18">
        <v>0</v>
      </c>
      <c r="H3042" s="10">
        <v>2025</v>
      </c>
    </row>
    <row r="3043" spans="1:8" hidden="1" x14ac:dyDescent="0.3">
      <c r="A3043" s="16" t="s">
        <v>147</v>
      </c>
      <c r="B3043" s="16" t="s">
        <v>198</v>
      </c>
      <c r="C3043" s="15">
        <v>9</v>
      </c>
      <c r="D3043" s="17">
        <v>32167</v>
      </c>
      <c r="E3043" s="17">
        <v>0</v>
      </c>
      <c r="F3043" s="17">
        <v>-32167</v>
      </c>
      <c r="G3043" s="18">
        <v>0</v>
      </c>
      <c r="H3043" s="10">
        <v>2025</v>
      </c>
    </row>
    <row r="3044" spans="1:8" hidden="1" x14ac:dyDescent="0.3">
      <c r="A3044" s="16" t="s">
        <v>147</v>
      </c>
      <c r="B3044" s="16" t="s">
        <v>198</v>
      </c>
      <c r="C3044" s="15">
        <v>10</v>
      </c>
      <c r="D3044" s="17">
        <v>32167</v>
      </c>
      <c r="E3044" s="17">
        <v>0</v>
      </c>
      <c r="F3044" s="17">
        <v>-32167</v>
      </c>
      <c r="G3044" s="18">
        <v>0</v>
      </c>
      <c r="H3044" s="10">
        <v>2025</v>
      </c>
    </row>
    <row r="3045" spans="1:8" hidden="1" x14ac:dyDescent="0.3">
      <c r="A3045" s="16" t="s">
        <v>147</v>
      </c>
      <c r="B3045" s="16" t="s">
        <v>199</v>
      </c>
      <c r="C3045" s="15">
        <v>1</v>
      </c>
      <c r="D3045" s="17">
        <v>1047189</v>
      </c>
      <c r="E3045" s="17">
        <v>3785962</v>
      </c>
      <c r="F3045" s="17">
        <v>2738773</v>
      </c>
      <c r="G3045" s="18">
        <v>3.6153569221983806</v>
      </c>
      <c r="H3045" s="10">
        <v>2025</v>
      </c>
    </row>
    <row r="3046" spans="1:8" hidden="1" x14ac:dyDescent="0.3">
      <c r="A3046" s="16" t="s">
        <v>147</v>
      </c>
      <c r="B3046" s="16" t="s">
        <v>199</v>
      </c>
      <c r="C3046" s="15">
        <v>2</v>
      </c>
      <c r="D3046" s="17">
        <v>1047189</v>
      </c>
      <c r="E3046" s="17">
        <v>800320</v>
      </c>
      <c r="F3046" s="17">
        <v>-246869</v>
      </c>
      <c r="G3046" s="18">
        <v>0.76425554508307481</v>
      </c>
      <c r="H3046" s="10">
        <v>2025</v>
      </c>
    </row>
    <row r="3047" spans="1:8" hidden="1" x14ac:dyDescent="0.3">
      <c r="A3047" s="16" t="s">
        <v>147</v>
      </c>
      <c r="B3047" s="16" t="s">
        <v>199</v>
      </c>
      <c r="C3047" s="15">
        <v>3</v>
      </c>
      <c r="D3047" s="17">
        <v>1047189</v>
      </c>
      <c r="E3047" s="17">
        <v>801100</v>
      </c>
      <c r="F3047" s="17">
        <v>-246089</v>
      </c>
      <c r="G3047" s="18">
        <v>0.76500039629904437</v>
      </c>
      <c r="H3047" s="10">
        <v>2025</v>
      </c>
    </row>
    <row r="3048" spans="1:8" hidden="1" x14ac:dyDescent="0.3">
      <c r="A3048" s="16" t="s">
        <v>147</v>
      </c>
      <c r="B3048" s="16" t="s">
        <v>199</v>
      </c>
      <c r="C3048" s="15">
        <v>4</v>
      </c>
      <c r="D3048" s="17">
        <v>1047189</v>
      </c>
      <c r="E3048" s="17">
        <v>2485124</v>
      </c>
      <c r="F3048" s="17">
        <v>1437935</v>
      </c>
      <c r="G3048" s="18">
        <v>2.3731379913272583</v>
      </c>
      <c r="H3048" s="10">
        <v>2025</v>
      </c>
    </row>
    <row r="3049" spans="1:8" hidden="1" x14ac:dyDescent="0.3">
      <c r="A3049" s="16" t="s">
        <v>147</v>
      </c>
      <c r="B3049" s="16" t="s">
        <v>199</v>
      </c>
      <c r="C3049" s="15">
        <v>5</v>
      </c>
      <c r="D3049" s="17">
        <v>1047189</v>
      </c>
      <c r="E3049" s="17">
        <v>709600</v>
      </c>
      <c r="F3049" s="17">
        <v>-337589</v>
      </c>
      <c r="G3049" s="18">
        <v>0.67762361904107093</v>
      </c>
      <c r="H3049" s="10">
        <v>2025</v>
      </c>
    </row>
    <row r="3050" spans="1:8" hidden="1" x14ac:dyDescent="0.3">
      <c r="A3050" s="16" t="s">
        <v>147</v>
      </c>
      <c r="B3050" s="16" t="s">
        <v>199</v>
      </c>
      <c r="C3050" s="15">
        <v>6</v>
      </c>
      <c r="D3050" s="17">
        <v>1047189</v>
      </c>
      <c r="E3050" s="17">
        <v>325022</v>
      </c>
      <c r="F3050" s="17">
        <v>-722167</v>
      </c>
      <c r="G3050" s="18">
        <v>0.31037568194471105</v>
      </c>
      <c r="H3050" s="10">
        <v>2025</v>
      </c>
    </row>
    <row r="3051" spans="1:8" hidden="1" x14ac:dyDescent="0.3">
      <c r="A3051" s="16" t="s">
        <v>147</v>
      </c>
      <c r="B3051" s="16" t="s">
        <v>199</v>
      </c>
      <c r="C3051" s="15">
        <v>7</v>
      </c>
      <c r="D3051" s="17">
        <v>1047189</v>
      </c>
      <c r="E3051" s="17">
        <v>1223845</v>
      </c>
      <c r="F3051" s="17">
        <v>176656</v>
      </c>
      <c r="G3051" s="18">
        <v>1.1686954312927276</v>
      </c>
      <c r="H3051" s="10">
        <v>2025</v>
      </c>
    </row>
    <row r="3052" spans="1:8" hidden="1" x14ac:dyDescent="0.3">
      <c r="A3052" s="16" t="s">
        <v>147</v>
      </c>
      <c r="B3052" s="16" t="s">
        <v>199</v>
      </c>
      <c r="C3052" s="15">
        <v>8</v>
      </c>
      <c r="D3052" s="17">
        <v>1047189</v>
      </c>
      <c r="E3052" s="17">
        <v>1669404</v>
      </c>
      <c r="F3052" s="17">
        <v>622215</v>
      </c>
      <c r="G3052" s="18">
        <v>1.5941764094160653</v>
      </c>
      <c r="H3052" s="10">
        <v>2025</v>
      </c>
    </row>
    <row r="3053" spans="1:8" hidden="1" x14ac:dyDescent="0.3">
      <c r="A3053" s="16" t="s">
        <v>147</v>
      </c>
      <c r="B3053" s="16" t="s">
        <v>199</v>
      </c>
      <c r="C3053" s="15">
        <v>9</v>
      </c>
      <c r="D3053" s="17">
        <v>1047189</v>
      </c>
      <c r="E3053" s="17">
        <v>1312404</v>
      </c>
      <c r="F3053" s="17">
        <v>265215</v>
      </c>
      <c r="G3053" s="18">
        <v>1.253263737491513</v>
      </c>
      <c r="H3053" s="10">
        <v>2025</v>
      </c>
    </row>
    <row r="3054" spans="1:8" hidden="1" x14ac:dyDescent="0.3">
      <c r="A3054" s="16" t="s">
        <v>147</v>
      </c>
      <c r="B3054" s="16" t="s">
        <v>199</v>
      </c>
      <c r="C3054" s="15">
        <v>10</v>
      </c>
      <c r="D3054" s="17">
        <v>1047189</v>
      </c>
      <c r="E3054" s="17">
        <v>2328614</v>
      </c>
      <c r="F3054" s="17">
        <v>1281425</v>
      </c>
      <c r="G3054" s="18">
        <v>2.2236807300305865</v>
      </c>
      <c r="H3054" s="10">
        <v>2025</v>
      </c>
    </row>
    <row r="3055" spans="1:8" hidden="1" x14ac:dyDescent="0.3">
      <c r="A3055" s="16" t="s">
        <v>147</v>
      </c>
      <c r="B3055" s="16" t="s">
        <v>200</v>
      </c>
      <c r="C3055" s="15">
        <v>1</v>
      </c>
      <c r="D3055" s="17">
        <v>238771860</v>
      </c>
      <c r="E3055" s="17">
        <v>232880959</v>
      </c>
      <c r="F3055" s="17">
        <v>-5890901</v>
      </c>
      <c r="G3055" s="18">
        <v>0.97532832805339797</v>
      </c>
      <c r="H3055" s="10">
        <v>2025</v>
      </c>
    </row>
    <row r="3056" spans="1:8" hidden="1" x14ac:dyDescent="0.3">
      <c r="A3056" s="16" t="s">
        <v>147</v>
      </c>
      <c r="B3056" s="16" t="s">
        <v>200</v>
      </c>
      <c r="C3056" s="15">
        <v>2</v>
      </c>
      <c r="D3056" s="17">
        <v>247669961</v>
      </c>
      <c r="E3056" s="17">
        <v>248197830</v>
      </c>
      <c r="F3056" s="17">
        <v>527869</v>
      </c>
      <c r="G3056" s="18">
        <v>1.0021313404252525</v>
      </c>
      <c r="H3056" s="10">
        <v>2025</v>
      </c>
    </row>
    <row r="3057" spans="1:8" hidden="1" x14ac:dyDescent="0.3">
      <c r="A3057" s="16" t="s">
        <v>147</v>
      </c>
      <c r="B3057" s="16" t="s">
        <v>200</v>
      </c>
      <c r="C3057" s="15">
        <v>3</v>
      </c>
      <c r="D3057" s="17">
        <v>246449683</v>
      </c>
      <c r="E3057" s="17">
        <v>310815957</v>
      </c>
      <c r="F3057" s="17">
        <v>64366274</v>
      </c>
      <c r="G3057" s="18">
        <v>1.2611740993799534</v>
      </c>
      <c r="H3057" s="10">
        <v>2025</v>
      </c>
    </row>
    <row r="3058" spans="1:8" hidden="1" x14ac:dyDescent="0.3">
      <c r="A3058" s="16" t="s">
        <v>147</v>
      </c>
      <c r="B3058" s="16" t="s">
        <v>200</v>
      </c>
      <c r="C3058" s="15">
        <v>4</v>
      </c>
      <c r="D3058" s="17">
        <v>252135570</v>
      </c>
      <c r="E3058" s="17">
        <v>274158110</v>
      </c>
      <c r="F3058" s="17">
        <v>22022540</v>
      </c>
      <c r="G3058" s="18">
        <v>1.0873440427306627</v>
      </c>
      <c r="H3058" s="10">
        <v>2025</v>
      </c>
    </row>
    <row r="3059" spans="1:8" hidden="1" x14ac:dyDescent="0.3">
      <c r="A3059" s="16" t="s">
        <v>147</v>
      </c>
      <c r="B3059" s="16" t="s">
        <v>200</v>
      </c>
      <c r="C3059" s="15">
        <v>5</v>
      </c>
      <c r="D3059" s="17">
        <v>252135570</v>
      </c>
      <c r="E3059" s="17">
        <v>252487114</v>
      </c>
      <c r="F3059" s="17">
        <v>351544</v>
      </c>
      <c r="G3059" s="18">
        <v>1.0013942657912172</v>
      </c>
      <c r="H3059" s="10">
        <v>2025</v>
      </c>
    </row>
    <row r="3060" spans="1:8" hidden="1" x14ac:dyDescent="0.3">
      <c r="A3060" s="16" t="s">
        <v>147</v>
      </c>
      <c r="B3060" s="16" t="s">
        <v>200</v>
      </c>
      <c r="C3060" s="15">
        <v>6</v>
      </c>
      <c r="D3060" s="17">
        <v>252135570</v>
      </c>
      <c r="E3060" s="17">
        <v>255578725</v>
      </c>
      <c r="F3060" s="17">
        <v>3443155</v>
      </c>
      <c r="G3060" s="18">
        <v>1.0136559669070095</v>
      </c>
      <c r="H3060" s="10">
        <v>2025</v>
      </c>
    </row>
    <row r="3061" spans="1:8" hidden="1" x14ac:dyDescent="0.3">
      <c r="A3061" s="16" t="s">
        <v>147</v>
      </c>
      <c r="B3061" s="16" t="s">
        <v>200</v>
      </c>
      <c r="C3061" s="15">
        <v>7</v>
      </c>
      <c r="D3061" s="17">
        <v>252135570</v>
      </c>
      <c r="E3061" s="17">
        <v>273294399</v>
      </c>
      <c r="F3061" s="17">
        <v>21158829</v>
      </c>
      <c r="G3061" s="18">
        <v>1.083918461008893</v>
      </c>
      <c r="H3061" s="10">
        <v>2025</v>
      </c>
    </row>
    <row r="3062" spans="1:8" hidden="1" x14ac:dyDescent="0.3">
      <c r="A3062" s="16" t="s">
        <v>147</v>
      </c>
      <c r="B3062" s="16" t="s">
        <v>200</v>
      </c>
      <c r="C3062" s="15">
        <v>8</v>
      </c>
      <c r="D3062" s="17">
        <v>252135570</v>
      </c>
      <c r="E3062" s="17">
        <v>269458296</v>
      </c>
      <c r="F3062" s="17">
        <v>17322726</v>
      </c>
      <c r="G3062" s="18">
        <v>1.0687040150661804</v>
      </c>
      <c r="H3062" s="10">
        <v>2025</v>
      </c>
    </row>
    <row r="3063" spans="1:8" hidden="1" x14ac:dyDescent="0.3">
      <c r="A3063" s="16" t="s">
        <v>147</v>
      </c>
      <c r="B3063" s="16" t="s">
        <v>200</v>
      </c>
      <c r="C3063" s="15">
        <v>9</v>
      </c>
      <c r="D3063" s="17">
        <v>252135570</v>
      </c>
      <c r="E3063" s="17">
        <v>260730634</v>
      </c>
      <c r="F3063" s="17">
        <v>8595064</v>
      </c>
      <c r="G3063" s="18">
        <v>1.0340890577239856</v>
      </c>
      <c r="H3063" s="10">
        <v>2025</v>
      </c>
    </row>
    <row r="3064" spans="1:8" hidden="1" x14ac:dyDescent="0.3">
      <c r="A3064" s="16" t="s">
        <v>147</v>
      </c>
      <c r="B3064" s="16" t="s">
        <v>200</v>
      </c>
      <c r="C3064" s="15">
        <v>10</v>
      </c>
      <c r="D3064" s="17">
        <v>252135570</v>
      </c>
      <c r="E3064" s="17">
        <v>305929616</v>
      </c>
      <c r="F3064" s="17">
        <v>53794046</v>
      </c>
      <c r="G3064" s="18">
        <v>1.2133536573201473</v>
      </c>
      <c r="H3064" s="10">
        <v>2025</v>
      </c>
    </row>
    <row r="3065" spans="1:8" hidden="1" x14ac:dyDescent="0.3">
      <c r="A3065" s="16" t="s">
        <v>147</v>
      </c>
      <c r="B3065" s="16" t="s">
        <v>201</v>
      </c>
      <c r="C3065" s="15">
        <v>1</v>
      </c>
      <c r="D3065" s="17">
        <v>44017500</v>
      </c>
      <c r="E3065" s="17">
        <v>44017500</v>
      </c>
      <c r="F3065" s="17">
        <v>0</v>
      </c>
      <c r="G3065" s="18">
        <v>1</v>
      </c>
      <c r="H3065" s="10">
        <v>2025</v>
      </c>
    </row>
    <row r="3066" spans="1:8" hidden="1" x14ac:dyDescent="0.3">
      <c r="A3066" s="16" t="s">
        <v>147</v>
      </c>
      <c r="B3066" s="16" t="s">
        <v>201</v>
      </c>
      <c r="C3066" s="15">
        <v>2</v>
      </c>
      <c r="D3066" s="17">
        <v>19157406</v>
      </c>
      <c r="E3066" s="17">
        <v>17630039</v>
      </c>
      <c r="F3066" s="17">
        <v>-1527367</v>
      </c>
      <c r="G3066" s="18">
        <v>0.92027276552994708</v>
      </c>
      <c r="H3066" s="10">
        <v>2025</v>
      </c>
    </row>
    <row r="3067" spans="1:8" hidden="1" x14ac:dyDescent="0.3">
      <c r="A3067" s="16" t="s">
        <v>147</v>
      </c>
      <c r="B3067" s="16" t="s">
        <v>201</v>
      </c>
      <c r="C3067" s="15">
        <v>3</v>
      </c>
      <c r="D3067" s="17">
        <v>13479611</v>
      </c>
      <c r="E3067" s="17">
        <v>9804328</v>
      </c>
      <c r="F3067" s="17">
        <v>-3675283</v>
      </c>
      <c r="G3067" s="18">
        <v>0.72734502501592968</v>
      </c>
      <c r="H3067" s="10">
        <v>2025</v>
      </c>
    </row>
    <row r="3068" spans="1:8" hidden="1" x14ac:dyDescent="0.3">
      <c r="A3068" s="16" t="s">
        <v>147</v>
      </c>
      <c r="B3068" s="16" t="s">
        <v>201</v>
      </c>
      <c r="C3068" s="15">
        <v>4</v>
      </c>
      <c r="D3068" s="17">
        <v>9461690</v>
      </c>
      <c r="E3068" s="17">
        <v>9799284</v>
      </c>
      <c r="F3068" s="17">
        <v>337594</v>
      </c>
      <c r="G3068" s="18">
        <v>1.0356800952049794</v>
      </c>
      <c r="H3068" s="10">
        <v>2025</v>
      </c>
    </row>
    <row r="3069" spans="1:8" hidden="1" x14ac:dyDescent="0.3">
      <c r="A3069" s="16" t="s">
        <v>147</v>
      </c>
      <c r="B3069" s="16" t="s">
        <v>201</v>
      </c>
      <c r="C3069" s="15">
        <v>5</v>
      </c>
      <c r="D3069" s="17">
        <v>9461690</v>
      </c>
      <c r="E3069" s="17">
        <v>9500275</v>
      </c>
      <c r="F3069" s="17">
        <v>38585</v>
      </c>
      <c r="G3069" s="18">
        <v>1.0040780241161991</v>
      </c>
      <c r="H3069" s="10">
        <v>2025</v>
      </c>
    </row>
    <row r="3070" spans="1:8" hidden="1" x14ac:dyDescent="0.3">
      <c r="A3070" s="16" t="s">
        <v>147</v>
      </c>
      <c r="B3070" s="16" t="s">
        <v>201</v>
      </c>
      <c r="C3070" s="15">
        <v>6</v>
      </c>
      <c r="D3070" s="17">
        <v>9461690</v>
      </c>
      <c r="E3070" s="17">
        <v>9327662</v>
      </c>
      <c r="F3070" s="17">
        <v>-134028</v>
      </c>
      <c r="G3070" s="18">
        <v>0.98583466590006652</v>
      </c>
      <c r="H3070" s="10">
        <v>2025</v>
      </c>
    </row>
    <row r="3071" spans="1:8" hidden="1" x14ac:dyDescent="0.3">
      <c r="A3071" s="16" t="s">
        <v>147</v>
      </c>
      <c r="B3071" s="16" t="s">
        <v>201</v>
      </c>
      <c r="C3071" s="15">
        <v>7</v>
      </c>
      <c r="D3071" s="17">
        <v>9461690</v>
      </c>
      <c r="E3071" s="17">
        <v>9432219</v>
      </c>
      <c r="F3071" s="17">
        <v>-29471</v>
      </c>
      <c r="G3071" s="18">
        <v>0.99688522874877528</v>
      </c>
      <c r="H3071" s="10">
        <v>2025</v>
      </c>
    </row>
    <row r="3072" spans="1:8" hidden="1" x14ac:dyDescent="0.3">
      <c r="A3072" s="16" t="s">
        <v>147</v>
      </c>
      <c r="B3072" s="16" t="s">
        <v>201</v>
      </c>
      <c r="C3072" s="15">
        <v>8</v>
      </c>
      <c r="D3072" s="17">
        <v>9461690</v>
      </c>
      <c r="E3072" s="17">
        <v>9619820</v>
      </c>
      <c r="F3072" s="17">
        <v>158130</v>
      </c>
      <c r="G3072" s="18">
        <v>1.0167126591549713</v>
      </c>
      <c r="H3072" s="10">
        <v>2025</v>
      </c>
    </row>
    <row r="3073" spans="1:8" hidden="1" x14ac:dyDescent="0.3">
      <c r="A3073" s="16" t="s">
        <v>147</v>
      </c>
      <c r="B3073" s="16" t="s">
        <v>201</v>
      </c>
      <c r="C3073" s="15">
        <v>9</v>
      </c>
      <c r="D3073" s="17">
        <v>9461690</v>
      </c>
      <c r="E3073" s="17">
        <v>9795110</v>
      </c>
      <c r="F3073" s="17">
        <v>333420</v>
      </c>
      <c r="G3073" s="18">
        <v>1.0352389477989661</v>
      </c>
      <c r="H3073" s="10">
        <v>2025</v>
      </c>
    </row>
    <row r="3074" spans="1:8" hidden="1" x14ac:dyDescent="0.3">
      <c r="A3074" s="16" t="s">
        <v>147</v>
      </c>
      <c r="B3074" s="16" t="s">
        <v>201</v>
      </c>
      <c r="C3074" s="15">
        <v>10</v>
      </c>
      <c r="D3074" s="17">
        <v>9461690</v>
      </c>
      <c r="E3074" s="17">
        <v>10010589</v>
      </c>
      <c r="F3074" s="17">
        <v>548899</v>
      </c>
      <c r="G3074" s="18">
        <v>1.0580127862992763</v>
      </c>
      <c r="H3074" s="10">
        <v>2025</v>
      </c>
    </row>
    <row r="3075" spans="1:8" hidden="1" x14ac:dyDescent="0.3">
      <c r="A3075" s="16" t="s">
        <v>147</v>
      </c>
      <c r="B3075" s="16" t="s">
        <v>202</v>
      </c>
      <c r="C3075" s="15">
        <v>1</v>
      </c>
      <c r="D3075" s="17">
        <v>4909758</v>
      </c>
      <c r="E3075" s="17">
        <v>4797121</v>
      </c>
      <c r="F3075" s="17">
        <v>-112637</v>
      </c>
      <c r="G3075" s="18">
        <v>0.97705854341497078</v>
      </c>
      <c r="H3075" s="10">
        <v>2025</v>
      </c>
    </row>
    <row r="3076" spans="1:8" hidden="1" x14ac:dyDescent="0.3">
      <c r="A3076" s="16" t="s">
        <v>147</v>
      </c>
      <c r="B3076" s="16" t="s">
        <v>202</v>
      </c>
      <c r="C3076" s="15">
        <v>2</v>
      </c>
      <c r="D3076" s="17">
        <v>5375255</v>
      </c>
      <c r="E3076" s="17">
        <v>5389829</v>
      </c>
      <c r="F3076" s="17">
        <v>14574</v>
      </c>
      <c r="G3076" s="18">
        <v>1.0027113132307213</v>
      </c>
      <c r="H3076" s="10">
        <v>2025</v>
      </c>
    </row>
    <row r="3077" spans="1:8" hidden="1" x14ac:dyDescent="0.3">
      <c r="A3077" s="16" t="s">
        <v>147</v>
      </c>
      <c r="B3077" s="16" t="s">
        <v>202</v>
      </c>
      <c r="C3077" s="15">
        <v>3</v>
      </c>
      <c r="D3077" s="17">
        <v>5375255</v>
      </c>
      <c r="E3077" s="17">
        <v>5602473</v>
      </c>
      <c r="F3077" s="17">
        <v>227218</v>
      </c>
      <c r="G3077" s="18">
        <v>1.0422711108589267</v>
      </c>
      <c r="H3077" s="10">
        <v>2025</v>
      </c>
    </row>
    <row r="3078" spans="1:8" hidden="1" x14ac:dyDescent="0.3">
      <c r="A3078" s="16" t="s">
        <v>147</v>
      </c>
      <c r="B3078" s="16" t="s">
        <v>202</v>
      </c>
      <c r="C3078" s="15">
        <v>4</v>
      </c>
      <c r="D3078" s="17">
        <v>5636463</v>
      </c>
      <c r="E3078" s="17">
        <v>5837574</v>
      </c>
      <c r="F3078" s="17">
        <v>201111</v>
      </c>
      <c r="G3078" s="18">
        <v>1.0356803548608409</v>
      </c>
      <c r="H3078" s="10">
        <v>2025</v>
      </c>
    </row>
    <row r="3079" spans="1:8" hidden="1" x14ac:dyDescent="0.3">
      <c r="A3079" s="16" t="s">
        <v>147</v>
      </c>
      <c r="B3079" s="16" t="s">
        <v>202</v>
      </c>
      <c r="C3079" s="15">
        <v>5</v>
      </c>
      <c r="D3079" s="17">
        <v>5636463</v>
      </c>
      <c r="E3079" s="17">
        <v>5659448</v>
      </c>
      <c r="F3079" s="17">
        <v>22985</v>
      </c>
      <c r="G3079" s="18">
        <v>1.0040779119813259</v>
      </c>
      <c r="H3079" s="10">
        <v>2025</v>
      </c>
    </row>
    <row r="3080" spans="1:8" hidden="1" x14ac:dyDescent="0.3">
      <c r="A3080" s="16" t="s">
        <v>147</v>
      </c>
      <c r="B3080" s="16" t="s">
        <v>202</v>
      </c>
      <c r="C3080" s="15">
        <v>6</v>
      </c>
      <c r="D3080" s="17">
        <v>5636463</v>
      </c>
      <c r="E3080" s="17">
        <v>5556620</v>
      </c>
      <c r="F3080" s="17">
        <v>-79843</v>
      </c>
      <c r="G3080" s="18">
        <v>0.98583455617467908</v>
      </c>
      <c r="H3080" s="10">
        <v>2025</v>
      </c>
    </row>
    <row r="3081" spans="1:8" hidden="1" x14ac:dyDescent="0.3">
      <c r="A3081" s="16" t="s">
        <v>147</v>
      </c>
      <c r="B3081" s="16" t="s">
        <v>202</v>
      </c>
      <c r="C3081" s="15">
        <v>7</v>
      </c>
      <c r="D3081" s="17">
        <v>5636463</v>
      </c>
      <c r="E3081" s="17">
        <v>5618907</v>
      </c>
      <c r="F3081" s="17">
        <v>-17556</v>
      </c>
      <c r="G3081" s="18">
        <v>0.9968852807159384</v>
      </c>
      <c r="H3081" s="10">
        <v>2025</v>
      </c>
    </row>
    <row r="3082" spans="1:8" hidden="1" x14ac:dyDescent="0.3">
      <c r="A3082" s="16" t="s">
        <v>147</v>
      </c>
      <c r="B3082" s="16" t="s">
        <v>202</v>
      </c>
      <c r="C3082" s="15">
        <v>8</v>
      </c>
      <c r="D3082" s="17">
        <v>5636463</v>
      </c>
      <c r="E3082" s="17">
        <v>5730664</v>
      </c>
      <c r="F3082" s="17">
        <v>94201</v>
      </c>
      <c r="G3082" s="18">
        <v>1.0167127860149177</v>
      </c>
      <c r="H3082" s="10">
        <v>2025</v>
      </c>
    </row>
    <row r="3083" spans="1:8" hidden="1" x14ac:dyDescent="0.3">
      <c r="A3083" s="16" t="s">
        <v>147</v>
      </c>
      <c r="B3083" s="16" t="s">
        <v>202</v>
      </c>
      <c r="C3083" s="15">
        <v>9</v>
      </c>
      <c r="D3083" s="17">
        <v>5636463</v>
      </c>
      <c r="E3083" s="17">
        <v>5816891</v>
      </c>
      <c r="F3083" s="17">
        <v>180428</v>
      </c>
      <c r="G3083" s="18">
        <v>1.0320108550344427</v>
      </c>
      <c r="H3083" s="10">
        <v>2025</v>
      </c>
    </row>
    <row r="3084" spans="1:8" hidden="1" x14ac:dyDescent="0.3">
      <c r="A3084" s="16" t="s">
        <v>147</v>
      </c>
      <c r="B3084" s="16" t="s">
        <v>202</v>
      </c>
      <c r="C3084" s="15">
        <v>10</v>
      </c>
      <c r="D3084" s="17">
        <v>5636463</v>
      </c>
      <c r="E3084" s="17">
        <v>5963450</v>
      </c>
      <c r="F3084" s="17">
        <v>326987</v>
      </c>
      <c r="G3084" s="18">
        <v>1.0580127998711248</v>
      </c>
      <c r="H3084" s="10">
        <v>2025</v>
      </c>
    </row>
    <row r="3085" spans="1:8" hidden="1" x14ac:dyDescent="0.3">
      <c r="A3085" s="16" t="s">
        <v>147</v>
      </c>
      <c r="B3085" s="16" t="s">
        <v>214</v>
      </c>
      <c r="C3085" s="15">
        <v>6</v>
      </c>
      <c r="D3085" s="17">
        <v>0</v>
      </c>
      <c r="E3085" s="17">
        <v>35000</v>
      </c>
      <c r="F3085" s="17">
        <v>35000</v>
      </c>
      <c r="G3085" s="18">
        <v>0</v>
      </c>
      <c r="H3085" s="10">
        <v>2025</v>
      </c>
    </row>
    <row r="3086" spans="1:8" hidden="1" x14ac:dyDescent="0.3">
      <c r="A3086" s="16" t="s">
        <v>147</v>
      </c>
      <c r="B3086" s="16" t="s">
        <v>203</v>
      </c>
      <c r="C3086" s="15">
        <v>1</v>
      </c>
      <c r="D3086" s="17">
        <v>317097</v>
      </c>
      <c r="E3086" s="17">
        <v>266468</v>
      </c>
      <c r="F3086" s="17">
        <v>-50629</v>
      </c>
      <c r="G3086" s="18">
        <v>0.84033592244644384</v>
      </c>
      <c r="H3086" s="10">
        <v>2025</v>
      </c>
    </row>
    <row r="3087" spans="1:8" hidden="1" x14ac:dyDescent="0.3">
      <c r="A3087" s="16" t="s">
        <v>147</v>
      </c>
      <c r="B3087" s="16" t="s">
        <v>208</v>
      </c>
      <c r="C3087" s="15">
        <v>1</v>
      </c>
      <c r="D3087" s="17">
        <v>1790828</v>
      </c>
      <c r="E3087" s="17">
        <v>352415</v>
      </c>
      <c r="F3087" s="17">
        <v>-1438413</v>
      </c>
      <c r="G3087" s="18">
        <v>0.19678885967831641</v>
      </c>
      <c r="H3087" s="10">
        <v>2025</v>
      </c>
    </row>
    <row r="3088" spans="1:8" hidden="1" x14ac:dyDescent="0.3">
      <c r="A3088" s="16" t="s">
        <v>147</v>
      </c>
      <c r="B3088" s="16" t="s">
        <v>208</v>
      </c>
      <c r="C3088" s="15">
        <v>2</v>
      </c>
      <c r="D3088" s="17">
        <v>2111006</v>
      </c>
      <c r="E3088" s="17">
        <v>1097908</v>
      </c>
      <c r="F3088" s="17">
        <v>-1013098</v>
      </c>
      <c r="G3088" s="18">
        <v>0.52008757909735925</v>
      </c>
      <c r="H3088" s="10">
        <v>2025</v>
      </c>
    </row>
    <row r="3089" spans="1:8" hidden="1" x14ac:dyDescent="0.3">
      <c r="A3089" s="16" t="s">
        <v>147</v>
      </c>
      <c r="B3089" s="16" t="s">
        <v>208</v>
      </c>
      <c r="C3089" s="15">
        <v>3</v>
      </c>
      <c r="D3089" s="17">
        <v>1970663</v>
      </c>
      <c r="E3089" s="17">
        <v>459724</v>
      </c>
      <c r="F3089" s="17">
        <v>-1510939</v>
      </c>
      <c r="G3089" s="18">
        <v>0.23328392525764172</v>
      </c>
      <c r="H3089" s="10">
        <v>2025</v>
      </c>
    </row>
    <row r="3090" spans="1:8" hidden="1" x14ac:dyDescent="0.3">
      <c r="A3090" s="16" t="s">
        <v>147</v>
      </c>
      <c r="B3090" s="16" t="s">
        <v>208</v>
      </c>
      <c r="C3090" s="15">
        <v>4</v>
      </c>
      <c r="D3090" s="17">
        <v>375798</v>
      </c>
      <c r="E3090" s="17">
        <v>166949</v>
      </c>
      <c r="F3090" s="17">
        <v>-208849</v>
      </c>
      <c r="G3090" s="18">
        <v>0.44425196515149096</v>
      </c>
      <c r="H3090" s="10">
        <v>2025</v>
      </c>
    </row>
    <row r="3091" spans="1:8" hidden="1" x14ac:dyDescent="0.3">
      <c r="A3091" s="16" t="s">
        <v>147</v>
      </c>
      <c r="B3091" s="16" t="s">
        <v>208</v>
      </c>
      <c r="C3091" s="15">
        <v>6</v>
      </c>
      <c r="D3091" s="17">
        <v>0</v>
      </c>
      <c r="E3091" s="17">
        <v>550795</v>
      </c>
      <c r="F3091" s="17">
        <v>550795</v>
      </c>
      <c r="G3091" s="18">
        <v>0</v>
      </c>
      <c r="H3091" s="10">
        <v>2025</v>
      </c>
    </row>
    <row r="3092" spans="1:8" hidden="1" x14ac:dyDescent="0.3">
      <c r="A3092" s="16" t="s">
        <v>147</v>
      </c>
      <c r="B3092" s="16" t="s">
        <v>208</v>
      </c>
      <c r="C3092" s="15">
        <v>7</v>
      </c>
      <c r="D3092" s="17">
        <v>366690</v>
      </c>
      <c r="E3092" s="17">
        <v>1519580</v>
      </c>
      <c r="F3092" s="17">
        <v>1152890</v>
      </c>
      <c r="G3092" s="18">
        <v>4.1440453789304321</v>
      </c>
      <c r="H3092" s="10">
        <v>2025</v>
      </c>
    </row>
    <row r="3093" spans="1:8" hidden="1" x14ac:dyDescent="0.3">
      <c r="A3093" s="16" t="s">
        <v>147</v>
      </c>
      <c r="B3093" s="16" t="s">
        <v>208</v>
      </c>
      <c r="C3093" s="15">
        <v>8</v>
      </c>
      <c r="D3093" s="17">
        <v>1391480</v>
      </c>
      <c r="E3093" s="17">
        <v>90764</v>
      </c>
      <c r="F3093" s="17">
        <v>-1300716</v>
      </c>
      <c r="G3093" s="18">
        <v>6.5228389915773136E-2</v>
      </c>
      <c r="H3093" s="10">
        <v>2025</v>
      </c>
    </row>
    <row r="3094" spans="1:8" hidden="1" x14ac:dyDescent="0.3">
      <c r="A3094" s="16" t="s">
        <v>147</v>
      </c>
      <c r="B3094" s="16" t="s">
        <v>208</v>
      </c>
      <c r="C3094" s="15">
        <v>9</v>
      </c>
      <c r="D3094" s="17">
        <v>1766110</v>
      </c>
      <c r="E3094" s="17">
        <v>2057053</v>
      </c>
      <c r="F3094" s="17">
        <v>290943</v>
      </c>
      <c r="G3094" s="18">
        <v>1.1647366245590591</v>
      </c>
      <c r="H3094" s="10">
        <v>2025</v>
      </c>
    </row>
    <row r="3095" spans="1:8" hidden="1" x14ac:dyDescent="0.3">
      <c r="A3095" s="16" t="s">
        <v>147</v>
      </c>
      <c r="B3095" s="16" t="s">
        <v>208</v>
      </c>
      <c r="C3095" s="15">
        <v>10</v>
      </c>
      <c r="D3095" s="17">
        <v>680132</v>
      </c>
      <c r="E3095" s="17">
        <v>1732685</v>
      </c>
      <c r="F3095" s="17">
        <v>1052553</v>
      </c>
      <c r="G3095" s="18">
        <v>2.5475716478565928</v>
      </c>
      <c r="H3095" s="10">
        <v>2025</v>
      </c>
    </row>
    <row r="3096" spans="1:8" hidden="1" x14ac:dyDescent="0.3">
      <c r="A3096" s="16" t="s">
        <v>147</v>
      </c>
      <c r="B3096" s="16" t="s">
        <v>217</v>
      </c>
      <c r="C3096" s="15">
        <v>8</v>
      </c>
      <c r="D3096" s="17">
        <v>0</v>
      </c>
      <c r="E3096" s="17">
        <v>854000</v>
      </c>
      <c r="F3096" s="17">
        <v>854000</v>
      </c>
      <c r="G3096" s="18">
        <v>0</v>
      </c>
      <c r="H3096" s="10">
        <v>2025</v>
      </c>
    </row>
    <row r="3097" spans="1:8" hidden="1" x14ac:dyDescent="0.3">
      <c r="A3097" s="16" t="s">
        <v>147</v>
      </c>
      <c r="B3097" s="16" t="s">
        <v>181</v>
      </c>
      <c r="C3097" s="15">
        <v>11</v>
      </c>
      <c r="D3097" s="17">
        <v>5422016</v>
      </c>
      <c r="E3097" s="17">
        <v>5642326</v>
      </c>
      <c r="F3097" s="17">
        <v>220310</v>
      </c>
      <c r="G3097" s="18">
        <v>1.0406324879897071</v>
      </c>
      <c r="H3097" s="10">
        <v>2025</v>
      </c>
    </row>
    <row r="3098" spans="1:8" hidden="1" x14ac:dyDescent="0.3">
      <c r="A3098" s="16" t="s">
        <v>147</v>
      </c>
      <c r="B3098" s="16" t="s">
        <v>208</v>
      </c>
      <c r="C3098" s="15">
        <v>11</v>
      </c>
      <c r="D3098" s="17">
        <v>183083</v>
      </c>
      <c r="E3098" s="17">
        <v>861973</v>
      </c>
      <c r="F3098" s="17">
        <v>678890</v>
      </c>
      <c r="G3098" s="18">
        <v>4.708099605097142</v>
      </c>
      <c r="H3098" s="10">
        <v>2025</v>
      </c>
    </row>
    <row r="3099" spans="1:8" hidden="1" x14ac:dyDescent="0.3">
      <c r="A3099" s="16" t="s">
        <v>147</v>
      </c>
      <c r="B3099" s="16" t="s">
        <v>189</v>
      </c>
      <c r="C3099" s="15">
        <v>11</v>
      </c>
      <c r="D3099" s="17">
        <v>3900446</v>
      </c>
      <c r="E3099" s="17">
        <v>4220476</v>
      </c>
      <c r="F3099" s="17">
        <v>320030</v>
      </c>
      <c r="G3099" s="18">
        <v>1.0820495912518722</v>
      </c>
      <c r="H3099" s="10">
        <v>2025</v>
      </c>
    </row>
    <row r="3100" spans="1:8" hidden="1" x14ac:dyDescent="0.3">
      <c r="A3100" s="16" t="s">
        <v>147</v>
      </c>
      <c r="B3100" s="16" t="s">
        <v>199</v>
      </c>
      <c r="C3100" s="15">
        <v>11</v>
      </c>
      <c r="D3100" s="17">
        <v>1047189</v>
      </c>
      <c r="E3100" s="17">
        <v>733295</v>
      </c>
      <c r="F3100" s="17">
        <v>-313894</v>
      </c>
      <c r="G3100" s="18">
        <v>0.70025086206978882</v>
      </c>
      <c r="H3100" s="10">
        <v>2025</v>
      </c>
    </row>
    <row r="3101" spans="1:8" hidden="1" x14ac:dyDescent="0.3">
      <c r="A3101" s="16" t="s">
        <v>147</v>
      </c>
      <c r="B3101" s="16" t="s">
        <v>198</v>
      </c>
      <c r="C3101" s="15">
        <v>11</v>
      </c>
      <c r="D3101" s="17">
        <v>32167</v>
      </c>
      <c r="E3101" s="17">
        <v>0</v>
      </c>
      <c r="F3101" s="17">
        <v>-32167</v>
      </c>
      <c r="G3101" s="18">
        <v>0</v>
      </c>
      <c r="H3101" s="10">
        <v>2025</v>
      </c>
    </row>
    <row r="3102" spans="1:8" hidden="1" x14ac:dyDescent="0.3">
      <c r="A3102" s="16" t="s">
        <v>147</v>
      </c>
      <c r="B3102" s="16" t="s">
        <v>205</v>
      </c>
      <c r="C3102" s="15">
        <v>11</v>
      </c>
      <c r="D3102" s="17">
        <v>7376733</v>
      </c>
      <c r="E3102" s="17">
        <v>12840865</v>
      </c>
      <c r="F3102" s="17">
        <v>5464132</v>
      </c>
      <c r="G3102" s="18">
        <v>1.7407251963708055</v>
      </c>
      <c r="H3102" s="10">
        <v>2025</v>
      </c>
    </row>
    <row r="3103" spans="1:8" hidden="1" x14ac:dyDescent="0.3">
      <c r="A3103" s="16" t="s">
        <v>147</v>
      </c>
      <c r="B3103" s="16" t="s">
        <v>179</v>
      </c>
      <c r="C3103" s="15">
        <v>11</v>
      </c>
      <c r="D3103" s="17">
        <v>0</v>
      </c>
      <c r="E3103" s="17">
        <v>1052800</v>
      </c>
      <c r="F3103" s="17">
        <v>1052800</v>
      </c>
      <c r="G3103" s="18">
        <v>0</v>
      </c>
      <c r="H3103" s="10">
        <v>2025</v>
      </c>
    </row>
    <row r="3104" spans="1:8" hidden="1" x14ac:dyDescent="0.3">
      <c r="A3104" s="16" t="s">
        <v>147</v>
      </c>
      <c r="B3104" s="16" t="s">
        <v>182</v>
      </c>
      <c r="C3104" s="15">
        <v>11</v>
      </c>
      <c r="D3104" s="17">
        <v>650641.92000000004</v>
      </c>
      <c r="E3104" s="17">
        <v>677349</v>
      </c>
      <c r="F3104" s="17">
        <v>26707.08</v>
      </c>
      <c r="G3104" s="18">
        <v>1.0410472783555047</v>
      </c>
      <c r="H3104" s="10">
        <v>2025</v>
      </c>
    </row>
    <row r="3105" spans="1:8" hidden="1" x14ac:dyDescent="0.3">
      <c r="A3105" s="16" t="s">
        <v>147</v>
      </c>
      <c r="B3105" s="16" t="s">
        <v>200</v>
      </c>
      <c r="C3105" s="15">
        <v>11</v>
      </c>
      <c r="D3105" s="17">
        <v>252135570</v>
      </c>
      <c r="E3105" s="17">
        <v>273978388</v>
      </c>
      <c r="F3105" s="17">
        <v>21842818</v>
      </c>
      <c r="G3105" s="18">
        <v>1.0866312436599088</v>
      </c>
      <c r="H3105" s="10">
        <v>2025</v>
      </c>
    </row>
    <row r="3106" spans="1:8" hidden="1" x14ac:dyDescent="0.3">
      <c r="A3106" s="16" t="s">
        <v>147</v>
      </c>
      <c r="B3106" s="16" t="s">
        <v>187</v>
      </c>
      <c r="C3106" s="15">
        <v>11</v>
      </c>
      <c r="D3106" s="17">
        <v>2148112</v>
      </c>
      <c r="E3106" s="17">
        <v>2053898</v>
      </c>
      <c r="F3106" s="17">
        <v>-94214</v>
      </c>
      <c r="G3106" s="18">
        <v>0.95614102057993255</v>
      </c>
      <c r="H3106" s="10">
        <v>2025</v>
      </c>
    </row>
    <row r="3107" spans="1:8" hidden="1" x14ac:dyDescent="0.3">
      <c r="A3107" s="16" t="s">
        <v>147</v>
      </c>
      <c r="B3107" s="16" t="s">
        <v>202</v>
      </c>
      <c r="C3107" s="15">
        <v>11</v>
      </c>
      <c r="D3107" s="17">
        <v>5636463</v>
      </c>
      <c r="E3107" s="17">
        <v>6557636</v>
      </c>
      <c r="F3107" s="17">
        <v>921173</v>
      </c>
      <c r="G3107" s="18">
        <v>1.163431038223794</v>
      </c>
      <c r="H3107" s="10">
        <v>2025</v>
      </c>
    </row>
    <row r="3108" spans="1:8" hidden="1" x14ac:dyDescent="0.3">
      <c r="A3108" s="16" t="s">
        <v>147</v>
      </c>
      <c r="B3108" s="16" t="s">
        <v>185</v>
      </c>
      <c r="C3108" s="15">
        <v>11</v>
      </c>
      <c r="D3108" s="17">
        <v>812685</v>
      </c>
      <c r="E3108" s="17">
        <v>856913</v>
      </c>
      <c r="F3108" s="17">
        <v>44228</v>
      </c>
      <c r="G3108" s="18">
        <v>1.0544220700517422</v>
      </c>
      <c r="H3108" s="10">
        <v>2025</v>
      </c>
    </row>
    <row r="3109" spans="1:8" hidden="1" x14ac:dyDescent="0.3">
      <c r="A3109" s="16" t="s">
        <v>147</v>
      </c>
      <c r="B3109" s="16" t="s">
        <v>192</v>
      </c>
      <c r="C3109" s="15">
        <v>11</v>
      </c>
      <c r="D3109" s="17">
        <v>1442810</v>
      </c>
      <c r="E3109" s="17">
        <v>1466400</v>
      </c>
      <c r="F3109" s="17">
        <v>23590</v>
      </c>
      <c r="G3109" s="18">
        <v>1.0163500391596954</v>
      </c>
      <c r="H3109" s="10">
        <v>2025</v>
      </c>
    </row>
    <row r="3110" spans="1:8" hidden="1" x14ac:dyDescent="0.3">
      <c r="A3110" s="16" t="s">
        <v>147</v>
      </c>
      <c r="B3110" s="16" t="s">
        <v>195</v>
      </c>
      <c r="C3110" s="15">
        <v>11</v>
      </c>
      <c r="D3110" s="17">
        <v>2355609</v>
      </c>
      <c r="E3110" s="17">
        <v>2458700</v>
      </c>
      <c r="F3110" s="17">
        <v>103091</v>
      </c>
      <c r="G3110" s="18">
        <v>1.0437640542212228</v>
      </c>
      <c r="H3110" s="10">
        <v>2025</v>
      </c>
    </row>
    <row r="3111" spans="1:8" hidden="1" x14ac:dyDescent="0.3">
      <c r="A3111" s="16" t="s">
        <v>147</v>
      </c>
      <c r="B3111" s="16" t="s">
        <v>194</v>
      </c>
      <c r="C3111" s="15">
        <v>11</v>
      </c>
      <c r="D3111" s="17">
        <v>7066827</v>
      </c>
      <c r="E3111" s="17">
        <v>7336900</v>
      </c>
      <c r="F3111" s="17">
        <v>270073</v>
      </c>
      <c r="G3111" s="18">
        <v>1.038217010265003</v>
      </c>
      <c r="H3111" s="10">
        <v>2025</v>
      </c>
    </row>
    <row r="3112" spans="1:8" hidden="1" x14ac:dyDescent="0.3">
      <c r="A3112" s="16" t="s">
        <v>147</v>
      </c>
      <c r="B3112" s="16" t="s">
        <v>180</v>
      </c>
      <c r="C3112" s="15">
        <v>11</v>
      </c>
      <c r="D3112" s="17">
        <v>6200000</v>
      </c>
      <c r="E3112" s="17">
        <v>5640000</v>
      </c>
      <c r="F3112" s="17">
        <v>-560000</v>
      </c>
      <c r="G3112" s="18">
        <v>0.9096774193548387</v>
      </c>
      <c r="H3112" s="10">
        <v>2025</v>
      </c>
    </row>
    <row r="3113" spans="1:8" hidden="1" x14ac:dyDescent="0.3">
      <c r="A3113" s="16" t="s">
        <v>147</v>
      </c>
      <c r="B3113" s="16" t="s">
        <v>186</v>
      </c>
      <c r="C3113" s="15">
        <v>11</v>
      </c>
      <c r="D3113" s="17">
        <v>7026441</v>
      </c>
      <c r="E3113" s="17">
        <v>6718258</v>
      </c>
      <c r="F3113" s="17">
        <v>-308183</v>
      </c>
      <c r="G3113" s="18">
        <v>0.95613953066709023</v>
      </c>
      <c r="H3113" s="10">
        <v>2025</v>
      </c>
    </row>
    <row r="3114" spans="1:8" hidden="1" x14ac:dyDescent="0.3">
      <c r="A3114" s="16" t="s">
        <v>147</v>
      </c>
      <c r="B3114" s="16" t="s">
        <v>201</v>
      </c>
      <c r="C3114" s="15">
        <v>11</v>
      </c>
      <c r="D3114" s="17">
        <v>9461690</v>
      </c>
      <c r="E3114" s="17">
        <v>8784459</v>
      </c>
      <c r="F3114" s="17">
        <v>-677231</v>
      </c>
      <c r="G3114" s="18">
        <v>0.92842388621905814</v>
      </c>
      <c r="H3114" s="10">
        <v>2025</v>
      </c>
    </row>
    <row r="3115" spans="1:8" hidden="1" x14ac:dyDescent="0.3">
      <c r="A3115" s="16" t="s">
        <v>147</v>
      </c>
      <c r="B3115" s="16" t="s">
        <v>183</v>
      </c>
      <c r="C3115" s="15">
        <v>11</v>
      </c>
      <c r="D3115" s="17">
        <v>5422016</v>
      </c>
      <c r="E3115" s="17">
        <v>5642326</v>
      </c>
      <c r="F3115" s="17">
        <v>220310</v>
      </c>
      <c r="G3115" s="18">
        <v>1.0406324879897071</v>
      </c>
      <c r="H3115" s="10">
        <v>2025</v>
      </c>
    </row>
    <row r="3116" spans="1:8" hidden="1" x14ac:dyDescent="0.3">
      <c r="A3116" s="16" t="s">
        <v>147</v>
      </c>
      <c r="B3116" s="16" t="s">
        <v>177</v>
      </c>
      <c r="C3116" s="15">
        <v>11</v>
      </c>
      <c r="D3116" s="17">
        <v>51513500</v>
      </c>
      <c r="E3116" s="17">
        <v>47009266</v>
      </c>
      <c r="F3116" s="17">
        <v>-4504234</v>
      </c>
      <c r="G3116" s="18">
        <v>0.912562066254477</v>
      </c>
      <c r="H3116" s="10">
        <v>2025</v>
      </c>
    </row>
    <row r="3117" spans="1:8" hidden="1" x14ac:dyDescent="0.3">
      <c r="A3117" s="16" t="s">
        <v>147</v>
      </c>
      <c r="B3117" s="16" t="s">
        <v>184</v>
      </c>
      <c r="C3117" s="15">
        <v>11</v>
      </c>
      <c r="D3117" s="17">
        <v>2455722</v>
      </c>
      <c r="E3117" s="17">
        <v>2589366</v>
      </c>
      <c r="F3117" s="17">
        <v>133644</v>
      </c>
      <c r="G3117" s="18">
        <v>1.0544214695311602</v>
      </c>
      <c r="H3117" s="10">
        <v>2025</v>
      </c>
    </row>
    <row r="3118" spans="1:8" hidden="1" x14ac:dyDescent="0.3">
      <c r="A3118" s="16" t="s">
        <v>147</v>
      </c>
      <c r="B3118" s="16" t="s">
        <v>177</v>
      </c>
      <c r="C3118" s="15">
        <v>12</v>
      </c>
      <c r="D3118" s="17">
        <v>51513500</v>
      </c>
      <c r="E3118" s="17">
        <v>45268600</v>
      </c>
      <c r="F3118" s="17">
        <v>-6244900</v>
      </c>
      <c r="G3118" s="18">
        <v>0.87877158414784473</v>
      </c>
      <c r="H3118" s="10">
        <v>2025</v>
      </c>
    </row>
    <row r="3119" spans="1:8" hidden="1" x14ac:dyDescent="0.3">
      <c r="A3119" s="16" t="s">
        <v>147</v>
      </c>
      <c r="B3119" s="16" t="s">
        <v>205</v>
      </c>
      <c r="C3119" s="15">
        <v>12</v>
      </c>
      <c r="D3119" s="17">
        <v>7376733</v>
      </c>
      <c r="E3119" s="17">
        <v>10007093</v>
      </c>
      <c r="F3119" s="17">
        <v>2630360</v>
      </c>
      <c r="G3119" s="18">
        <v>1.3565751939239228</v>
      </c>
      <c r="H3119" s="10">
        <v>2025</v>
      </c>
    </row>
    <row r="3120" spans="1:8" hidden="1" x14ac:dyDescent="0.3">
      <c r="A3120" s="16" t="s">
        <v>147</v>
      </c>
      <c r="B3120" s="16" t="s">
        <v>179</v>
      </c>
      <c r="C3120" s="15">
        <v>12</v>
      </c>
      <c r="D3120" s="17">
        <v>0</v>
      </c>
      <c r="E3120" s="17">
        <v>996450</v>
      </c>
      <c r="F3120" s="17">
        <v>996450</v>
      </c>
      <c r="G3120" s="18">
        <v>0</v>
      </c>
      <c r="H3120" s="10">
        <v>2025</v>
      </c>
    </row>
    <row r="3121" spans="1:8" hidden="1" x14ac:dyDescent="0.3">
      <c r="A3121" s="16" t="s">
        <v>147</v>
      </c>
      <c r="B3121" s="16" t="s">
        <v>180</v>
      </c>
      <c r="C3121" s="15">
        <v>12</v>
      </c>
      <c r="D3121" s="17">
        <v>6200000</v>
      </c>
      <c r="E3121" s="17">
        <v>5066670</v>
      </c>
      <c r="F3121" s="17">
        <v>-1133330</v>
      </c>
      <c r="G3121" s="18">
        <v>0.81720483870967742</v>
      </c>
      <c r="H3121" s="10">
        <v>2025</v>
      </c>
    </row>
    <row r="3122" spans="1:8" hidden="1" x14ac:dyDescent="0.3">
      <c r="A3122" s="16" t="s">
        <v>147</v>
      </c>
      <c r="B3122" s="16" t="s">
        <v>181</v>
      </c>
      <c r="C3122" s="15">
        <v>12</v>
      </c>
      <c r="D3122" s="17">
        <v>5422016</v>
      </c>
      <c r="E3122" s="17">
        <v>6129895</v>
      </c>
      <c r="F3122" s="17">
        <v>707879</v>
      </c>
      <c r="G3122" s="18">
        <v>1.1305564203425442</v>
      </c>
      <c r="H3122" s="10">
        <v>2025</v>
      </c>
    </row>
    <row r="3123" spans="1:8" hidden="1" x14ac:dyDescent="0.3">
      <c r="A3123" s="16" t="s">
        <v>147</v>
      </c>
      <c r="B3123" s="16" t="s">
        <v>182</v>
      </c>
      <c r="C3123" s="15">
        <v>12</v>
      </c>
      <c r="D3123" s="17">
        <v>650641.92000000004</v>
      </c>
      <c r="E3123" s="17">
        <v>672093</v>
      </c>
      <c r="F3123" s="17">
        <v>21451.08</v>
      </c>
      <c r="G3123" s="18">
        <v>1.0329691022674961</v>
      </c>
      <c r="H3123" s="10">
        <v>2025</v>
      </c>
    </row>
    <row r="3124" spans="1:8" hidden="1" x14ac:dyDescent="0.3">
      <c r="A3124" s="16" t="s">
        <v>147</v>
      </c>
      <c r="B3124" s="16" t="s">
        <v>183</v>
      </c>
      <c r="C3124" s="15">
        <v>12</v>
      </c>
      <c r="D3124" s="17">
        <v>5422016</v>
      </c>
      <c r="E3124" s="17">
        <v>5056802</v>
      </c>
      <c r="F3124" s="17">
        <v>-365214</v>
      </c>
      <c r="G3124" s="18">
        <v>0.93264239721904185</v>
      </c>
      <c r="H3124" s="10">
        <v>2025</v>
      </c>
    </row>
    <row r="3125" spans="1:8" hidden="1" x14ac:dyDescent="0.3">
      <c r="A3125" s="16" t="s">
        <v>147</v>
      </c>
      <c r="B3125" s="16" t="s">
        <v>184</v>
      </c>
      <c r="C3125" s="15">
        <v>12</v>
      </c>
      <c r="D3125" s="17">
        <v>2455722</v>
      </c>
      <c r="E3125" s="17">
        <v>-9962555</v>
      </c>
      <c r="F3125" s="17">
        <v>-12418277</v>
      </c>
      <c r="G3125" s="18">
        <v>-4.0568741087142604</v>
      </c>
      <c r="H3125" s="10">
        <v>2025</v>
      </c>
    </row>
    <row r="3126" spans="1:8" hidden="1" x14ac:dyDescent="0.3">
      <c r="A3126" s="16" t="s">
        <v>147</v>
      </c>
      <c r="B3126" s="16" t="s">
        <v>185</v>
      </c>
      <c r="C3126" s="15">
        <v>12</v>
      </c>
      <c r="D3126" s="17">
        <v>812685</v>
      </c>
      <c r="E3126" s="17">
        <v>850187</v>
      </c>
      <c r="F3126" s="17">
        <v>37502</v>
      </c>
      <c r="G3126" s="18">
        <v>1.0461458006484678</v>
      </c>
      <c r="H3126" s="10">
        <v>2025</v>
      </c>
    </row>
    <row r="3127" spans="1:8" hidden="1" x14ac:dyDescent="0.3">
      <c r="A3127" s="16" t="s">
        <v>147</v>
      </c>
      <c r="B3127" s="16" t="s">
        <v>186</v>
      </c>
      <c r="C3127" s="15">
        <v>12</v>
      </c>
      <c r="D3127" s="17">
        <v>7026441</v>
      </c>
      <c r="E3127" s="17">
        <v>-25381247</v>
      </c>
      <c r="F3127" s="17">
        <v>-32407688</v>
      </c>
      <c r="G3127" s="18">
        <v>-3.6122479360461437</v>
      </c>
      <c r="H3127" s="10">
        <v>2025</v>
      </c>
    </row>
    <row r="3128" spans="1:8" hidden="1" x14ac:dyDescent="0.3">
      <c r="A3128" s="16" t="s">
        <v>147</v>
      </c>
      <c r="B3128" s="16" t="s">
        <v>187</v>
      </c>
      <c r="C3128" s="15">
        <v>12</v>
      </c>
      <c r="D3128" s="17">
        <v>2148112</v>
      </c>
      <c r="E3128" s="17">
        <v>1798150</v>
      </c>
      <c r="F3128" s="17">
        <v>-349962</v>
      </c>
      <c r="G3128" s="18">
        <v>0.83708391368792689</v>
      </c>
      <c r="H3128" s="10">
        <v>2025</v>
      </c>
    </row>
    <row r="3129" spans="1:8" hidden="1" x14ac:dyDescent="0.3">
      <c r="A3129" s="16" t="s">
        <v>147</v>
      </c>
      <c r="B3129" s="16" t="s">
        <v>188</v>
      </c>
      <c r="C3129" s="15">
        <v>12</v>
      </c>
      <c r="D3129" s="17">
        <v>7343582</v>
      </c>
      <c r="E3129" s="17">
        <v>7718555</v>
      </c>
      <c r="F3129" s="17">
        <v>374973</v>
      </c>
      <c r="G3129" s="18">
        <v>1.051061321300695</v>
      </c>
      <c r="H3129" s="10">
        <v>2025</v>
      </c>
    </row>
    <row r="3130" spans="1:8" hidden="1" x14ac:dyDescent="0.3">
      <c r="A3130" s="16" t="s">
        <v>147</v>
      </c>
      <c r="B3130" s="16" t="s">
        <v>189</v>
      </c>
      <c r="C3130" s="15">
        <v>12</v>
      </c>
      <c r="D3130" s="17">
        <v>3900446</v>
      </c>
      <c r="E3130" s="17">
        <v>5719111</v>
      </c>
      <c r="F3130" s="17">
        <v>1818665</v>
      </c>
      <c r="G3130" s="18">
        <v>1.466271036696829</v>
      </c>
      <c r="H3130" s="10">
        <v>2025</v>
      </c>
    </row>
    <row r="3131" spans="1:8" hidden="1" x14ac:dyDescent="0.3">
      <c r="A3131" s="16" t="s">
        <v>147</v>
      </c>
      <c r="B3131" s="16" t="s">
        <v>192</v>
      </c>
      <c r="C3131" s="15">
        <v>12</v>
      </c>
      <c r="D3131" s="17">
        <v>1442810</v>
      </c>
      <c r="E3131" s="17">
        <v>1273600</v>
      </c>
      <c r="F3131" s="17">
        <v>-169210</v>
      </c>
      <c r="G3131" s="18">
        <v>0.88272191071589468</v>
      </c>
      <c r="H3131" s="10">
        <v>2025</v>
      </c>
    </row>
    <row r="3132" spans="1:8" hidden="1" x14ac:dyDescent="0.3">
      <c r="A3132" s="16" t="s">
        <v>147</v>
      </c>
      <c r="B3132" s="16" t="s">
        <v>194</v>
      </c>
      <c r="C3132" s="15">
        <v>12</v>
      </c>
      <c r="D3132" s="17">
        <v>7066827</v>
      </c>
      <c r="E3132" s="17">
        <v>7297300</v>
      </c>
      <c r="F3132" s="17">
        <v>230473</v>
      </c>
      <c r="G3132" s="18">
        <v>1.0326133638194341</v>
      </c>
      <c r="H3132" s="10">
        <v>2025</v>
      </c>
    </row>
    <row r="3133" spans="1:8" hidden="1" x14ac:dyDescent="0.3">
      <c r="A3133" s="16" t="s">
        <v>147</v>
      </c>
      <c r="B3133" s="16" t="s">
        <v>195</v>
      </c>
      <c r="C3133" s="15">
        <v>12</v>
      </c>
      <c r="D3133" s="17">
        <v>2355609</v>
      </c>
      <c r="E3133" s="17">
        <v>2428000</v>
      </c>
      <c r="F3133" s="17">
        <v>72391</v>
      </c>
      <c r="G3133" s="18">
        <v>1.0307313310485737</v>
      </c>
      <c r="H3133" s="10">
        <v>2025</v>
      </c>
    </row>
    <row r="3134" spans="1:8" hidden="1" x14ac:dyDescent="0.3">
      <c r="A3134" s="16" t="s">
        <v>147</v>
      </c>
      <c r="B3134" s="16" t="s">
        <v>198</v>
      </c>
      <c r="C3134" s="15">
        <v>12</v>
      </c>
      <c r="D3134" s="17">
        <v>32167</v>
      </c>
      <c r="E3134" s="17">
        <v>0</v>
      </c>
      <c r="F3134" s="17">
        <v>-32167</v>
      </c>
      <c r="G3134" s="18">
        <v>0</v>
      </c>
      <c r="H3134" s="10">
        <v>2025</v>
      </c>
    </row>
    <row r="3135" spans="1:8" hidden="1" x14ac:dyDescent="0.3">
      <c r="A3135" s="16" t="s">
        <v>147</v>
      </c>
      <c r="B3135" s="16" t="s">
        <v>191</v>
      </c>
      <c r="C3135" s="15">
        <v>12</v>
      </c>
      <c r="D3135" s="17">
        <v>0</v>
      </c>
      <c r="E3135" s="17">
        <v>227048</v>
      </c>
      <c r="F3135" s="17">
        <v>227048</v>
      </c>
      <c r="G3135" s="18">
        <v>0</v>
      </c>
      <c r="H3135" s="10">
        <v>2025</v>
      </c>
    </row>
    <row r="3136" spans="1:8" hidden="1" x14ac:dyDescent="0.3">
      <c r="A3136" s="16" t="s">
        <v>147</v>
      </c>
      <c r="B3136" s="16" t="s">
        <v>199</v>
      </c>
      <c r="C3136" s="15">
        <v>12</v>
      </c>
      <c r="D3136" s="17">
        <v>1047189</v>
      </c>
      <c r="E3136" s="17">
        <v>746503</v>
      </c>
      <c r="F3136" s="17">
        <v>-300686</v>
      </c>
      <c r="G3136" s="18">
        <v>0.71286367599354084</v>
      </c>
      <c r="H3136" s="10">
        <v>2025</v>
      </c>
    </row>
    <row r="3137" spans="1:8" hidden="1" x14ac:dyDescent="0.3">
      <c r="A3137" s="16" t="s">
        <v>147</v>
      </c>
      <c r="B3137" s="16" t="s">
        <v>200</v>
      </c>
      <c r="C3137" s="15">
        <v>12</v>
      </c>
      <c r="D3137" s="17">
        <v>252135570</v>
      </c>
      <c r="E3137" s="17">
        <v>269192993</v>
      </c>
      <c r="F3137" s="17">
        <v>17057423</v>
      </c>
      <c r="G3137" s="18">
        <v>1.0676517914548909</v>
      </c>
      <c r="H3137" s="10">
        <v>2025</v>
      </c>
    </row>
    <row r="3138" spans="1:8" hidden="1" x14ac:dyDescent="0.3">
      <c r="A3138" s="16" t="s">
        <v>147</v>
      </c>
      <c r="B3138" s="16" t="s">
        <v>201</v>
      </c>
      <c r="C3138" s="15">
        <v>12</v>
      </c>
      <c r="D3138" s="17">
        <v>9461690</v>
      </c>
      <c r="E3138" s="17">
        <v>-10017461</v>
      </c>
      <c r="F3138" s="17">
        <v>-19479151</v>
      </c>
      <c r="G3138" s="18">
        <v>-1.0587390836097992</v>
      </c>
      <c r="H3138" s="10">
        <v>2025</v>
      </c>
    </row>
    <row r="3139" spans="1:8" hidden="1" x14ac:dyDescent="0.3">
      <c r="A3139" s="16" t="s">
        <v>147</v>
      </c>
      <c r="B3139" s="16" t="s">
        <v>202</v>
      </c>
      <c r="C3139" s="15">
        <v>12</v>
      </c>
      <c r="D3139" s="17">
        <v>5636463</v>
      </c>
      <c r="E3139" s="17">
        <v>-8992498</v>
      </c>
      <c r="F3139" s="17">
        <v>-14628961</v>
      </c>
      <c r="G3139" s="18">
        <v>-1.5954150679246897</v>
      </c>
      <c r="H3139" s="10">
        <v>2025</v>
      </c>
    </row>
    <row r="3140" spans="1:8" hidden="1" x14ac:dyDescent="0.3">
      <c r="A3140" s="16" t="s">
        <v>147</v>
      </c>
      <c r="B3140" s="16" t="s">
        <v>208</v>
      </c>
      <c r="C3140" s="15">
        <v>12</v>
      </c>
      <c r="D3140" s="17">
        <v>811109</v>
      </c>
      <c r="E3140" s="17">
        <v>252154</v>
      </c>
      <c r="F3140" s="17">
        <v>-558955</v>
      </c>
      <c r="G3140" s="18">
        <v>0.31087560364883143</v>
      </c>
      <c r="H3140" s="10">
        <v>2025</v>
      </c>
    </row>
    <row r="3141" spans="1:8" hidden="1" x14ac:dyDescent="0.3">
      <c r="A3141" s="23" t="s">
        <v>146</v>
      </c>
      <c r="B3141" s="23" t="s">
        <v>177</v>
      </c>
      <c r="C3141" s="22">
        <v>1</v>
      </c>
      <c r="D3141" s="25">
        <v>1750905</v>
      </c>
      <c r="E3141" s="25">
        <v>1634179</v>
      </c>
      <c r="F3141" s="25">
        <v>-116726</v>
      </c>
      <c r="G3141" s="26">
        <v>0.93333390446654729</v>
      </c>
      <c r="H3141" s="10">
        <v>2026</v>
      </c>
    </row>
    <row r="3142" spans="1:8" hidden="1" x14ac:dyDescent="0.3">
      <c r="A3142" s="24" t="s">
        <v>146</v>
      </c>
      <c r="B3142" s="24" t="s">
        <v>177</v>
      </c>
      <c r="C3142" s="22">
        <v>2</v>
      </c>
      <c r="D3142" s="25">
        <v>1750905</v>
      </c>
      <c r="E3142" s="25">
        <v>1750906</v>
      </c>
      <c r="F3142" s="25">
        <v>1</v>
      </c>
      <c r="G3142" s="26">
        <v>1.0000005711332141</v>
      </c>
      <c r="H3142" s="10">
        <v>2026</v>
      </c>
    </row>
    <row r="3143" spans="1:8" hidden="1" x14ac:dyDescent="0.3">
      <c r="A3143" s="24" t="s">
        <v>146</v>
      </c>
      <c r="B3143" s="24" t="s">
        <v>177</v>
      </c>
      <c r="C3143" s="22">
        <v>3</v>
      </c>
      <c r="D3143" s="25">
        <v>2117000</v>
      </c>
      <c r="E3143" s="25">
        <v>1663694</v>
      </c>
      <c r="F3143" s="25">
        <v>-453306</v>
      </c>
      <c r="G3143" s="26">
        <v>0.78587340576287201</v>
      </c>
      <c r="H3143" s="10">
        <v>2026</v>
      </c>
    </row>
    <row r="3144" spans="1:8" hidden="1" x14ac:dyDescent="0.3">
      <c r="A3144" s="24" t="s">
        <v>146</v>
      </c>
      <c r="B3144" s="24" t="s">
        <v>177</v>
      </c>
      <c r="C3144" s="22">
        <v>4</v>
      </c>
      <c r="D3144" s="25">
        <v>0</v>
      </c>
      <c r="E3144" s="25">
        <v>0</v>
      </c>
      <c r="F3144" s="25">
        <v>0</v>
      </c>
      <c r="G3144" s="26">
        <v>0</v>
      </c>
      <c r="H3144" s="10">
        <v>2026</v>
      </c>
    </row>
    <row r="3145" spans="1:8" hidden="1" x14ac:dyDescent="0.3">
      <c r="A3145" s="23" t="s">
        <v>147</v>
      </c>
      <c r="B3145" s="23" t="s">
        <v>177</v>
      </c>
      <c r="C3145" s="22">
        <v>1</v>
      </c>
      <c r="D3145" s="25">
        <v>49365815</v>
      </c>
      <c r="E3145" s="25">
        <v>43885171</v>
      </c>
      <c r="F3145" s="25">
        <v>-5480644</v>
      </c>
      <c r="G3145" s="26">
        <v>0.88897896246623298</v>
      </c>
      <c r="H3145" s="10">
        <v>2026</v>
      </c>
    </row>
    <row r="3146" spans="1:8" hidden="1" x14ac:dyDescent="0.3">
      <c r="A3146" s="24" t="s">
        <v>147</v>
      </c>
      <c r="B3146" s="24" t="s">
        <v>177</v>
      </c>
      <c r="C3146" s="22">
        <v>2</v>
      </c>
      <c r="D3146" s="25">
        <v>49365815</v>
      </c>
      <c r="E3146" s="25">
        <v>48415479</v>
      </c>
      <c r="F3146" s="25">
        <v>-950336</v>
      </c>
      <c r="G3146" s="26">
        <v>0.98074910745421706</v>
      </c>
      <c r="H3146" s="10">
        <v>2026</v>
      </c>
    </row>
    <row r="3147" spans="1:8" hidden="1" x14ac:dyDescent="0.3">
      <c r="A3147" s="24" t="s">
        <v>147</v>
      </c>
      <c r="B3147" s="24" t="s">
        <v>177</v>
      </c>
      <c r="C3147" s="22">
        <v>3</v>
      </c>
      <c r="D3147" s="25">
        <v>59877995</v>
      </c>
      <c r="E3147" s="25">
        <v>52010727</v>
      </c>
      <c r="F3147" s="25">
        <v>-7867268</v>
      </c>
      <c r="G3147" s="26">
        <v>0.86861169950663852</v>
      </c>
      <c r="H3147" s="10">
        <v>2026</v>
      </c>
    </row>
    <row r="3148" spans="1:8" hidden="1" x14ac:dyDescent="0.3">
      <c r="A3148" s="24" t="s">
        <v>147</v>
      </c>
      <c r="B3148" s="24" t="s">
        <v>177</v>
      </c>
      <c r="C3148" s="22">
        <v>4</v>
      </c>
      <c r="D3148" s="25">
        <v>54621905</v>
      </c>
      <c r="E3148" s="25">
        <v>45137096</v>
      </c>
      <c r="F3148" s="25">
        <v>-9484809</v>
      </c>
      <c r="G3148" s="26">
        <v>0.82635521408489876</v>
      </c>
      <c r="H3148" s="10">
        <v>2026</v>
      </c>
    </row>
    <row r="3149" spans="1:8" hidden="1" x14ac:dyDescent="0.3">
      <c r="A3149" s="23" t="s">
        <v>146</v>
      </c>
      <c r="B3149" s="23" t="s">
        <v>205</v>
      </c>
      <c r="C3149" s="22">
        <v>1</v>
      </c>
      <c r="D3149" s="25">
        <v>133621</v>
      </c>
      <c r="E3149" s="25">
        <v>289297</v>
      </c>
      <c r="F3149" s="25">
        <v>155676</v>
      </c>
      <c r="G3149" s="26">
        <v>2.1650563908367699</v>
      </c>
      <c r="H3149" s="10">
        <v>2026</v>
      </c>
    </row>
    <row r="3150" spans="1:8" hidden="1" x14ac:dyDescent="0.3">
      <c r="A3150" s="24" t="s">
        <v>146</v>
      </c>
      <c r="B3150" s="24" t="s">
        <v>205</v>
      </c>
      <c r="C3150" s="22">
        <v>2</v>
      </c>
      <c r="D3150" s="25">
        <v>131445</v>
      </c>
      <c r="E3150" s="25">
        <v>164903</v>
      </c>
      <c r="F3150" s="25">
        <v>33458</v>
      </c>
      <c r="G3150" s="26">
        <v>1.2545399216402298</v>
      </c>
      <c r="H3150" s="10">
        <v>2026</v>
      </c>
    </row>
    <row r="3151" spans="1:8" hidden="1" x14ac:dyDescent="0.3">
      <c r="A3151" s="24" t="s">
        <v>146</v>
      </c>
      <c r="B3151" s="24" t="s">
        <v>205</v>
      </c>
      <c r="C3151" s="22">
        <v>3</v>
      </c>
      <c r="D3151" s="25">
        <v>381483</v>
      </c>
      <c r="E3151" s="25">
        <v>176686</v>
      </c>
      <c r="F3151" s="25">
        <v>-204797</v>
      </c>
      <c r="G3151" s="26">
        <v>0.46315563209894023</v>
      </c>
      <c r="H3151" s="10">
        <v>2026</v>
      </c>
    </row>
    <row r="3152" spans="1:8" hidden="1" x14ac:dyDescent="0.3">
      <c r="A3152" s="24" t="s">
        <v>146</v>
      </c>
      <c r="B3152" s="24" t="s">
        <v>205</v>
      </c>
      <c r="C3152" s="22">
        <v>4</v>
      </c>
      <c r="D3152" s="25">
        <v>0</v>
      </c>
      <c r="E3152" s="25">
        <v>0</v>
      </c>
      <c r="F3152" s="25">
        <v>0</v>
      </c>
      <c r="G3152" s="26">
        <v>0</v>
      </c>
      <c r="H3152" s="10">
        <v>2026</v>
      </c>
    </row>
    <row r="3153" spans="1:8" hidden="1" x14ac:dyDescent="0.3">
      <c r="A3153" s="23" t="s">
        <v>147</v>
      </c>
      <c r="B3153" s="23" t="s">
        <v>205</v>
      </c>
      <c r="C3153" s="22">
        <v>1</v>
      </c>
      <c r="D3153" s="25">
        <v>5042749</v>
      </c>
      <c r="E3153" s="25">
        <v>5841782</v>
      </c>
      <c r="F3153" s="25">
        <v>799033</v>
      </c>
      <c r="G3153" s="26">
        <v>1.1584518682171174</v>
      </c>
      <c r="H3153" s="10">
        <v>2026</v>
      </c>
    </row>
    <row r="3154" spans="1:8" hidden="1" x14ac:dyDescent="0.3">
      <c r="A3154" s="24" t="s">
        <v>147</v>
      </c>
      <c r="B3154" s="24" t="s">
        <v>205</v>
      </c>
      <c r="C3154" s="22">
        <v>2</v>
      </c>
      <c r="D3154" s="25">
        <v>4908038</v>
      </c>
      <c r="E3154" s="25">
        <v>7146164</v>
      </c>
      <c r="F3154" s="25">
        <v>2238126</v>
      </c>
      <c r="G3154" s="26">
        <v>1.4560123617624803</v>
      </c>
      <c r="H3154" s="10">
        <v>2026</v>
      </c>
    </row>
    <row r="3155" spans="1:8" hidden="1" x14ac:dyDescent="0.3">
      <c r="A3155" s="24" t="s">
        <v>147</v>
      </c>
      <c r="B3155" s="24" t="s">
        <v>205</v>
      </c>
      <c r="C3155" s="22">
        <v>3</v>
      </c>
      <c r="D3155" s="25">
        <v>21389720</v>
      </c>
      <c r="E3155" s="25">
        <v>10308901</v>
      </c>
      <c r="F3155" s="25">
        <v>-11080819</v>
      </c>
      <c r="G3155" s="26">
        <v>0.4819558647799036</v>
      </c>
      <c r="H3155" s="10">
        <v>2026</v>
      </c>
    </row>
    <row r="3156" spans="1:8" hidden="1" x14ac:dyDescent="0.3">
      <c r="A3156" s="24" t="s">
        <v>147</v>
      </c>
      <c r="B3156" s="24" t="s">
        <v>205</v>
      </c>
      <c r="C3156" s="22">
        <v>4</v>
      </c>
      <c r="D3156" s="25">
        <v>11783505</v>
      </c>
      <c r="E3156" s="25">
        <v>15617788</v>
      </c>
      <c r="F3156" s="25">
        <v>3834283</v>
      </c>
      <c r="G3156" s="26">
        <v>1.3253940996333435</v>
      </c>
      <c r="H3156" s="10">
        <v>2026</v>
      </c>
    </row>
    <row r="3157" spans="1:8" hidden="1" x14ac:dyDescent="0.3">
      <c r="A3157" s="23" t="s">
        <v>147</v>
      </c>
      <c r="B3157" s="23" t="s">
        <v>179</v>
      </c>
      <c r="C3157" s="22">
        <v>1</v>
      </c>
      <c r="D3157" s="25">
        <v>0</v>
      </c>
      <c r="E3157" s="25">
        <v>700363</v>
      </c>
      <c r="F3157" s="25">
        <v>700363</v>
      </c>
      <c r="G3157" s="26">
        <v>0</v>
      </c>
      <c r="H3157" s="10">
        <v>2026</v>
      </c>
    </row>
    <row r="3158" spans="1:8" hidden="1" x14ac:dyDescent="0.3">
      <c r="A3158" s="24" t="s">
        <v>147</v>
      </c>
      <c r="B3158" s="24" t="s">
        <v>179</v>
      </c>
      <c r="C3158" s="22">
        <v>2</v>
      </c>
      <c r="D3158" s="25">
        <v>0</v>
      </c>
      <c r="E3158" s="25">
        <v>2217817</v>
      </c>
      <c r="F3158" s="25">
        <v>2217817</v>
      </c>
      <c r="G3158" s="26">
        <v>0</v>
      </c>
      <c r="H3158" s="10">
        <v>2026</v>
      </c>
    </row>
    <row r="3159" spans="1:8" hidden="1" x14ac:dyDescent="0.3">
      <c r="A3159" s="24" t="s">
        <v>147</v>
      </c>
      <c r="B3159" s="24" t="s">
        <v>179</v>
      </c>
      <c r="C3159" s="22">
        <v>3</v>
      </c>
      <c r="D3159" s="25">
        <v>0</v>
      </c>
      <c r="E3159" s="25">
        <v>1925999</v>
      </c>
      <c r="F3159" s="25">
        <v>1925999</v>
      </c>
      <c r="G3159" s="26">
        <v>0</v>
      </c>
      <c r="H3159" s="10">
        <v>2026</v>
      </c>
    </row>
    <row r="3160" spans="1:8" hidden="1" x14ac:dyDescent="0.3">
      <c r="A3160" s="24" t="s">
        <v>147</v>
      </c>
      <c r="B3160" s="24" t="s">
        <v>179</v>
      </c>
      <c r="C3160" s="22">
        <v>4</v>
      </c>
      <c r="D3160" s="25">
        <v>0</v>
      </c>
      <c r="E3160" s="25">
        <v>3015456</v>
      </c>
      <c r="F3160" s="25">
        <v>3015456</v>
      </c>
      <c r="G3160" s="26">
        <v>0</v>
      </c>
      <c r="H3160" s="10">
        <v>2026</v>
      </c>
    </row>
    <row r="3161" spans="1:8" hidden="1" x14ac:dyDescent="0.3">
      <c r="A3161" s="23" t="s">
        <v>146</v>
      </c>
      <c r="B3161" s="23" t="s">
        <v>180</v>
      </c>
      <c r="C3161" s="22">
        <v>1</v>
      </c>
      <c r="D3161" s="25">
        <v>0</v>
      </c>
      <c r="E3161" s="25">
        <v>232489</v>
      </c>
      <c r="F3161" s="25">
        <v>232489</v>
      </c>
      <c r="G3161" s="26">
        <v>0</v>
      </c>
      <c r="H3161" s="10">
        <v>2026</v>
      </c>
    </row>
    <row r="3162" spans="1:8" hidden="1" x14ac:dyDescent="0.3">
      <c r="A3162" s="24" t="s">
        <v>146</v>
      </c>
      <c r="B3162" s="24" t="s">
        <v>180</v>
      </c>
      <c r="C3162" s="22">
        <v>2</v>
      </c>
      <c r="D3162" s="25">
        <v>0</v>
      </c>
      <c r="E3162" s="25">
        <v>249095</v>
      </c>
      <c r="F3162" s="25">
        <v>249095</v>
      </c>
      <c r="G3162" s="26">
        <v>0</v>
      </c>
      <c r="H3162" s="10">
        <v>2026</v>
      </c>
    </row>
    <row r="3163" spans="1:8" hidden="1" x14ac:dyDescent="0.3">
      <c r="A3163" s="24" t="s">
        <v>146</v>
      </c>
      <c r="B3163" s="24" t="s">
        <v>180</v>
      </c>
      <c r="C3163" s="22">
        <v>3</v>
      </c>
      <c r="D3163" s="25">
        <v>0</v>
      </c>
      <c r="E3163" s="25">
        <v>190973</v>
      </c>
      <c r="F3163" s="25">
        <v>190973</v>
      </c>
      <c r="G3163" s="26">
        <v>0</v>
      </c>
      <c r="H3163" s="10">
        <v>2026</v>
      </c>
    </row>
    <row r="3164" spans="1:8" hidden="1" x14ac:dyDescent="0.3">
      <c r="A3164" s="24" t="s">
        <v>146</v>
      </c>
      <c r="B3164" s="24" t="s">
        <v>180</v>
      </c>
      <c r="C3164" s="22">
        <v>4</v>
      </c>
      <c r="D3164" s="25">
        <v>0</v>
      </c>
      <c r="E3164" s="25">
        <v>0</v>
      </c>
      <c r="F3164" s="25">
        <v>0</v>
      </c>
      <c r="G3164" s="26">
        <v>0</v>
      </c>
      <c r="H3164" s="10">
        <v>2026</v>
      </c>
    </row>
    <row r="3165" spans="1:8" hidden="1" x14ac:dyDescent="0.3">
      <c r="A3165" s="23" t="s">
        <v>147</v>
      </c>
      <c r="B3165" s="23" t="s">
        <v>180</v>
      </c>
      <c r="C3165" s="22">
        <v>1</v>
      </c>
      <c r="D3165" s="25">
        <v>6974660</v>
      </c>
      <c r="E3165" s="25">
        <v>6210768</v>
      </c>
      <c r="F3165" s="25">
        <v>-763892</v>
      </c>
      <c r="G3165" s="26">
        <v>0.89047609489208079</v>
      </c>
      <c r="H3165" s="10">
        <v>2026</v>
      </c>
    </row>
    <row r="3166" spans="1:8" hidden="1" x14ac:dyDescent="0.3">
      <c r="A3166" s="24" t="s">
        <v>147</v>
      </c>
      <c r="B3166" s="24" t="s">
        <v>180</v>
      </c>
      <c r="C3166" s="22">
        <v>2</v>
      </c>
      <c r="D3166" s="25">
        <v>6974660</v>
      </c>
      <c r="E3166" s="25">
        <v>6850115</v>
      </c>
      <c r="F3166" s="25">
        <v>-124545</v>
      </c>
      <c r="G3166" s="26">
        <v>0.98214321558326867</v>
      </c>
      <c r="H3166" s="10">
        <v>2026</v>
      </c>
    </row>
    <row r="3167" spans="1:8" hidden="1" x14ac:dyDescent="0.3">
      <c r="A3167" s="24" t="s">
        <v>147</v>
      </c>
      <c r="B3167" s="24" t="s">
        <v>180</v>
      </c>
      <c r="C3167" s="22">
        <v>3</v>
      </c>
      <c r="D3167" s="25">
        <v>6974660</v>
      </c>
      <c r="E3167" s="25">
        <v>5870340</v>
      </c>
      <c r="F3167" s="25">
        <v>-1104320</v>
      </c>
      <c r="G3167" s="26">
        <v>0.84166683393885866</v>
      </c>
      <c r="H3167" s="10">
        <v>2026</v>
      </c>
    </row>
    <row r="3168" spans="1:8" hidden="1" x14ac:dyDescent="0.3">
      <c r="A3168" s="24" t="s">
        <v>147</v>
      </c>
      <c r="B3168" s="24" t="s">
        <v>180</v>
      </c>
      <c r="C3168" s="22">
        <v>4</v>
      </c>
      <c r="D3168" s="25">
        <v>6974660</v>
      </c>
      <c r="E3168" s="25">
        <v>5513308</v>
      </c>
      <c r="F3168" s="25">
        <v>-1461352</v>
      </c>
      <c r="G3168" s="26">
        <v>0.79047695514906824</v>
      </c>
      <c r="H3168" s="10">
        <v>2026</v>
      </c>
    </row>
    <row r="3169" spans="1:8" hidden="1" x14ac:dyDescent="0.3">
      <c r="A3169" s="23" t="s">
        <v>146</v>
      </c>
      <c r="B3169" s="23" t="s">
        <v>181</v>
      </c>
      <c r="C3169" s="22">
        <v>1</v>
      </c>
      <c r="D3169" s="25">
        <v>156981</v>
      </c>
      <c r="E3169" s="25">
        <v>179591</v>
      </c>
      <c r="F3169" s="25">
        <v>22610</v>
      </c>
      <c r="G3169" s="26">
        <v>1.1440301692561521</v>
      </c>
      <c r="H3169" s="10">
        <v>2026</v>
      </c>
    </row>
    <row r="3170" spans="1:8" hidden="1" x14ac:dyDescent="0.3">
      <c r="A3170" s="24" t="s">
        <v>146</v>
      </c>
      <c r="B3170" s="24" t="s">
        <v>181</v>
      </c>
      <c r="C3170" s="22">
        <v>2</v>
      </c>
      <c r="D3170" s="25">
        <v>156799</v>
      </c>
      <c r="E3170" s="25">
        <v>180336</v>
      </c>
      <c r="F3170" s="25">
        <v>23537</v>
      </c>
      <c r="G3170" s="26">
        <v>1.1501093756975491</v>
      </c>
      <c r="H3170" s="10">
        <v>2026</v>
      </c>
    </row>
    <row r="3171" spans="1:8" hidden="1" x14ac:dyDescent="0.3">
      <c r="A3171" s="24" t="s">
        <v>146</v>
      </c>
      <c r="B3171" s="24" t="s">
        <v>181</v>
      </c>
      <c r="C3171" s="22">
        <v>3</v>
      </c>
      <c r="D3171" s="25">
        <v>208123</v>
      </c>
      <c r="E3171" s="25">
        <v>274218</v>
      </c>
      <c r="F3171" s="25">
        <v>66095</v>
      </c>
      <c r="G3171" s="26">
        <v>1.3175766253609644</v>
      </c>
      <c r="H3171" s="10">
        <v>2026</v>
      </c>
    </row>
    <row r="3172" spans="1:8" hidden="1" x14ac:dyDescent="0.3">
      <c r="A3172" s="24" t="s">
        <v>146</v>
      </c>
      <c r="B3172" s="24" t="s">
        <v>181</v>
      </c>
      <c r="C3172" s="22">
        <v>4</v>
      </c>
      <c r="D3172" s="25">
        <v>0</v>
      </c>
      <c r="E3172" s="25">
        <v>0</v>
      </c>
      <c r="F3172" s="25">
        <v>0</v>
      </c>
      <c r="G3172" s="26">
        <v>0</v>
      </c>
      <c r="H3172" s="10">
        <v>2026</v>
      </c>
    </row>
    <row r="3173" spans="1:8" hidden="1" x14ac:dyDescent="0.3">
      <c r="A3173" s="23" t="s">
        <v>147</v>
      </c>
      <c r="B3173" s="23" t="s">
        <v>181</v>
      </c>
      <c r="C3173" s="22">
        <v>1</v>
      </c>
      <c r="D3173" s="25">
        <v>5113222</v>
      </c>
      <c r="E3173" s="25">
        <v>5303725</v>
      </c>
      <c r="F3173" s="25">
        <v>190503</v>
      </c>
      <c r="G3173" s="26">
        <v>1.0372569389711614</v>
      </c>
      <c r="H3173" s="10">
        <v>2026</v>
      </c>
    </row>
    <row r="3174" spans="1:8" hidden="1" x14ac:dyDescent="0.3">
      <c r="A3174" s="24" t="s">
        <v>147</v>
      </c>
      <c r="B3174" s="24" t="s">
        <v>181</v>
      </c>
      <c r="C3174" s="22">
        <v>2</v>
      </c>
      <c r="D3174" s="25">
        <v>5102001</v>
      </c>
      <c r="E3174" s="25">
        <v>5521076</v>
      </c>
      <c r="F3174" s="25">
        <v>419075</v>
      </c>
      <c r="G3174" s="26">
        <v>1.0821393410154174</v>
      </c>
      <c r="H3174" s="10">
        <v>2026</v>
      </c>
    </row>
    <row r="3175" spans="1:8" hidden="1" x14ac:dyDescent="0.3">
      <c r="A3175" s="24" t="s">
        <v>147</v>
      </c>
      <c r="B3175" s="24" t="s">
        <v>181</v>
      </c>
      <c r="C3175" s="22">
        <v>3</v>
      </c>
      <c r="D3175" s="25">
        <v>7350589</v>
      </c>
      <c r="E3175" s="25">
        <v>6341216</v>
      </c>
      <c r="F3175" s="25">
        <v>-1009373</v>
      </c>
      <c r="G3175" s="26">
        <v>0.86268134431131982</v>
      </c>
      <c r="H3175" s="10">
        <v>2026</v>
      </c>
    </row>
    <row r="3176" spans="1:8" hidden="1" x14ac:dyDescent="0.3">
      <c r="A3176" s="24" t="s">
        <v>147</v>
      </c>
      <c r="B3176" s="24" t="s">
        <v>181</v>
      </c>
      <c r="C3176" s="22">
        <v>4</v>
      </c>
      <c r="D3176" s="25">
        <v>6112559</v>
      </c>
      <c r="E3176" s="25">
        <v>6130009</v>
      </c>
      <c r="F3176" s="25">
        <v>17450</v>
      </c>
      <c r="G3176" s="26">
        <v>1.0028547781706483</v>
      </c>
      <c r="H3176" s="10">
        <v>2026</v>
      </c>
    </row>
    <row r="3177" spans="1:8" hidden="1" x14ac:dyDescent="0.3">
      <c r="A3177" s="23" t="s">
        <v>146</v>
      </c>
      <c r="B3177" s="23" t="s">
        <v>182</v>
      </c>
      <c r="C3177" s="22">
        <v>1</v>
      </c>
      <c r="D3177" s="25">
        <v>18837</v>
      </c>
      <c r="E3177" s="25">
        <v>21560</v>
      </c>
      <c r="F3177" s="25">
        <v>2723</v>
      </c>
      <c r="G3177" s="26">
        <v>1.1445559271646228</v>
      </c>
      <c r="H3177" s="10">
        <v>2026</v>
      </c>
    </row>
    <row r="3178" spans="1:8" hidden="1" x14ac:dyDescent="0.3">
      <c r="A3178" s="24" t="s">
        <v>146</v>
      </c>
      <c r="B3178" s="24" t="s">
        <v>182</v>
      </c>
      <c r="C3178" s="22">
        <v>2</v>
      </c>
      <c r="D3178" s="25">
        <v>18815</v>
      </c>
      <c r="E3178" s="25">
        <v>21649</v>
      </c>
      <c r="F3178" s="25">
        <v>2834</v>
      </c>
      <c r="G3178" s="26">
        <v>1.1506245017273453</v>
      </c>
      <c r="H3178" s="10">
        <v>2026</v>
      </c>
    </row>
    <row r="3179" spans="1:8" hidden="1" x14ac:dyDescent="0.3">
      <c r="A3179" s="24" t="s">
        <v>146</v>
      </c>
      <c r="B3179" s="24" t="s">
        <v>182</v>
      </c>
      <c r="C3179" s="22">
        <v>3</v>
      </c>
      <c r="D3179" s="25">
        <v>24974</v>
      </c>
      <c r="E3179" s="25">
        <v>32920</v>
      </c>
      <c r="F3179" s="25">
        <v>7946</v>
      </c>
      <c r="G3179" s="26">
        <v>1.318170897733643</v>
      </c>
      <c r="H3179" s="10">
        <v>2026</v>
      </c>
    </row>
    <row r="3180" spans="1:8" hidden="1" x14ac:dyDescent="0.3">
      <c r="A3180" s="24" t="s">
        <v>146</v>
      </c>
      <c r="B3180" s="24" t="s">
        <v>182</v>
      </c>
      <c r="C3180" s="22">
        <v>4</v>
      </c>
      <c r="D3180" s="25">
        <v>0</v>
      </c>
      <c r="E3180" s="25">
        <v>0</v>
      </c>
      <c r="F3180" s="25">
        <v>0</v>
      </c>
      <c r="G3180" s="26">
        <v>0</v>
      </c>
      <c r="H3180" s="10">
        <v>2026</v>
      </c>
    </row>
    <row r="3181" spans="1:8" hidden="1" x14ac:dyDescent="0.3">
      <c r="A3181" s="23" t="s">
        <v>147</v>
      </c>
      <c r="B3181" s="23" t="s">
        <v>182</v>
      </c>
      <c r="C3181" s="22">
        <v>1</v>
      </c>
      <c r="D3181" s="25">
        <v>613586</v>
      </c>
      <c r="E3181" s="25">
        <v>636707</v>
      </c>
      <c r="F3181" s="25">
        <v>23121</v>
      </c>
      <c r="G3181" s="26">
        <v>1.0376817593621759</v>
      </c>
      <c r="H3181" s="10">
        <v>2026</v>
      </c>
    </row>
    <row r="3182" spans="1:8" hidden="1" x14ac:dyDescent="0.3">
      <c r="A3182" s="24" t="s">
        <v>147</v>
      </c>
      <c r="B3182" s="24" t="s">
        <v>182</v>
      </c>
      <c r="C3182" s="22">
        <v>2</v>
      </c>
      <c r="D3182" s="25">
        <v>612240</v>
      </c>
      <c r="E3182" s="25">
        <v>662793</v>
      </c>
      <c r="F3182" s="25">
        <v>50553</v>
      </c>
      <c r="G3182" s="26">
        <v>1.0825705605644844</v>
      </c>
      <c r="H3182" s="10">
        <v>2026</v>
      </c>
    </row>
    <row r="3183" spans="1:8" hidden="1" x14ac:dyDescent="0.3">
      <c r="A3183" s="24" t="s">
        <v>147</v>
      </c>
      <c r="B3183" s="24" t="s">
        <v>182</v>
      </c>
      <c r="C3183" s="22">
        <v>3</v>
      </c>
      <c r="D3183" s="25">
        <v>882070</v>
      </c>
      <c r="E3183" s="25">
        <v>761248</v>
      </c>
      <c r="F3183" s="25">
        <v>-120822</v>
      </c>
      <c r="G3183" s="26">
        <v>0.86302447651546921</v>
      </c>
      <c r="H3183" s="10">
        <v>2026</v>
      </c>
    </row>
    <row r="3184" spans="1:8" hidden="1" x14ac:dyDescent="0.3">
      <c r="A3184" s="24" t="s">
        <v>147</v>
      </c>
      <c r="B3184" s="24" t="s">
        <v>182</v>
      </c>
      <c r="C3184" s="22">
        <v>4</v>
      </c>
      <c r="D3184" s="25">
        <v>733507</v>
      </c>
      <c r="E3184" s="25">
        <v>735897</v>
      </c>
      <c r="F3184" s="25">
        <v>2390</v>
      </c>
      <c r="G3184" s="26">
        <v>1.0032583192798432</v>
      </c>
      <c r="H3184" s="10">
        <v>2026</v>
      </c>
    </row>
    <row r="3185" spans="1:8" hidden="1" x14ac:dyDescent="0.3">
      <c r="A3185" s="23" t="s">
        <v>146</v>
      </c>
      <c r="B3185" s="23" t="s">
        <v>183</v>
      </c>
      <c r="C3185" s="22">
        <v>1</v>
      </c>
      <c r="D3185" s="25">
        <v>156981</v>
      </c>
      <c r="E3185" s="25">
        <v>179591</v>
      </c>
      <c r="F3185" s="25">
        <v>22610</v>
      </c>
      <c r="G3185" s="26">
        <v>1.1440301692561521</v>
      </c>
      <c r="H3185" s="10">
        <v>2026</v>
      </c>
    </row>
    <row r="3186" spans="1:8" hidden="1" x14ac:dyDescent="0.3">
      <c r="A3186" s="24" t="s">
        <v>146</v>
      </c>
      <c r="B3186" s="24" t="s">
        <v>183</v>
      </c>
      <c r="C3186" s="22">
        <v>2</v>
      </c>
      <c r="D3186" s="25">
        <v>156799</v>
      </c>
      <c r="E3186" s="25">
        <v>180336</v>
      </c>
      <c r="F3186" s="25">
        <v>23537</v>
      </c>
      <c r="G3186" s="26">
        <v>1.1501093756975491</v>
      </c>
      <c r="H3186" s="10">
        <v>2026</v>
      </c>
    </row>
    <row r="3187" spans="1:8" hidden="1" x14ac:dyDescent="0.3">
      <c r="A3187" s="24" t="s">
        <v>146</v>
      </c>
      <c r="B3187" s="24" t="s">
        <v>183</v>
      </c>
      <c r="C3187" s="22">
        <v>3</v>
      </c>
      <c r="D3187" s="25">
        <v>208123</v>
      </c>
      <c r="E3187" s="25">
        <v>274218</v>
      </c>
      <c r="F3187" s="25">
        <v>66095</v>
      </c>
      <c r="G3187" s="26">
        <v>1.3175766253609644</v>
      </c>
      <c r="H3187" s="10">
        <v>2026</v>
      </c>
    </row>
    <row r="3188" spans="1:8" hidden="1" x14ac:dyDescent="0.3">
      <c r="A3188" s="24" t="s">
        <v>146</v>
      </c>
      <c r="B3188" s="24" t="s">
        <v>183</v>
      </c>
      <c r="C3188" s="22">
        <v>4</v>
      </c>
      <c r="D3188" s="25">
        <v>0</v>
      </c>
      <c r="E3188" s="25">
        <v>0</v>
      </c>
      <c r="F3188" s="25">
        <v>0</v>
      </c>
      <c r="G3188" s="26">
        <v>0</v>
      </c>
      <c r="H3188" s="10">
        <v>2026</v>
      </c>
    </row>
    <row r="3189" spans="1:8" hidden="1" x14ac:dyDescent="0.3">
      <c r="A3189" s="23" t="s">
        <v>147</v>
      </c>
      <c r="B3189" s="23" t="s">
        <v>183</v>
      </c>
      <c r="C3189" s="22">
        <v>1</v>
      </c>
      <c r="D3189" s="25">
        <v>5113222</v>
      </c>
      <c r="E3189" s="25">
        <v>5303725</v>
      </c>
      <c r="F3189" s="25">
        <v>190503</v>
      </c>
      <c r="G3189" s="26">
        <v>1.0372569389711614</v>
      </c>
      <c r="H3189" s="10">
        <v>2026</v>
      </c>
    </row>
    <row r="3190" spans="1:8" hidden="1" x14ac:dyDescent="0.3">
      <c r="A3190" s="24" t="s">
        <v>147</v>
      </c>
      <c r="B3190" s="24" t="s">
        <v>183</v>
      </c>
      <c r="C3190" s="22">
        <v>2</v>
      </c>
      <c r="D3190" s="25">
        <v>5102001</v>
      </c>
      <c r="E3190" s="25">
        <v>5521076</v>
      </c>
      <c r="F3190" s="25">
        <v>419075</v>
      </c>
      <c r="G3190" s="26">
        <v>1.0821393410154174</v>
      </c>
      <c r="H3190" s="10">
        <v>2026</v>
      </c>
    </row>
    <row r="3191" spans="1:8" hidden="1" x14ac:dyDescent="0.3">
      <c r="A3191" s="24" t="s">
        <v>147</v>
      </c>
      <c r="B3191" s="24" t="s">
        <v>183</v>
      </c>
      <c r="C3191" s="22">
        <v>3</v>
      </c>
      <c r="D3191" s="25">
        <v>7350589</v>
      </c>
      <c r="E3191" s="25">
        <v>6341216</v>
      </c>
      <c r="F3191" s="25">
        <v>-1009373</v>
      </c>
      <c r="G3191" s="26">
        <v>0.86268134431131982</v>
      </c>
      <c r="H3191" s="10">
        <v>2026</v>
      </c>
    </row>
    <row r="3192" spans="1:8" hidden="1" x14ac:dyDescent="0.3">
      <c r="A3192" s="24" t="s">
        <v>147</v>
      </c>
      <c r="B3192" s="24" t="s">
        <v>183</v>
      </c>
      <c r="C3192" s="22">
        <v>4</v>
      </c>
      <c r="D3192" s="25">
        <v>6112559</v>
      </c>
      <c r="E3192" s="25">
        <v>6130009</v>
      </c>
      <c r="F3192" s="25">
        <v>17450</v>
      </c>
      <c r="G3192" s="26">
        <v>1.0028547781706483</v>
      </c>
      <c r="H3192" s="10">
        <v>2026</v>
      </c>
    </row>
    <row r="3193" spans="1:8" hidden="1" x14ac:dyDescent="0.3">
      <c r="A3193" s="23" t="s">
        <v>146</v>
      </c>
      <c r="B3193" s="23" t="s">
        <v>184</v>
      </c>
      <c r="C3193" s="22">
        <v>1</v>
      </c>
      <c r="D3193" s="25">
        <v>78584</v>
      </c>
      <c r="E3193" s="25">
        <v>80209</v>
      </c>
      <c r="F3193" s="25">
        <v>1625</v>
      </c>
      <c r="G3193" s="26">
        <v>1.0206785096202791</v>
      </c>
      <c r="H3193" s="10">
        <v>2026</v>
      </c>
    </row>
    <row r="3194" spans="1:8" hidden="1" x14ac:dyDescent="0.3">
      <c r="A3194" s="24" t="s">
        <v>146</v>
      </c>
      <c r="B3194" s="24" t="s">
        <v>184</v>
      </c>
      <c r="C3194" s="22">
        <v>2</v>
      </c>
      <c r="D3194" s="25">
        <v>78493</v>
      </c>
      <c r="E3194" s="25">
        <v>79889</v>
      </c>
      <c r="F3194" s="25">
        <v>1396</v>
      </c>
      <c r="G3194" s="26">
        <v>1.0177850254162792</v>
      </c>
      <c r="H3194" s="10">
        <v>2026</v>
      </c>
    </row>
    <row r="3195" spans="1:8" hidden="1" x14ac:dyDescent="0.3">
      <c r="A3195" s="24" t="s">
        <v>146</v>
      </c>
      <c r="B3195" s="24" t="s">
        <v>184</v>
      </c>
      <c r="C3195" s="22">
        <v>3</v>
      </c>
      <c r="D3195" s="25">
        <v>104186</v>
      </c>
      <c r="E3195" s="25">
        <v>129310</v>
      </c>
      <c r="F3195" s="25">
        <v>25124</v>
      </c>
      <c r="G3195" s="26">
        <v>1.2411456433685908</v>
      </c>
      <c r="H3195" s="10">
        <v>2026</v>
      </c>
    </row>
    <row r="3196" spans="1:8" hidden="1" x14ac:dyDescent="0.3">
      <c r="A3196" s="24" t="s">
        <v>146</v>
      </c>
      <c r="B3196" s="24" t="s">
        <v>184</v>
      </c>
      <c r="C3196" s="22">
        <v>4</v>
      </c>
      <c r="D3196" s="25">
        <v>0</v>
      </c>
      <c r="E3196" s="25">
        <v>0</v>
      </c>
      <c r="F3196" s="25">
        <v>0</v>
      </c>
      <c r="G3196" s="26">
        <v>0</v>
      </c>
      <c r="H3196" s="10">
        <v>2026</v>
      </c>
    </row>
    <row r="3197" spans="1:8" hidden="1" x14ac:dyDescent="0.3">
      <c r="A3197" s="23" t="s">
        <v>147</v>
      </c>
      <c r="B3197" s="23" t="s">
        <v>184</v>
      </c>
      <c r="C3197" s="22">
        <v>1</v>
      </c>
      <c r="D3197" s="25">
        <v>2268837</v>
      </c>
      <c r="E3197" s="25">
        <v>2396061</v>
      </c>
      <c r="F3197" s="25">
        <v>127224</v>
      </c>
      <c r="G3197" s="26">
        <v>1.0560745439183159</v>
      </c>
      <c r="H3197" s="10">
        <v>2026</v>
      </c>
    </row>
    <row r="3198" spans="1:8" hidden="1" x14ac:dyDescent="0.3">
      <c r="A3198" s="24" t="s">
        <v>147</v>
      </c>
      <c r="B3198" s="24" t="s">
        <v>184</v>
      </c>
      <c r="C3198" s="22">
        <v>2</v>
      </c>
      <c r="D3198" s="25">
        <v>2263219</v>
      </c>
      <c r="E3198" s="25">
        <v>2478207</v>
      </c>
      <c r="F3198" s="25">
        <v>214988</v>
      </c>
      <c r="G3198" s="26">
        <v>1.0949921328868306</v>
      </c>
      <c r="H3198" s="10">
        <v>2026</v>
      </c>
    </row>
    <row r="3199" spans="1:8" hidden="1" x14ac:dyDescent="0.3">
      <c r="A3199" s="24" t="s">
        <v>147</v>
      </c>
      <c r="B3199" s="24" t="s">
        <v>184</v>
      </c>
      <c r="C3199" s="22">
        <v>3</v>
      </c>
      <c r="D3199" s="25">
        <v>3388863</v>
      </c>
      <c r="E3199" s="25">
        <v>2929627</v>
      </c>
      <c r="F3199" s="25">
        <v>-459236</v>
      </c>
      <c r="G3199" s="26">
        <v>0.86448670247218617</v>
      </c>
      <c r="H3199" s="10">
        <v>2026</v>
      </c>
    </row>
    <row r="3200" spans="1:8" hidden="1" x14ac:dyDescent="0.3">
      <c r="A3200" s="24" t="s">
        <v>147</v>
      </c>
      <c r="B3200" s="24" t="s">
        <v>184</v>
      </c>
      <c r="C3200" s="22">
        <v>4</v>
      </c>
      <c r="D3200" s="25">
        <v>2769105</v>
      </c>
      <c r="E3200" s="25">
        <v>2838780</v>
      </c>
      <c r="F3200" s="25">
        <v>69675</v>
      </c>
      <c r="G3200" s="26">
        <v>1.0251615594208237</v>
      </c>
      <c r="H3200" s="10">
        <v>2026</v>
      </c>
    </row>
    <row r="3201" spans="1:8" hidden="1" x14ac:dyDescent="0.3">
      <c r="A3201" s="23" t="s">
        <v>146</v>
      </c>
      <c r="B3201" s="23" t="s">
        <v>185</v>
      </c>
      <c r="C3201" s="22">
        <v>1</v>
      </c>
      <c r="D3201" s="25">
        <v>26006</v>
      </c>
      <c r="E3201" s="25">
        <v>26544</v>
      </c>
      <c r="F3201" s="25">
        <v>538</v>
      </c>
      <c r="G3201" s="26">
        <v>1.0206875336460817</v>
      </c>
      <c r="H3201" s="10">
        <v>2026</v>
      </c>
    </row>
    <row r="3202" spans="1:8" hidden="1" x14ac:dyDescent="0.3">
      <c r="A3202" s="24" t="s">
        <v>146</v>
      </c>
      <c r="B3202" s="24" t="s">
        <v>185</v>
      </c>
      <c r="C3202" s="22">
        <v>2</v>
      </c>
      <c r="D3202" s="25">
        <v>25976</v>
      </c>
      <c r="E3202" s="25">
        <v>26439</v>
      </c>
      <c r="F3202" s="25">
        <v>463</v>
      </c>
      <c r="G3202" s="26">
        <v>1.0178241453649524</v>
      </c>
      <c r="H3202" s="10">
        <v>2026</v>
      </c>
    </row>
    <row r="3203" spans="1:8" hidden="1" x14ac:dyDescent="0.3">
      <c r="A3203" s="24" t="s">
        <v>146</v>
      </c>
      <c r="B3203" s="24" t="s">
        <v>185</v>
      </c>
      <c r="C3203" s="22">
        <v>3</v>
      </c>
      <c r="D3203" s="25">
        <v>34479</v>
      </c>
      <c r="E3203" s="25">
        <v>42793</v>
      </c>
      <c r="F3203" s="25">
        <v>8314</v>
      </c>
      <c r="G3203" s="26">
        <v>1.2411322834188927</v>
      </c>
      <c r="H3203" s="10">
        <v>2026</v>
      </c>
    </row>
    <row r="3204" spans="1:8" hidden="1" x14ac:dyDescent="0.3">
      <c r="A3204" s="24" t="s">
        <v>146</v>
      </c>
      <c r="B3204" s="24" t="s">
        <v>185</v>
      </c>
      <c r="C3204" s="22">
        <v>4</v>
      </c>
      <c r="D3204" s="25">
        <v>0</v>
      </c>
      <c r="E3204" s="25">
        <v>0</v>
      </c>
      <c r="F3204" s="25">
        <v>0</v>
      </c>
      <c r="G3204" s="26">
        <v>0</v>
      </c>
      <c r="H3204" s="10">
        <v>2026</v>
      </c>
    </row>
    <row r="3205" spans="1:8" hidden="1" x14ac:dyDescent="0.3">
      <c r="A3205" s="23" t="s">
        <v>147</v>
      </c>
      <c r="B3205" s="23" t="s">
        <v>185</v>
      </c>
      <c r="C3205" s="22">
        <v>1</v>
      </c>
      <c r="D3205" s="25">
        <v>750838</v>
      </c>
      <c r="E3205" s="25">
        <v>792949</v>
      </c>
      <c r="F3205" s="25">
        <v>42111</v>
      </c>
      <c r="G3205" s="26">
        <v>1.0560853339868255</v>
      </c>
      <c r="H3205" s="10">
        <v>2026</v>
      </c>
    </row>
    <row r="3206" spans="1:8" hidden="1" x14ac:dyDescent="0.3">
      <c r="A3206" s="24" t="s">
        <v>147</v>
      </c>
      <c r="B3206" s="24" t="s">
        <v>185</v>
      </c>
      <c r="C3206" s="22">
        <v>2</v>
      </c>
      <c r="D3206" s="25">
        <v>748979</v>
      </c>
      <c r="E3206" s="25">
        <v>820135</v>
      </c>
      <c r="F3206" s="25">
        <v>71156</v>
      </c>
      <c r="G3206" s="26">
        <v>1.0950039987770017</v>
      </c>
      <c r="H3206" s="10">
        <v>2026</v>
      </c>
    </row>
    <row r="3207" spans="1:8" hidden="1" x14ac:dyDescent="0.3">
      <c r="A3207" s="24" t="s">
        <v>147</v>
      </c>
      <c r="B3207" s="24" t="s">
        <v>185</v>
      </c>
      <c r="C3207" s="22">
        <v>3</v>
      </c>
      <c r="D3207" s="25">
        <v>1121494</v>
      </c>
      <c r="E3207" s="25">
        <v>969511</v>
      </c>
      <c r="F3207" s="25">
        <v>-151983</v>
      </c>
      <c r="G3207" s="26">
        <v>0.86448166463663656</v>
      </c>
      <c r="H3207" s="10">
        <v>2026</v>
      </c>
    </row>
    <row r="3208" spans="1:8" hidden="1" x14ac:dyDescent="0.3">
      <c r="A3208" s="24" t="s">
        <v>147</v>
      </c>
      <c r="B3208" s="24" t="s">
        <v>185</v>
      </c>
      <c r="C3208" s="22">
        <v>4</v>
      </c>
      <c r="D3208" s="25">
        <v>916394</v>
      </c>
      <c r="E3208" s="25">
        <v>939452</v>
      </c>
      <c r="F3208" s="25">
        <v>23058</v>
      </c>
      <c r="G3208" s="26">
        <v>1.0251616662701852</v>
      </c>
      <c r="H3208" s="10">
        <v>2026</v>
      </c>
    </row>
    <row r="3209" spans="1:8" hidden="1" x14ac:dyDescent="0.3">
      <c r="A3209" s="23" t="s">
        <v>146</v>
      </c>
      <c r="B3209" s="23" t="s">
        <v>207</v>
      </c>
      <c r="C3209" s="22">
        <v>1</v>
      </c>
      <c r="D3209" s="25">
        <v>300000</v>
      </c>
      <c r="E3209" s="25">
        <v>0</v>
      </c>
      <c r="F3209" s="25">
        <v>-300000</v>
      </c>
      <c r="G3209" s="26">
        <v>0</v>
      </c>
      <c r="H3209" s="10">
        <v>2026</v>
      </c>
    </row>
    <row r="3210" spans="1:8" hidden="1" x14ac:dyDescent="0.3">
      <c r="A3210" s="24" t="s">
        <v>146</v>
      </c>
      <c r="B3210" s="24" t="s">
        <v>207</v>
      </c>
      <c r="C3210" s="22">
        <v>2</v>
      </c>
      <c r="D3210" s="25">
        <v>300000</v>
      </c>
      <c r="E3210" s="25">
        <v>0</v>
      </c>
      <c r="F3210" s="25">
        <v>-300000</v>
      </c>
      <c r="G3210" s="26">
        <v>0</v>
      </c>
      <c r="H3210" s="10">
        <v>2026</v>
      </c>
    </row>
    <row r="3211" spans="1:8" hidden="1" x14ac:dyDescent="0.3">
      <c r="A3211" s="24" t="s">
        <v>146</v>
      </c>
      <c r="B3211" s="24" t="s">
        <v>207</v>
      </c>
      <c r="C3211" s="22">
        <v>3</v>
      </c>
      <c r="D3211" s="25">
        <v>300000</v>
      </c>
      <c r="E3211" s="25">
        <v>0</v>
      </c>
      <c r="F3211" s="25">
        <v>-300000</v>
      </c>
      <c r="G3211" s="26">
        <v>0</v>
      </c>
      <c r="H3211" s="10">
        <v>2026</v>
      </c>
    </row>
    <row r="3212" spans="1:8" hidden="1" x14ac:dyDescent="0.3">
      <c r="A3212" s="24" t="s">
        <v>146</v>
      </c>
      <c r="B3212" s="24" t="s">
        <v>207</v>
      </c>
      <c r="C3212" s="22">
        <v>4</v>
      </c>
      <c r="D3212" s="25">
        <v>300000</v>
      </c>
      <c r="E3212" s="25">
        <v>0</v>
      </c>
      <c r="F3212" s="25">
        <v>-300000</v>
      </c>
      <c r="G3212" s="26">
        <v>0</v>
      </c>
      <c r="H3212" s="10">
        <v>2026</v>
      </c>
    </row>
    <row r="3213" spans="1:8" hidden="1" x14ac:dyDescent="0.3">
      <c r="A3213" s="23" t="s">
        <v>146</v>
      </c>
      <c r="B3213" s="23" t="s">
        <v>186</v>
      </c>
      <c r="C3213" s="22">
        <v>1</v>
      </c>
      <c r="D3213" s="25">
        <v>238823</v>
      </c>
      <c r="E3213" s="25">
        <v>222902</v>
      </c>
      <c r="F3213" s="25">
        <v>-15921</v>
      </c>
      <c r="G3213" s="26">
        <v>0.93333556650741345</v>
      </c>
      <c r="H3213" s="10">
        <v>2026</v>
      </c>
    </row>
    <row r="3214" spans="1:8" hidden="1" x14ac:dyDescent="0.3">
      <c r="A3214" s="24" t="s">
        <v>146</v>
      </c>
      <c r="B3214" s="24" t="s">
        <v>186</v>
      </c>
      <c r="C3214" s="22">
        <v>2</v>
      </c>
      <c r="D3214" s="25">
        <v>792500</v>
      </c>
      <c r="E3214" s="25">
        <v>792500</v>
      </c>
      <c r="F3214" s="25">
        <v>0</v>
      </c>
      <c r="G3214" s="26">
        <v>1</v>
      </c>
      <c r="H3214" s="10">
        <v>2026</v>
      </c>
    </row>
    <row r="3215" spans="1:8" hidden="1" x14ac:dyDescent="0.3">
      <c r="A3215" s="24" t="s">
        <v>146</v>
      </c>
      <c r="B3215" s="24" t="s">
        <v>186</v>
      </c>
      <c r="C3215" s="22">
        <v>3</v>
      </c>
      <c r="D3215" s="25">
        <v>288758</v>
      </c>
      <c r="E3215" s="25">
        <v>398871</v>
      </c>
      <c r="F3215" s="25">
        <v>110113</v>
      </c>
      <c r="G3215" s="26">
        <v>1.3813331578692192</v>
      </c>
      <c r="H3215" s="10">
        <v>2026</v>
      </c>
    </row>
    <row r="3216" spans="1:8" hidden="1" x14ac:dyDescent="0.3">
      <c r="A3216" s="24" t="s">
        <v>146</v>
      </c>
      <c r="B3216" s="24" t="s">
        <v>186</v>
      </c>
      <c r="C3216" s="22">
        <v>4</v>
      </c>
      <c r="D3216" s="25">
        <v>0</v>
      </c>
      <c r="E3216" s="25">
        <v>0</v>
      </c>
      <c r="F3216" s="25">
        <v>0</v>
      </c>
      <c r="G3216" s="26">
        <v>0</v>
      </c>
      <c r="H3216" s="10">
        <v>2026</v>
      </c>
    </row>
    <row r="3217" spans="1:8" hidden="1" x14ac:dyDescent="0.3">
      <c r="A3217" s="23" t="s">
        <v>147</v>
      </c>
      <c r="B3217" s="23" t="s">
        <v>186</v>
      </c>
      <c r="C3217" s="22">
        <v>1</v>
      </c>
      <c r="D3217" s="25">
        <v>6733497</v>
      </c>
      <c r="E3217" s="25">
        <v>7040647</v>
      </c>
      <c r="F3217" s="25">
        <v>307150</v>
      </c>
      <c r="G3217" s="26">
        <v>1.0456152278674811</v>
      </c>
      <c r="H3217" s="10">
        <v>2026</v>
      </c>
    </row>
    <row r="3218" spans="1:8" hidden="1" x14ac:dyDescent="0.3">
      <c r="A3218" s="24" t="s">
        <v>147</v>
      </c>
      <c r="B3218" s="24" t="s">
        <v>186</v>
      </c>
      <c r="C3218" s="22">
        <v>2</v>
      </c>
      <c r="D3218" s="25">
        <v>23252500</v>
      </c>
      <c r="E3218" s="25">
        <v>24123000</v>
      </c>
      <c r="F3218" s="25">
        <v>870500</v>
      </c>
      <c r="G3218" s="26">
        <v>1.0374368347489518</v>
      </c>
      <c r="H3218" s="10">
        <v>2026</v>
      </c>
    </row>
    <row r="3219" spans="1:8" hidden="1" x14ac:dyDescent="0.3">
      <c r="A3219" s="24" t="s">
        <v>147</v>
      </c>
      <c r="B3219" s="24" t="s">
        <v>186</v>
      </c>
      <c r="C3219" s="22">
        <v>3</v>
      </c>
      <c r="D3219" s="25">
        <v>8167358</v>
      </c>
      <c r="E3219" s="25">
        <v>8176600</v>
      </c>
      <c r="F3219" s="25">
        <v>9242</v>
      </c>
      <c r="G3219" s="26">
        <v>1.0011315776778733</v>
      </c>
      <c r="H3219" s="10">
        <v>2026</v>
      </c>
    </row>
    <row r="3220" spans="1:8" hidden="1" x14ac:dyDescent="0.3">
      <c r="A3220" s="24" t="s">
        <v>147</v>
      </c>
      <c r="B3220" s="24" t="s">
        <v>186</v>
      </c>
      <c r="C3220" s="22">
        <v>4</v>
      </c>
      <c r="D3220" s="25">
        <v>7450427</v>
      </c>
      <c r="E3220" s="25">
        <v>7155322</v>
      </c>
      <c r="F3220" s="25">
        <v>-295105</v>
      </c>
      <c r="G3220" s="26">
        <v>0.96039086081911818</v>
      </c>
      <c r="H3220" s="10">
        <v>2026</v>
      </c>
    </row>
    <row r="3221" spans="1:8" hidden="1" x14ac:dyDescent="0.3">
      <c r="A3221" s="23" t="s">
        <v>146</v>
      </c>
      <c r="B3221" s="23" t="s">
        <v>187</v>
      </c>
      <c r="C3221" s="22">
        <v>1</v>
      </c>
      <c r="D3221" s="25">
        <v>73012</v>
      </c>
      <c r="E3221" s="25">
        <v>68145</v>
      </c>
      <c r="F3221" s="25">
        <v>-4867</v>
      </c>
      <c r="G3221" s="26">
        <v>0.93333972497671625</v>
      </c>
      <c r="H3221" s="10">
        <v>2026</v>
      </c>
    </row>
    <row r="3222" spans="1:8" hidden="1" x14ac:dyDescent="0.3">
      <c r="A3222" s="24" t="s">
        <v>146</v>
      </c>
      <c r="B3222" s="24" t="s">
        <v>187</v>
      </c>
      <c r="C3222" s="22">
        <v>2</v>
      </c>
      <c r="D3222" s="25">
        <v>73012</v>
      </c>
      <c r="E3222" s="25">
        <v>73013</v>
      </c>
      <c r="F3222" s="25">
        <v>1</v>
      </c>
      <c r="G3222" s="26">
        <v>1.0000136963786774</v>
      </c>
      <c r="H3222" s="10">
        <v>2026</v>
      </c>
    </row>
    <row r="3223" spans="1:8" hidden="1" x14ac:dyDescent="0.3">
      <c r="A3223" s="24" t="s">
        <v>146</v>
      </c>
      <c r="B3223" s="24" t="s">
        <v>187</v>
      </c>
      <c r="C3223" s="22">
        <v>3</v>
      </c>
      <c r="D3223" s="25">
        <v>88278</v>
      </c>
      <c r="E3223" s="25">
        <v>121942</v>
      </c>
      <c r="F3223" s="25">
        <v>33664</v>
      </c>
      <c r="G3223" s="26">
        <v>1.3813407644033622</v>
      </c>
      <c r="H3223" s="10">
        <v>2026</v>
      </c>
    </row>
    <row r="3224" spans="1:8" hidden="1" x14ac:dyDescent="0.3">
      <c r="A3224" s="24" t="s">
        <v>146</v>
      </c>
      <c r="B3224" s="24" t="s">
        <v>187</v>
      </c>
      <c r="C3224" s="22">
        <v>4</v>
      </c>
      <c r="D3224" s="25">
        <v>0</v>
      </c>
      <c r="E3224" s="25">
        <v>0</v>
      </c>
      <c r="F3224" s="25">
        <v>0</v>
      </c>
      <c r="G3224" s="26">
        <v>0</v>
      </c>
      <c r="H3224" s="10">
        <v>2026</v>
      </c>
    </row>
    <row r="3225" spans="1:8" hidden="1" x14ac:dyDescent="0.3">
      <c r="A3225" s="23" t="s">
        <v>147</v>
      </c>
      <c r="B3225" s="23" t="s">
        <v>187</v>
      </c>
      <c r="C3225" s="22">
        <v>1</v>
      </c>
      <c r="D3225" s="25">
        <v>2058554</v>
      </c>
      <c r="E3225" s="25">
        <v>2152457</v>
      </c>
      <c r="F3225" s="25">
        <v>93903</v>
      </c>
      <c r="G3225" s="26">
        <v>1.0456160003575325</v>
      </c>
      <c r="H3225" s="10">
        <v>2026</v>
      </c>
    </row>
    <row r="3226" spans="1:8" hidden="1" x14ac:dyDescent="0.3">
      <c r="A3226" s="24" t="s">
        <v>147</v>
      </c>
      <c r="B3226" s="24" t="s">
        <v>187</v>
      </c>
      <c r="C3226" s="22">
        <v>2</v>
      </c>
      <c r="D3226" s="25">
        <v>2058554</v>
      </c>
      <c r="E3226" s="25">
        <v>2168350</v>
      </c>
      <c r="F3226" s="25">
        <v>109796</v>
      </c>
      <c r="G3226" s="26">
        <v>1.0533364682199253</v>
      </c>
      <c r="H3226" s="10">
        <v>2026</v>
      </c>
    </row>
    <row r="3227" spans="1:8" hidden="1" x14ac:dyDescent="0.3">
      <c r="A3227" s="24" t="s">
        <v>147</v>
      </c>
      <c r="B3227" s="24" t="s">
        <v>187</v>
      </c>
      <c r="C3227" s="22">
        <v>3</v>
      </c>
      <c r="D3227" s="25">
        <v>2496912</v>
      </c>
      <c r="E3227" s="25">
        <v>2499744</v>
      </c>
      <c r="F3227" s="25">
        <v>2832</v>
      </c>
      <c r="G3227" s="26">
        <v>1.0011342009650321</v>
      </c>
      <c r="H3227" s="10">
        <v>2026</v>
      </c>
    </row>
    <row r="3228" spans="1:8" hidden="1" x14ac:dyDescent="0.3">
      <c r="A3228" s="24" t="s">
        <v>147</v>
      </c>
      <c r="B3228" s="24" t="s">
        <v>187</v>
      </c>
      <c r="C3228" s="22">
        <v>4</v>
      </c>
      <c r="D3228" s="25">
        <v>2277733</v>
      </c>
      <c r="E3228" s="25">
        <v>2187518</v>
      </c>
      <c r="F3228" s="25">
        <v>-90215</v>
      </c>
      <c r="G3228" s="26">
        <v>0.9603926360113324</v>
      </c>
      <c r="H3228" s="10">
        <v>2026</v>
      </c>
    </row>
    <row r="3229" spans="1:8" hidden="1" x14ac:dyDescent="0.3">
      <c r="A3229" s="23" t="s">
        <v>146</v>
      </c>
      <c r="B3229" s="23" t="s">
        <v>188</v>
      </c>
      <c r="C3229" s="22">
        <v>1</v>
      </c>
      <c r="D3229" s="25">
        <v>0</v>
      </c>
      <c r="E3229" s="25">
        <v>163926</v>
      </c>
      <c r="F3229" s="25">
        <v>163926</v>
      </c>
      <c r="G3229" s="26">
        <v>0</v>
      </c>
      <c r="H3229" s="10">
        <v>2026</v>
      </c>
    </row>
    <row r="3230" spans="1:8" hidden="1" x14ac:dyDescent="0.3">
      <c r="A3230" s="24" t="s">
        <v>146</v>
      </c>
      <c r="B3230" s="24" t="s">
        <v>188</v>
      </c>
      <c r="C3230" s="22">
        <v>2</v>
      </c>
      <c r="D3230" s="25">
        <v>0</v>
      </c>
      <c r="E3230" s="25">
        <v>0</v>
      </c>
      <c r="F3230" s="25">
        <v>0</v>
      </c>
      <c r="G3230" s="26">
        <v>0</v>
      </c>
      <c r="H3230" s="10">
        <v>2026</v>
      </c>
    </row>
    <row r="3231" spans="1:8" hidden="1" x14ac:dyDescent="0.3">
      <c r="A3231" s="24" t="s">
        <v>146</v>
      </c>
      <c r="B3231" s="24" t="s">
        <v>188</v>
      </c>
      <c r="C3231" s="22">
        <v>3</v>
      </c>
      <c r="D3231" s="25">
        <v>0</v>
      </c>
      <c r="E3231" s="25">
        <v>424800</v>
      </c>
      <c r="F3231" s="25">
        <v>424800</v>
      </c>
      <c r="G3231" s="26">
        <v>0</v>
      </c>
      <c r="H3231" s="10">
        <v>2026</v>
      </c>
    </row>
    <row r="3232" spans="1:8" hidden="1" x14ac:dyDescent="0.3">
      <c r="A3232" s="24" t="s">
        <v>146</v>
      </c>
      <c r="B3232" s="24" t="s">
        <v>188</v>
      </c>
      <c r="C3232" s="22">
        <v>4</v>
      </c>
      <c r="D3232" s="25">
        <v>3019100</v>
      </c>
      <c r="E3232" s="25">
        <v>1726700</v>
      </c>
      <c r="F3232" s="25">
        <v>-1292400</v>
      </c>
      <c r="G3232" s="26">
        <v>0.57192540823424198</v>
      </c>
      <c r="H3232" s="10">
        <v>2026</v>
      </c>
    </row>
    <row r="3233" spans="1:8" hidden="1" x14ac:dyDescent="0.3">
      <c r="A3233" s="23" t="s">
        <v>147</v>
      </c>
      <c r="B3233" s="23" t="s">
        <v>188</v>
      </c>
      <c r="C3233" s="22">
        <v>1</v>
      </c>
      <c r="D3233" s="25">
        <v>0</v>
      </c>
      <c r="E3233" s="25">
        <v>1228354</v>
      </c>
      <c r="F3233" s="25">
        <v>1228354</v>
      </c>
      <c r="G3233" s="26">
        <v>0</v>
      </c>
      <c r="H3233" s="10">
        <v>2026</v>
      </c>
    </row>
    <row r="3234" spans="1:8" hidden="1" x14ac:dyDescent="0.3">
      <c r="A3234" s="24" t="s">
        <v>147</v>
      </c>
      <c r="B3234" s="24" t="s">
        <v>188</v>
      </c>
      <c r="C3234" s="22">
        <v>2</v>
      </c>
      <c r="D3234" s="25">
        <v>0</v>
      </c>
      <c r="E3234" s="25">
        <v>0</v>
      </c>
      <c r="F3234" s="25">
        <v>0</v>
      </c>
      <c r="G3234" s="26">
        <v>0</v>
      </c>
      <c r="H3234" s="10">
        <v>2026</v>
      </c>
    </row>
    <row r="3235" spans="1:8" hidden="1" x14ac:dyDescent="0.3">
      <c r="A3235" s="24" t="s">
        <v>147</v>
      </c>
      <c r="B3235" s="24" t="s">
        <v>188</v>
      </c>
      <c r="C3235" s="22">
        <v>3</v>
      </c>
      <c r="D3235" s="25">
        <v>0</v>
      </c>
      <c r="E3235" s="25">
        <v>2463840</v>
      </c>
      <c r="F3235" s="25">
        <v>2463840</v>
      </c>
      <c r="G3235" s="26">
        <v>0</v>
      </c>
      <c r="H3235" s="10">
        <v>2026</v>
      </c>
    </row>
    <row r="3236" spans="1:8" hidden="1" x14ac:dyDescent="0.3">
      <c r="A3236" s="24" t="s">
        <v>147</v>
      </c>
      <c r="B3236" s="24" t="s">
        <v>188</v>
      </c>
      <c r="C3236" s="22">
        <v>4</v>
      </c>
      <c r="D3236" s="25">
        <v>19385800</v>
      </c>
      <c r="E3236" s="25">
        <v>14636800</v>
      </c>
      <c r="F3236" s="25">
        <v>-4749000</v>
      </c>
      <c r="G3236" s="26">
        <v>0.75502687534174506</v>
      </c>
      <c r="H3236" s="10">
        <v>2026</v>
      </c>
    </row>
    <row r="3237" spans="1:8" hidden="1" x14ac:dyDescent="0.3">
      <c r="A3237" s="23" t="s">
        <v>146</v>
      </c>
      <c r="B3237" s="23" t="s">
        <v>189</v>
      </c>
      <c r="C3237" s="22">
        <v>1</v>
      </c>
      <c r="D3237" s="25">
        <v>725000</v>
      </c>
      <c r="E3237" s="25">
        <v>189395</v>
      </c>
      <c r="F3237" s="25">
        <v>-535605</v>
      </c>
      <c r="G3237" s="26">
        <v>0.26123448275862071</v>
      </c>
      <c r="H3237" s="10">
        <v>2026</v>
      </c>
    </row>
    <row r="3238" spans="1:8" hidden="1" x14ac:dyDescent="0.3">
      <c r="A3238" s="24" t="s">
        <v>146</v>
      </c>
      <c r="B3238" s="24" t="s">
        <v>189</v>
      </c>
      <c r="C3238" s="22">
        <v>2</v>
      </c>
      <c r="D3238" s="25">
        <v>725000</v>
      </c>
      <c r="E3238" s="25">
        <v>251648</v>
      </c>
      <c r="F3238" s="25">
        <v>-473352</v>
      </c>
      <c r="G3238" s="26">
        <v>0.34710068965517243</v>
      </c>
      <c r="H3238" s="10">
        <v>2026</v>
      </c>
    </row>
    <row r="3239" spans="1:8" hidden="1" x14ac:dyDescent="0.3">
      <c r="A3239" s="24" t="s">
        <v>146</v>
      </c>
      <c r="B3239" s="24" t="s">
        <v>189</v>
      </c>
      <c r="C3239" s="22">
        <v>3</v>
      </c>
      <c r="D3239" s="25">
        <v>725000</v>
      </c>
      <c r="E3239" s="25">
        <v>329324</v>
      </c>
      <c r="F3239" s="25">
        <v>-395676</v>
      </c>
      <c r="G3239" s="26">
        <v>0.45423999999999998</v>
      </c>
      <c r="H3239" s="10">
        <v>2026</v>
      </c>
    </row>
    <row r="3240" spans="1:8" hidden="1" x14ac:dyDescent="0.3">
      <c r="A3240" s="24" t="s">
        <v>146</v>
      </c>
      <c r="B3240" s="24" t="s">
        <v>189</v>
      </c>
      <c r="C3240" s="22">
        <v>4</v>
      </c>
      <c r="D3240" s="25">
        <v>725000</v>
      </c>
      <c r="E3240" s="25">
        <v>274897</v>
      </c>
      <c r="F3240" s="25">
        <v>-450103</v>
      </c>
      <c r="G3240" s="26">
        <v>0.37916827586206897</v>
      </c>
      <c r="H3240" s="10">
        <v>2026</v>
      </c>
    </row>
    <row r="3241" spans="1:8" hidden="1" x14ac:dyDescent="0.3">
      <c r="A3241" s="23" t="s">
        <v>147</v>
      </c>
      <c r="B3241" s="23" t="s">
        <v>189</v>
      </c>
      <c r="C3241" s="22">
        <v>1</v>
      </c>
      <c r="D3241" s="25">
        <v>4339219</v>
      </c>
      <c r="E3241" s="25">
        <v>3045299</v>
      </c>
      <c r="F3241" s="25">
        <v>-1293920</v>
      </c>
      <c r="G3241" s="26">
        <v>0.70180809034989944</v>
      </c>
      <c r="H3241" s="10">
        <v>2026</v>
      </c>
    </row>
    <row r="3242" spans="1:8" hidden="1" x14ac:dyDescent="0.3">
      <c r="A3242" s="24" t="s">
        <v>147</v>
      </c>
      <c r="B3242" s="24" t="s">
        <v>189</v>
      </c>
      <c r="C3242" s="22">
        <v>2</v>
      </c>
      <c r="D3242" s="25">
        <v>3625168</v>
      </c>
      <c r="E3242" s="25">
        <v>5815494</v>
      </c>
      <c r="F3242" s="25">
        <v>2190326</v>
      </c>
      <c r="G3242" s="26">
        <v>1.6041998605306016</v>
      </c>
      <c r="H3242" s="10">
        <v>2026</v>
      </c>
    </row>
    <row r="3243" spans="1:8" hidden="1" x14ac:dyDescent="0.3">
      <c r="A3243" s="24" t="s">
        <v>147</v>
      </c>
      <c r="B3243" s="24" t="s">
        <v>189</v>
      </c>
      <c r="C3243" s="22">
        <v>3</v>
      </c>
      <c r="D3243" s="25">
        <v>6412488</v>
      </c>
      <c r="E3243" s="25">
        <v>4350532</v>
      </c>
      <c r="F3243" s="25">
        <v>-2061956</v>
      </c>
      <c r="G3243" s="26">
        <v>0.67844680567043558</v>
      </c>
      <c r="H3243" s="10">
        <v>2026</v>
      </c>
    </row>
    <row r="3244" spans="1:8" hidden="1" x14ac:dyDescent="0.3">
      <c r="A3244" s="24" t="s">
        <v>147</v>
      </c>
      <c r="B3244" s="24" t="s">
        <v>189</v>
      </c>
      <c r="C3244" s="22">
        <v>4</v>
      </c>
      <c r="D3244" s="25">
        <v>4491443</v>
      </c>
      <c r="E3244" s="25">
        <v>5765054</v>
      </c>
      <c r="F3244" s="25">
        <v>1273611</v>
      </c>
      <c r="G3244" s="26">
        <v>1.2835638791363932</v>
      </c>
      <c r="H3244" s="10">
        <v>2026</v>
      </c>
    </row>
    <row r="3245" spans="1:8" hidden="1" x14ac:dyDescent="0.3">
      <c r="A3245" s="23" t="s">
        <v>147</v>
      </c>
      <c r="B3245" s="23" t="s">
        <v>190</v>
      </c>
      <c r="C3245" s="22">
        <v>3</v>
      </c>
      <c r="D3245" s="25">
        <v>0</v>
      </c>
      <c r="E3245" s="25">
        <v>6096972</v>
      </c>
      <c r="F3245" s="25">
        <v>6096972</v>
      </c>
      <c r="G3245" s="26">
        <v>0</v>
      </c>
      <c r="H3245" s="10">
        <v>2026</v>
      </c>
    </row>
    <row r="3246" spans="1:8" hidden="1" x14ac:dyDescent="0.3">
      <c r="A3246" s="24" t="s">
        <v>147</v>
      </c>
      <c r="B3246" s="24" t="s">
        <v>190</v>
      </c>
      <c r="C3246" s="22">
        <v>4</v>
      </c>
      <c r="D3246" s="25">
        <v>0</v>
      </c>
      <c r="E3246" s="25">
        <v>0</v>
      </c>
      <c r="F3246" s="25">
        <v>0</v>
      </c>
      <c r="G3246" s="26">
        <v>0</v>
      </c>
      <c r="H3246" s="10">
        <v>2026</v>
      </c>
    </row>
    <row r="3247" spans="1:8" hidden="1" x14ac:dyDescent="0.3">
      <c r="A3247" s="23" t="s">
        <v>146</v>
      </c>
      <c r="B3247" s="23" t="s">
        <v>191</v>
      </c>
      <c r="C3247" s="22">
        <v>1</v>
      </c>
      <c r="D3247" s="25">
        <v>113636</v>
      </c>
      <c r="E3247" s="25">
        <v>0</v>
      </c>
      <c r="F3247" s="25">
        <v>-113636</v>
      </c>
      <c r="G3247" s="26">
        <v>0</v>
      </c>
      <c r="H3247" s="10">
        <v>2026</v>
      </c>
    </row>
    <row r="3248" spans="1:8" hidden="1" x14ac:dyDescent="0.3">
      <c r="A3248" s="24" t="s">
        <v>146</v>
      </c>
      <c r="B3248" s="24" t="s">
        <v>191</v>
      </c>
      <c r="C3248" s="22">
        <v>2</v>
      </c>
      <c r="D3248" s="25">
        <v>113636</v>
      </c>
      <c r="E3248" s="25">
        <v>0</v>
      </c>
      <c r="F3248" s="25">
        <v>-113636</v>
      </c>
      <c r="G3248" s="26">
        <v>0</v>
      </c>
      <c r="H3248" s="10">
        <v>2026</v>
      </c>
    </row>
    <row r="3249" spans="1:8" hidden="1" x14ac:dyDescent="0.3">
      <c r="A3249" s="24" t="s">
        <v>146</v>
      </c>
      <c r="B3249" s="24" t="s">
        <v>191</v>
      </c>
      <c r="C3249" s="22">
        <v>3</v>
      </c>
      <c r="D3249" s="25">
        <v>113636</v>
      </c>
      <c r="E3249" s="25">
        <v>0</v>
      </c>
      <c r="F3249" s="25">
        <v>-113636</v>
      </c>
      <c r="G3249" s="26">
        <v>0</v>
      </c>
      <c r="H3249" s="10">
        <v>2026</v>
      </c>
    </row>
    <row r="3250" spans="1:8" hidden="1" x14ac:dyDescent="0.3">
      <c r="A3250" s="24" t="s">
        <v>146</v>
      </c>
      <c r="B3250" s="24" t="s">
        <v>191</v>
      </c>
      <c r="C3250" s="22">
        <v>4</v>
      </c>
      <c r="D3250" s="25">
        <v>113636</v>
      </c>
      <c r="E3250" s="25">
        <v>0</v>
      </c>
      <c r="F3250" s="25">
        <v>-113636</v>
      </c>
      <c r="G3250" s="26">
        <v>0</v>
      </c>
      <c r="H3250" s="10">
        <v>2026</v>
      </c>
    </row>
    <row r="3251" spans="1:8" hidden="1" x14ac:dyDescent="0.3">
      <c r="A3251" s="23" t="s">
        <v>147</v>
      </c>
      <c r="B3251" s="23" t="s">
        <v>191</v>
      </c>
      <c r="C3251" s="22">
        <v>1</v>
      </c>
      <c r="D3251" s="25">
        <v>113636</v>
      </c>
      <c r="E3251" s="25">
        <v>0</v>
      </c>
      <c r="F3251" s="25">
        <v>-113636</v>
      </c>
      <c r="G3251" s="26">
        <v>0</v>
      </c>
      <c r="H3251" s="10">
        <v>2026</v>
      </c>
    </row>
    <row r="3252" spans="1:8" hidden="1" x14ac:dyDescent="0.3">
      <c r="A3252" s="24" t="s">
        <v>147</v>
      </c>
      <c r="B3252" s="24" t="s">
        <v>191</v>
      </c>
      <c r="C3252" s="22">
        <v>2</v>
      </c>
      <c r="D3252" s="25">
        <v>113636</v>
      </c>
      <c r="E3252" s="25">
        <v>0</v>
      </c>
      <c r="F3252" s="25">
        <v>-113636</v>
      </c>
      <c r="G3252" s="26">
        <v>0</v>
      </c>
      <c r="H3252" s="10">
        <v>2026</v>
      </c>
    </row>
    <row r="3253" spans="1:8" hidden="1" x14ac:dyDescent="0.3">
      <c r="A3253" s="24" t="s">
        <v>147</v>
      </c>
      <c r="B3253" s="24" t="s">
        <v>191</v>
      </c>
      <c r="C3253" s="22">
        <v>3</v>
      </c>
      <c r="D3253" s="25">
        <v>113636</v>
      </c>
      <c r="E3253" s="25">
        <v>0</v>
      </c>
      <c r="F3253" s="25">
        <v>-113636</v>
      </c>
      <c r="G3253" s="26">
        <v>0</v>
      </c>
      <c r="H3253" s="10">
        <v>2026</v>
      </c>
    </row>
    <row r="3254" spans="1:8" hidden="1" x14ac:dyDescent="0.3">
      <c r="A3254" s="24" t="s">
        <v>147</v>
      </c>
      <c r="B3254" s="24" t="s">
        <v>191</v>
      </c>
      <c r="C3254" s="22">
        <v>4</v>
      </c>
      <c r="D3254" s="25">
        <v>113636</v>
      </c>
      <c r="E3254" s="25">
        <v>0</v>
      </c>
      <c r="F3254" s="25">
        <v>-113636</v>
      </c>
      <c r="G3254" s="26">
        <v>0</v>
      </c>
      <c r="H3254" s="10">
        <v>2026</v>
      </c>
    </row>
    <row r="3255" spans="1:8" hidden="1" x14ac:dyDescent="0.3">
      <c r="A3255" s="23" t="s">
        <v>146</v>
      </c>
      <c r="B3255" s="23" t="s">
        <v>192</v>
      </c>
      <c r="C3255" s="22">
        <v>1</v>
      </c>
      <c r="D3255" s="25">
        <v>45907</v>
      </c>
      <c r="E3255" s="25">
        <v>46900</v>
      </c>
      <c r="F3255" s="25">
        <v>993</v>
      </c>
      <c r="G3255" s="26">
        <v>1.0216306881303505</v>
      </c>
      <c r="H3255" s="10">
        <v>2026</v>
      </c>
    </row>
    <row r="3256" spans="1:8" hidden="1" x14ac:dyDescent="0.3">
      <c r="A3256" s="24" t="s">
        <v>146</v>
      </c>
      <c r="B3256" s="24" t="s">
        <v>192</v>
      </c>
      <c r="C3256" s="22">
        <v>2</v>
      </c>
      <c r="D3256" s="25">
        <v>45854</v>
      </c>
      <c r="E3256" s="25">
        <v>46800</v>
      </c>
      <c r="F3256" s="25">
        <v>946</v>
      </c>
      <c r="G3256" s="26">
        <v>1.0206306974309767</v>
      </c>
      <c r="H3256" s="10">
        <v>2026</v>
      </c>
    </row>
    <row r="3257" spans="1:8" hidden="1" x14ac:dyDescent="0.3">
      <c r="A3257" s="24" t="s">
        <v>146</v>
      </c>
      <c r="B3257" s="24" t="s">
        <v>192</v>
      </c>
      <c r="C3257" s="22">
        <v>3</v>
      </c>
      <c r="D3257" s="25">
        <v>60863</v>
      </c>
      <c r="E3257" s="25">
        <v>45000</v>
      </c>
      <c r="F3257" s="25">
        <v>-15863</v>
      </c>
      <c r="G3257" s="26">
        <v>0.7393654601317714</v>
      </c>
      <c r="H3257" s="10">
        <v>2026</v>
      </c>
    </row>
    <row r="3258" spans="1:8" hidden="1" x14ac:dyDescent="0.3">
      <c r="A3258" s="24" t="s">
        <v>146</v>
      </c>
      <c r="B3258" s="24" t="s">
        <v>192</v>
      </c>
      <c r="C3258" s="22">
        <v>4</v>
      </c>
      <c r="D3258" s="25">
        <v>0</v>
      </c>
      <c r="E3258" s="25">
        <v>0</v>
      </c>
      <c r="F3258" s="25">
        <v>0</v>
      </c>
      <c r="G3258" s="26">
        <v>0</v>
      </c>
      <c r="H3258" s="10">
        <v>2026</v>
      </c>
    </row>
    <row r="3259" spans="1:8" hidden="1" x14ac:dyDescent="0.3">
      <c r="A3259" s="23" t="s">
        <v>147</v>
      </c>
      <c r="B3259" s="23" t="s">
        <v>192</v>
      </c>
      <c r="C3259" s="22">
        <v>1</v>
      </c>
      <c r="D3259" s="25">
        <v>1325392</v>
      </c>
      <c r="E3259" s="25">
        <v>1214600</v>
      </c>
      <c r="F3259" s="25">
        <v>-110792</v>
      </c>
      <c r="G3259" s="26">
        <v>0.91640812680324013</v>
      </c>
      <c r="H3259" s="10">
        <v>2026</v>
      </c>
    </row>
    <row r="3260" spans="1:8" hidden="1" x14ac:dyDescent="0.3">
      <c r="A3260" s="24" t="s">
        <v>147</v>
      </c>
      <c r="B3260" s="24" t="s">
        <v>192</v>
      </c>
      <c r="C3260" s="22">
        <v>2</v>
      </c>
      <c r="D3260" s="25">
        <v>1322111</v>
      </c>
      <c r="E3260" s="25">
        <v>1359900</v>
      </c>
      <c r="F3260" s="25">
        <v>37789</v>
      </c>
      <c r="G3260" s="26">
        <v>1.0285823202439131</v>
      </c>
      <c r="H3260" s="10">
        <v>2026</v>
      </c>
    </row>
    <row r="3261" spans="1:8" hidden="1" x14ac:dyDescent="0.3">
      <c r="A3261" s="24" t="s">
        <v>147</v>
      </c>
      <c r="B3261" s="24" t="s">
        <v>192</v>
      </c>
      <c r="C3261" s="22">
        <v>3</v>
      </c>
      <c r="D3261" s="25">
        <v>1979681</v>
      </c>
      <c r="E3261" s="25">
        <v>1524900</v>
      </c>
      <c r="F3261" s="25">
        <v>-454781</v>
      </c>
      <c r="G3261" s="26">
        <v>0.7702756151117276</v>
      </c>
      <c r="H3261" s="10">
        <v>2026</v>
      </c>
    </row>
    <row r="3262" spans="1:8" hidden="1" x14ac:dyDescent="0.3">
      <c r="A3262" s="24" t="s">
        <v>147</v>
      </c>
      <c r="B3262" s="24" t="s">
        <v>192</v>
      </c>
      <c r="C3262" s="22">
        <v>4</v>
      </c>
      <c r="D3262" s="25">
        <v>1617635</v>
      </c>
      <c r="E3262" s="25">
        <v>1486600</v>
      </c>
      <c r="F3262" s="25">
        <v>-131035</v>
      </c>
      <c r="G3262" s="26">
        <v>0.9189959416061102</v>
      </c>
      <c r="H3262" s="10">
        <v>2026</v>
      </c>
    </row>
    <row r="3263" spans="1:8" hidden="1" x14ac:dyDescent="0.3">
      <c r="A3263" s="23" t="s">
        <v>147</v>
      </c>
      <c r="B3263" s="23" t="s">
        <v>193</v>
      </c>
      <c r="C3263" s="22">
        <v>1</v>
      </c>
      <c r="D3263" s="25">
        <v>0</v>
      </c>
      <c r="E3263" s="25">
        <v>-9600</v>
      </c>
      <c r="F3263" s="25">
        <v>-9600</v>
      </c>
      <c r="G3263" s="26">
        <v>0</v>
      </c>
      <c r="H3263" s="10">
        <v>2026</v>
      </c>
    </row>
    <row r="3264" spans="1:8" hidden="1" x14ac:dyDescent="0.3">
      <c r="A3264" s="24" t="s">
        <v>147</v>
      </c>
      <c r="B3264" s="24" t="s">
        <v>193</v>
      </c>
      <c r="C3264" s="22">
        <v>2</v>
      </c>
      <c r="D3264" s="25">
        <v>0</v>
      </c>
      <c r="E3264" s="25">
        <v>0</v>
      </c>
      <c r="F3264" s="25">
        <v>0</v>
      </c>
      <c r="G3264" s="26">
        <v>0</v>
      </c>
      <c r="H3264" s="10">
        <v>2026</v>
      </c>
    </row>
    <row r="3265" spans="1:8" hidden="1" x14ac:dyDescent="0.3">
      <c r="A3265" s="24" t="s">
        <v>147</v>
      </c>
      <c r="B3265" s="24" t="s">
        <v>193</v>
      </c>
      <c r="C3265" s="22">
        <v>3</v>
      </c>
      <c r="D3265" s="25">
        <v>0</v>
      </c>
      <c r="E3265" s="25">
        <v>0</v>
      </c>
      <c r="F3265" s="25">
        <v>0</v>
      </c>
      <c r="G3265" s="26">
        <v>0</v>
      </c>
      <c r="H3265" s="10">
        <v>2026</v>
      </c>
    </row>
    <row r="3266" spans="1:8" hidden="1" x14ac:dyDescent="0.3">
      <c r="A3266" s="24" t="s">
        <v>147</v>
      </c>
      <c r="B3266" s="24" t="s">
        <v>193</v>
      </c>
      <c r="C3266" s="22">
        <v>4</v>
      </c>
      <c r="D3266" s="25">
        <v>0</v>
      </c>
      <c r="E3266" s="25">
        <v>0</v>
      </c>
      <c r="F3266" s="25">
        <v>0</v>
      </c>
      <c r="G3266" s="26">
        <v>0</v>
      </c>
      <c r="H3266" s="10">
        <v>2026</v>
      </c>
    </row>
    <row r="3267" spans="1:8" hidden="1" x14ac:dyDescent="0.3">
      <c r="A3267" s="23" t="s">
        <v>146</v>
      </c>
      <c r="B3267" s="23" t="s">
        <v>194</v>
      </c>
      <c r="C3267" s="22">
        <v>1</v>
      </c>
      <c r="D3267" s="25">
        <v>226143</v>
      </c>
      <c r="E3267" s="25">
        <v>246800</v>
      </c>
      <c r="F3267" s="25">
        <v>20657</v>
      </c>
      <c r="G3267" s="26">
        <v>1.0913448570152515</v>
      </c>
      <c r="H3267" s="10">
        <v>2026</v>
      </c>
    </row>
    <row r="3268" spans="1:8" hidden="1" x14ac:dyDescent="0.3">
      <c r="A3268" s="24" t="s">
        <v>146</v>
      </c>
      <c r="B3268" s="24" t="s">
        <v>194</v>
      </c>
      <c r="C3268" s="22">
        <v>2</v>
      </c>
      <c r="D3268" s="25">
        <v>225882</v>
      </c>
      <c r="E3268" s="25">
        <v>229900</v>
      </c>
      <c r="F3268" s="25">
        <v>4018</v>
      </c>
      <c r="G3268" s="26">
        <v>1.0177880486271593</v>
      </c>
      <c r="H3268" s="10">
        <v>2026</v>
      </c>
    </row>
    <row r="3269" spans="1:8" hidden="1" x14ac:dyDescent="0.3">
      <c r="A3269" s="24" t="s">
        <v>146</v>
      </c>
      <c r="B3269" s="24" t="s">
        <v>194</v>
      </c>
      <c r="C3269" s="22">
        <v>3</v>
      </c>
      <c r="D3269" s="25">
        <v>299817</v>
      </c>
      <c r="E3269" s="25">
        <v>366500</v>
      </c>
      <c r="F3269" s="25">
        <v>66683</v>
      </c>
      <c r="G3269" s="26">
        <v>1.2224123381929644</v>
      </c>
      <c r="H3269" s="10">
        <v>2026</v>
      </c>
    </row>
    <row r="3270" spans="1:8" hidden="1" x14ac:dyDescent="0.3">
      <c r="A3270" s="24" t="s">
        <v>146</v>
      </c>
      <c r="B3270" s="24" t="s">
        <v>194</v>
      </c>
      <c r="C3270" s="22">
        <v>4</v>
      </c>
      <c r="D3270" s="25">
        <v>0</v>
      </c>
      <c r="E3270" s="25">
        <v>0</v>
      </c>
      <c r="F3270" s="25">
        <v>0</v>
      </c>
      <c r="G3270" s="26">
        <v>0</v>
      </c>
      <c r="H3270" s="10">
        <v>2026</v>
      </c>
    </row>
    <row r="3271" spans="1:8" hidden="1" x14ac:dyDescent="0.3">
      <c r="A3271" s="23" t="s">
        <v>147</v>
      </c>
      <c r="B3271" s="23" t="s">
        <v>194</v>
      </c>
      <c r="C3271" s="22">
        <v>1</v>
      </c>
      <c r="D3271" s="25">
        <v>6529027</v>
      </c>
      <c r="E3271" s="25">
        <v>6779200</v>
      </c>
      <c r="F3271" s="25">
        <v>250173</v>
      </c>
      <c r="G3271" s="26">
        <v>1.038317041727657</v>
      </c>
      <c r="H3271" s="10">
        <v>2026</v>
      </c>
    </row>
    <row r="3272" spans="1:8" hidden="1" x14ac:dyDescent="0.3">
      <c r="A3272" s="24" t="s">
        <v>147</v>
      </c>
      <c r="B3272" s="24" t="s">
        <v>194</v>
      </c>
      <c r="C3272" s="22">
        <v>2</v>
      </c>
      <c r="D3272" s="25">
        <v>6512862</v>
      </c>
      <c r="E3272" s="25">
        <v>6872500</v>
      </c>
      <c r="F3272" s="25">
        <v>359638</v>
      </c>
      <c r="G3272" s="26">
        <v>1.0552196561204583</v>
      </c>
      <c r="H3272" s="10">
        <v>2026</v>
      </c>
    </row>
    <row r="3273" spans="1:8" hidden="1" x14ac:dyDescent="0.3">
      <c r="A3273" s="24" t="s">
        <v>147</v>
      </c>
      <c r="B3273" s="24" t="s">
        <v>194</v>
      </c>
      <c r="C3273" s="22">
        <v>3</v>
      </c>
      <c r="D3273" s="25">
        <v>9752125</v>
      </c>
      <c r="E3273" s="25">
        <v>8253500</v>
      </c>
      <c r="F3273" s="25">
        <v>-1498625</v>
      </c>
      <c r="G3273" s="26">
        <v>0.84632836433085101</v>
      </c>
      <c r="H3273" s="10">
        <v>2026</v>
      </c>
    </row>
    <row r="3274" spans="1:8" hidden="1" x14ac:dyDescent="0.3">
      <c r="A3274" s="24" t="s">
        <v>147</v>
      </c>
      <c r="B3274" s="24" t="s">
        <v>194</v>
      </c>
      <c r="C3274" s="22">
        <v>4</v>
      </c>
      <c r="D3274" s="25">
        <v>7968649</v>
      </c>
      <c r="E3274" s="25">
        <v>7873300</v>
      </c>
      <c r="F3274" s="25">
        <v>-95349</v>
      </c>
      <c r="G3274" s="26">
        <v>0.98803448363706325</v>
      </c>
      <c r="H3274" s="10">
        <v>2026</v>
      </c>
    </row>
    <row r="3275" spans="1:8" hidden="1" x14ac:dyDescent="0.3">
      <c r="A3275" s="23" t="s">
        <v>146</v>
      </c>
      <c r="B3275" s="23" t="s">
        <v>195</v>
      </c>
      <c r="C3275" s="22">
        <v>1</v>
      </c>
      <c r="D3275" s="25">
        <v>75381</v>
      </c>
      <c r="E3275" s="25">
        <v>77000</v>
      </c>
      <c r="F3275" s="25">
        <v>1619</v>
      </c>
      <c r="G3275" s="26">
        <v>1.0214775606585214</v>
      </c>
      <c r="H3275" s="10">
        <v>2026</v>
      </c>
    </row>
    <row r="3276" spans="1:8" hidden="1" x14ac:dyDescent="0.3">
      <c r="A3276" s="24" t="s">
        <v>146</v>
      </c>
      <c r="B3276" s="24" t="s">
        <v>195</v>
      </c>
      <c r="C3276" s="22">
        <v>2</v>
      </c>
      <c r="D3276" s="25">
        <v>75294</v>
      </c>
      <c r="E3276" s="25">
        <v>76700</v>
      </c>
      <c r="F3276" s="25">
        <v>1406</v>
      </c>
      <c r="G3276" s="26">
        <v>1.0186734666772916</v>
      </c>
      <c r="H3276" s="10">
        <v>2026</v>
      </c>
    </row>
    <row r="3277" spans="1:8" hidden="1" x14ac:dyDescent="0.3">
      <c r="A3277" s="24" t="s">
        <v>146</v>
      </c>
      <c r="B3277" s="24" t="s">
        <v>195</v>
      </c>
      <c r="C3277" s="22">
        <v>3</v>
      </c>
      <c r="D3277" s="25">
        <v>99939</v>
      </c>
      <c r="E3277" s="25">
        <v>124200</v>
      </c>
      <c r="F3277" s="25">
        <v>24261</v>
      </c>
      <c r="G3277" s="26">
        <v>1.2427580824302826</v>
      </c>
      <c r="H3277" s="10">
        <v>2026</v>
      </c>
    </row>
    <row r="3278" spans="1:8" hidden="1" x14ac:dyDescent="0.3">
      <c r="A3278" s="24" t="s">
        <v>146</v>
      </c>
      <c r="B3278" s="24" t="s">
        <v>195</v>
      </c>
      <c r="C3278" s="22">
        <v>4</v>
      </c>
      <c r="D3278" s="25">
        <v>0</v>
      </c>
      <c r="E3278" s="25">
        <v>0</v>
      </c>
      <c r="F3278" s="25">
        <v>0</v>
      </c>
      <c r="G3278" s="26">
        <v>0</v>
      </c>
      <c r="H3278" s="10">
        <v>2026</v>
      </c>
    </row>
    <row r="3279" spans="1:8" hidden="1" x14ac:dyDescent="0.3">
      <c r="A3279" s="23" t="s">
        <v>147</v>
      </c>
      <c r="B3279" s="23" t="s">
        <v>195</v>
      </c>
      <c r="C3279" s="22">
        <v>1</v>
      </c>
      <c r="D3279" s="25">
        <v>2176342</v>
      </c>
      <c r="E3279" s="25">
        <v>2272100</v>
      </c>
      <c r="F3279" s="25">
        <v>95758</v>
      </c>
      <c r="G3279" s="26">
        <v>1.0439995184580364</v>
      </c>
      <c r="H3279" s="10">
        <v>2026</v>
      </c>
    </row>
    <row r="3280" spans="1:8" hidden="1" x14ac:dyDescent="0.3">
      <c r="A3280" s="24" t="s">
        <v>147</v>
      </c>
      <c r="B3280" s="24" t="s">
        <v>195</v>
      </c>
      <c r="C3280" s="22">
        <v>2</v>
      </c>
      <c r="D3280" s="25">
        <v>2170954</v>
      </c>
      <c r="E3280" s="25">
        <v>2312800</v>
      </c>
      <c r="F3280" s="25">
        <v>141846</v>
      </c>
      <c r="G3280" s="26">
        <v>1.06533809560221</v>
      </c>
      <c r="H3280" s="10">
        <v>2026</v>
      </c>
    </row>
    <row r="3281" spans="1:8" hidden="1" x14ac:dyDescent="0.3">
      <c r="A3281" s="24" t="s">
        <v>147</v>
      </c>
      <c r="B3281" s="24" t="s">
        <v>195</v>
      </c>
      <c r="C3281" s="22">
        <v>3</v>
      </c>
      <c r="D3281" s="25">
        <v>3250708</v>
      </c>
      <c r="E3281" s="25">
        <v>2737000</v>
      </c>
      <c r="F3281" s="25">
        <v>-513708</v>
      </c>
      <c r="G3281" s="26">
        <v>0.84197042613486051</v>
      </c>
      <c r="H3281" s="10">
        <v>2026</v>
      </c>
    </row>
    <row r="3282" spans="1:8" hidden="1" x14ac:dyDescent="0.3">
      <c r="A3282" s="24" t="s">
        <v>147</v>
      </c>
      <c r="B3282" s="24" t="s">
        <v>195</v>
      </c>
      <c r="C3282" s="22">
        <v>4</v>
      </c>
      <c r="D3282" s="25">
        <v>2656216</v>
      </c>
      <c r="E3282" s="25">
        <v>2604900</v>
      </c>
      <c r="F3282" s="25">
        <v>-51316</v>
      </c>
      <c r="G3282" s="26">
        <v>0.98068078800820424</v>
      </c>
      <c r="H3282" s="10">
        <v>2026</v>
      </c>
    </row>
    <row r="3283" spans="1:8" hidden="1" x14ac:dyDescent="0.3">
      <c r="A3283" s="23" t="s">
        <v>146</v>
      </c>
      <c r="B3283" s="23" t="s">
        <v>198</v>
      </c>
      <c r="C3283" s="22">
        <v>1</v>
      </c>
      <c r="D3283" s="25">
        <v>40000</v>
      </c>
      <c r="E3283" s="25">
        <v>0</v>
      </c>
      <c r="F3283" s="25">
        <v>-40000</v>
      </c>
      <c r="G3283" s="26">
        <v>0</v>
      </c>
      <c r="H3283" s="10">
        <v>2026</v>
      </c>
    </row>
    <row r="3284" spans="1:8" hidden="1" x14ac:dyDescent="0.3">
      <c r="A3284" s="24" t="s">
        <v>146</v>
      </c>
      <c r="B3284" s="24" t="s">
        <v>198</v>
      </c>
      <c r="C3284" s="22">
        <v>2</v>
      </c>
      <c r="D3284" s="25">
        <v>40000</v>
      </c>
      <c r="E3284" s="25">
        <v>0</v>
      </c>
      <c r="F3284" s="25">
        <v>-40000</v>
      </c>
      <c r="G3284" s="26">
        <v>0</v>
      </c>
      <c r="H3284" s="10">
        <v>2026</v>
      </c>
    </row>
    <row r="3285" spans="1:8" hidden="1" x14ac:dyDescent="0.3">
      <c r="A3285" s="24" t="s">
        <v>146</v>
      </c>
      <c r="B3285" s="24" t="s">
        <v>198</v>
      </c>
      <c r="C3285" s="22">
        <v>3</v>
      </c>
      <c r="D3285" s="25">
        <v>40000</v>
      </c>
      <c r="E3285" s="25">
        <v>0</v>
      </c>
      <c r="F3285" s="25">
        <v>-40000</v>
      </c>
      <c r="G3285" s="26">
        <v>0</v>
      </c>
      <c r="H3285" s="10">
        <v>2026</v>
      </c>
    </row>
    <row r="3286" spans="1:8" hidden="1" x14ac:dyDescent="0.3">
      <c r="A3286" s="24" t="s">
        <v>146</v>
      </c>
      <c r="B3286" s="24" t="s">
        <v>198</v>
      </c>
      <c r="C3286" s="22">
        <v>4</v>
      </c>
      <c r="D3286" s="25">
        <v>40000</v>
      </c>
      <c r="E3286" s="25">
        <v>0</v>
      </c>
      <c r="F3286" s="25">
        <v>-40000</v>
      </c>
      <c r="G3286" s="26">
        <v>0</v>
      </c>
      <c r="H3286" s="10">
        <v>2026</v>
      </c>
    </row>
    <row r="3287" spans="1:8" hidden="1" x14ac:dyDescent="0.3">
      <c r="A3287" s="23" t="s">
        <v>147</v>
      </c>
      <c r="B3287" s="23" t="s">
        <v>198</v>
      </c>
      <c r="C3287" s="22">
        <v>1</v>
      </c>
      <c r="D3287" s="25">
        <v>40000</v>
      </c>
      <c r="E3287" s="25">
        <v>0</v>
      </c>
      <c r="F3287" s="25">
        <v>-40000</v>
      </c>
      <c r="G3287" s="26">
        <v>0</v>
      </c>
      <c r="H3287" s="10">
        <v>2026</v>
      </c>
    </row>
    <row r="3288" spans="1:8" hidden="1" x14ac:dyDescent="0.3">
      <c r="A3288" s="24" t="s">
        <v>147</v>
      </c>
      <c r="B3288" s="24" t="s">
        <v>198</v>
      </c>
      <c r="C3288" s="22">
        <v>2</v>
      </c>
      <c r="D3288" s="25">
        <v>40000</v>
      </c>
      <c r="E3288" s="25">
        <v>0</v>
      </c>
      <c r="F3288" s="25">
        <v>-40000</v>
      </c>
      <c r="G3288" s="26">
        <v>0</v>
      </c>
      <c r="H3288" s="10">
        <v>2026</v>
      </c>
    </row>
    <row r="3289" spans="1:8" hidden="1" x14ac:dyDescent="0.3">
      <c r="A3289" s="24" t="s">
        <v>147</v>
      </c>
      <c r="B3289" s="24" t="s">
        <v>198</v>
      </c>
      <c r="C3289" s="22">
        <v>3</v>
      </c>
      <c r="D3289" s="25">
        <v>40000</v>
      </c>
      <c r="E3289" s="25">
        <v>0</v>
      </c>
      <c r="F3289" s="25">
        <v>-40000</v>
      </c>
      <c r="G3289" s="26">
        <v>0</v>
      </c>
      <c r="H3289" s="10">
        <v>2026</v>
      </c>
    </row>
    <row r="3290" spans="1:8" hidden="1" x14ac:dyDescent="0.3">
      <c r="A3290" s="24" t="s">
        <v>147</v>
      </c>
      <c r="B3290" s="24" t="s">
        <v>198</v>
      </c>
      <c r="C3290" s="22">
        <v>4</v>
      </c>
      <c r="D3290" s="25">
        <v>40000</v>
      </c>
      <c r="E3290" s="25">
        <v>0</v>
      </c>
      <c r="F3290" s="25">
        <v>-40000</v>
      </c>
      <c r="G3290" s="26">
        <v>0</v>
      </c>
      <c r="H3290" s="10">
        <v>2026</v>
      </c>
    </row>
    <row r="3291" spans="1:8" hidden="1" x14ac:dyDescent="0.3">
      <c r="A3291" s="23" t="s">
        <v>82</v>
      </c>
      <c r="B3291" s="23" t="s">
        <v>177</v>
      </c>
      <c r="C3291" s="22">
        <v>1</v>
      </c>
      <c r="D3291" s="25">
        <v>0</v>
      </c>
      <c r="E3291" s="25">
        <v>0</v>
      </c>
      <c r="F3291" s="25">
        <v>0</v>
      </c>
      <c r="G3291" s="26">
        <v>0</v>
      </c>
      <c r="H3291" s="10">
        <v>2026</v>
      </c>
    </row>
    <row r="3292" spans="1:8" hidden="1" x14ac:dyDescent="0.3">
      <c r="A3292" s="23" t="s">
        <v>82</v>
      </c>
      <c r="B3292" s="24" t="s">
        <v>177</v>
      </c>
      <c r="C3292" s="22">
        <v>2</v>
      </c>
      <c r="D3292" s="25">
        <v>0</v>
      </c>
      <c r="E3292" s="25">
        <v>0</v>
      </c>
      <c r="F3292" s="25">
        <v>0</v>
      </c>
      <c r="G3292" s="26">
        <v>0</v>
      </c>
      <c r="H3292" s="10">
        <v>2026</v>
      </c>
    </row>
    <row r="3293" spans="1:8" hidden="1" x14ac:dyDescent="0.3">
      <c r="A3293" s="23" t="s">
        <v>82</v>
      </c>
      <c r="B3293" s="24" t="s">
        <v>177</v>
      </c>
      <c r="C3293" s="22">
        <v>3</v>
      </c>
      <c r="D3293" s="25">
        <v>2549000</v>
      </c>
      <c r="E3293" s="25">
        <v>2549000</v>
      </c>
      <c r="F3293" s="25">
        <v>0</v>
      </c>
      <c r="G3293" s="26">
        <v>1</v>
      </c>
      <c r="H3293" s="10">
        <v>2026</v>
      </c>
    </row>
    <row r="3294" spans="1:8" hidden="1" x14ac:dyDescent="0.3">
      <c r="A3294" s="23" t="s">
        <v>82</v>
      </c>
      <c r="B3294" s="24" t="s">
        <v>177</v>
      </c>
      <c r="C3294" s="22">
        <v>4</v>
      </c>
      <c r="D3294" s="25">
        <v>2430000</v>
      </c>
      <c r="E3294" s="25">
        <v>2430000</v>
      </c>
      <c r="F3294" s="25">
        <v>0</v>
      </c>
      <c r="G3294" s="26">
        <v>1</v>
      </c>
      <c r="H3294" s="10">
        <v>2026</v>
      </c>
    </row>
    <row r="3295" spans="1:8" hidden="1" x14ac:dyDescent="0.3">
      <c r="A3295" s="23" t="s">
        <v>77</v>
      </c>
      <c r="B3295" s="23" t="s">
        <v>177</v>
      </c>
      <c r="C3295" s="22">
        <v>1</v>
      </c>
      <c r="D3295" s="25">
        <v>6430000</v>
      </c>
      <c r="E3295" s="25">
        <v>5144000</v>
      </c>
      <c r="F3295" s="25">
        <v>-1286000</v>
      </c>
      <c r="G3295" s="26">
        <v>0.8</v>
      </c>
      <c r="H3295" s="10">
        <v>2026</v>
      </c>
    </row>
    <row r="3296" spans="1:8" hidden="1" x14ac:dyDescent="0.3">
      <c r="A3296" s="23" t="s">
        <v>77</v>
      </c>
      <c r="B3296" s="24" t="s">
        <v>177</v>
      </c>
      <c r="C3296" s="22">
        <v>2</v>
      </c>
      <c r="D3296" s="25">
        <v>7390000</v>
      </c>
      <c r="E3296" s="25">
        <v>7738667</v>
      </c>
      <c r="F3296" s="25">
        <v>348667</v>
      </c>
      <c r="G3296" s="26">
        <v>1.0471809201623816</v>
      </c>
      <c r="H3296" s="10">
        <v>2026</v>
      </c>
    </row>
    <row r="3297" spans="1:8" hidden="1" x14ac:dyDescent="0.3">
      <c r="A3297" s="23" t="s">
        <v>77</v>
      </c>
      <c r="B3297" s="24" t="s">
        <v>177</v>
      </c>
      <c r="C3297" s="22">
        <v>3</v>
      </c>
      <c r="D3297" s="25">
        <v>7282250</v>
      </c>
      <c r="E3297" s="25">
        <v>7282250</v>
      </c>
      <c r="F3297" s="25">
        <v>0</v>
      </c>
      <c r="G3297" s="26">
        <v>1</v>
      </c>
      <c r="H3297" s="10">
        <v>2026</v>
      </c>
    </row>
    <row r="3298" spans="1:8" hidden="1" x14ac:dyDescent="0.3">
      <c r="A3298" s="23" t="s">
        <v>77</v>
      </c>
      <c r="B3298" s="24" t="s">
        <v>177</v>
      </c>
      <c r="C3298" s="22">
        <v>4</v>
      </c>
      <c r="D3298" s="25">
        <v>6534500</v>
      </c>
      <c r="E3298" s="25">
        <v>6534500</v>
      </c>
      <c r="F3298" s="25">
        <v>0</v>
      </c>
      <c r="G3298" s="26">
        <v>1</v>
      </c>
      <c r="H3298" s="10">
        <v>2026</v>
      </c>
    </row>
    <row r="3299" spans="1:8" hidden="1" x14ac:dyDescent="0.3">
      <c r="A3299" s="23" t="s">
        <v>253</v>
      </c>
      <c r="B3299" s="23" t="s">
        <v>177</v>
      </c>
      <c r="C3299" s="22">
        <v>1</v>
      </c>
      <c r="D3299" s="25">
        <v>20843000</v>
      </c>
      <c r="E3299" s="25">
        <v>18078866</v>
      </c>
      <c r="F3299" s="25">
        <v>-2764134</v>
      </c>
      <c r="G3299" s="26">
        <v>0.86738310224056037</v>
      </c>
      <c r="H3299" s="10">
        <v>2026</v>
      </c>
    </row>
    <row r="3300" spans="1:8" hidden="1" x14ac:dyDescent="0.3">
      <c r="A3300" s="23" t="s">
        <v>253</v>
      </c>
      <c r="B3300" s="24" t="s">
        <v>177</v>
      </c>
      <c r="C3300" s="22">
        <v>2</v>
      </c>
      <c r="D3300" s="25">
        <v>20843000</v>
      </c>
      <c r="E3300" s="25">
        <v>17923967</v>
      </c>
      <c r="F3300" s="25">
        <v>-2919033</v>
      </c>
      <c r="G3300" s="26">
        <v>0.85995139855107239</v>
      </c>
      <c r="H3300" s="10">
        <v>2026</v>
      </c>
    </row>
    <row r="3301" spans="1:8" hidden="1" x14ac:dyDescent="0.3">
      <c r="A3301" s="23" t="s">
        <v>253</v>
      </c>
      <c r="B3301" s="24" t="s">
        <v>177</v>
      </c>
      <c r="C3301" s="22">
        <v>3</v>
      </c>
      <c r="D3301" s="25">
        <v>24187000</v>
      </c>
      <c r="E3301" s="25">
        <v>23993833</v>
      </c>
      <c r="F3301" s="25">
        <v>-193167</v>
      </c>
      <c r="G3301" s="26">
        <v>0.99201360234836899</v>
      </c>
      <c r="H3301" s="10">
        <v>2026</v>
      </c>
    </row>
    <row r="3302" spans="1:8" hidden="1" x14ac:dyDescent="0.3">
      <c r="A3302" s="23" t="s">
        <v>253</v>
      </c>
      <c r="B3302" s="24" t="s">
        <v>177</v>
      </c>
      <c r="C3302" s="22">
        <v>4</v>
      </c>
      <c r="D3302" s="25">
        <v>22515000</v>
      </c>
      <c r="E3302" s="25">
        <v>22233833</v>
      </c>
      <c r="F3302" s="25">
        <v>-281167</v>
      </c>
      <c r="G3302" s="26">
        <v>0.98751201421274715</v>
      </c>
      <c r="H3302" s="10">
        <v>2026</v>
      </c>
    </row>
    <row r="3303" spans="1:8" hidden="1" x14ac:dyDescent="0.3">
      <c r="A3303" s="23" t="s">
        <v>103</v>
      </c>
      <c r="B3303" s="23" t="s">
        <v>177</v>
      </c>
      <c r="C3303" s="22">
        <v>1</v>
      </c>
      <c r="D3303" s="25">
        <v>15125000</v>
      </c>
      <c r="E3303" s="25">
        <v>13612500</v>
      </c>
      <c r="F3303" s="25">
        <v>-1512500</v>
      </c>
      <c r="G3303" s="26">
        <v>0.9</v>
      </c>
      <c r="H3303" s="10">
        <v>2026</v>
      </c>
    </row>
    <row r="3304" spans="1:8" hidden="1" x14ac:dyDescent="0.3">
      <c r="A3304" s="24" t="s">
        <v>103</v>
      </c>
      <c r="B3304" s="24" t="s">
        <v>177</v>
      </c>
      <c r="C3304" s="22">
        <v>2</v>
      </c>
      <c r="D3304" s="25">
        <v>15125000</v>
      </c>
      <c r="E3304" s="25">
        <v>12100000</v>
      </c>
      <c r="F3304" s="25">
        <v>-3025000</v>
      </c>
      <c r="G3304" s="26">
        <v>0.8</v>
      </c>
      <c r="H3304" s="10">
        <v>2026</v>
      </c>
    </row>
    <row r="3305" spans="1:8" hidden="1" x14ac:dyDescent="0.3">
      <c r="A3305" s="24" t="s">
        <v>103</v>
      </c>
      <c r="B3305" s="24" t="s">
        <v>177</v>
      </c>
      <c r="C3305" s="22">
        <v>3</v>
      </c>
      <c r="D3305" s="25">
        <v>17545000</v>
      </c>
      <c r="E3305" s="25">
        <v>17000500</v>
      </c>
      <c r="F3305" s="25">
        <v>-544500</v>
      </c>
      <c r="G3305" s="26">
        <v>0.96896551724137936</v>
      </c>
      <c r="H3305" s="10">
        <v>2026</v>
      </c>
    </row>
    <row r="3306" spans="1:8" hidden="1" x14ac:dyDescent="0.3">
      <c r="A3306" s="24" t="s">
        <v>103</v>
      </c>
      <c r="B3306" s="24" t="s">
        <v>177</v>
      </c>
      <c r="C3306" s="22">
        <v>4</v>
      </c>
      <c r="D3306" s="25">
        <v>16335000</v>
      </c>
      <c r="E3306" s="25">
        <v>16335000</v>
      </c>
      <c r="F3306" s="25">
        <v>0</v>
      </c>
      <c r="G3306" s="26">
        <v>1</v>
      </c>
      <c r="H3306" s="10">
        <v>2026</v>
      </c>
    </row>
    <row r="3307" spans="1:8" hidden="1" x14ac:dyDescent="0.3">
      <c r="A3307" s="23" t="s">
        <v>79</v>
      </c>
      <c r="B3307" s="23" t="s">
        <v>177</v>
      </c>
      <c r="C3307" s="22">
        <v>1</v>
      </c>
      <c r="D3307" s="25">
        <v>9357500</v>
      </c>
      <c r="E3307" s="25">
        <v>8738100</v>
      </c>
      <c r="F3307" s="25">
        <v>-619400</v>
      </c>
      <c r="G3307" s="26">
        <v>0.9338071065989848</v>
      </c>
      <c r="H3307" s="10">
        <v>2026</v>
      </c>
    </row>
    <row r="3308" spans="1:8" hidden="1" x14ac:dyDescent="0.3">
      <c r="A3308" s="23" t="s">
        <v>79</v>
      </c>
      <c r="B3308" s="24" t="s">
        <v>177</v>
      </c>
      <c r="C3308" s="22">
        <v>2</v>
      </c>
      <c r="D3308" s="25">
        <v>9934700</v>
      </c>
      <c r="E3308" s="25">
        <v>9829700</v>
      </c>
      <c r="F3308" s="25">
        <v>-105000</v>
      </c>
      <c r="G3308" s="26">
        <v>0.98943098432765964</v>
      </c>
      <c r="H3308" s="10">
        <v>2026</v>
      </c>
    </row>
    <row r="3309" spans="1:8" hidden="1" x14ac:dyDescent="0.3">
      <c r="A3309" s="23" t="s">
        <v>79</v>
      </c>
      <c r="B3309" s="24" t="s">
        <v>177</v>
      </c>
      <c r="C3309" s="22">
        <v>3</v>
      </c>
      <c r="D3309" s="25">
        <v>14475000</v>
      </c>
      <c r="E3309" s="25">
        <v>14475000</v>
      </c>
      <c r="F3309" s="25">
        <v>0</v>
      </c>
      <c r="G3309" s="26">
        <v>1</v>
      </c>
      <c r="H3309" s="10">
        <v>2026</v>
      </c>
    </row>
    <row r="3310" spans="1:8" hidden="1" x14ac:dyDescent="0.3">
      <c r="A3310" s="23" t="s">
        <v>79</v>
      </c>
      <c r="B3310" s="24" t="s">
        <v>177</v>
      </c>
      <c r="C3310" s="22">
        <v>4</v>
      </c>
      <c r="D3310" s="25">
        <v>12340000</v>
      </c>
      <c r="E3310" s="25">
        <v>12340000</v>
      </c>
      <c r="F3310" s="25">
        <v>0</v>
      </c>
      <c r="G3310" s="26">
        <v>1</v>
      </c>
      <c r="H3310" s="10">
        <v>2026</v>
      </c>
    </row>
    <row r="3311" spans="1:8" hidden="1" x14ac:dyDescent="0.3">
      <c r="A3311" s="23" t="s">
        <v>64</v>
      </c>
      <c r="B3311" s="23" t="s">
        <v>177</v>
      </c>
      <c r="C3311" s="22">
        <v>1</v>
      </c>
      <c r="D3311" s="25">
        <v>3501810</v>
      </c>
      <c r="E3311" s="25">
        <v>3501812</v>
      </c>
      <c r="F3311" s="25">
        <v>2</v>
      </c>
      <c r="G3311" s="26">
        <v>1.0000005711332141</v>
      </c>
      <c r="H3311" s="10">
        <v>2026</v>
      </c>
    </row>
    <row r="3312" spans="1:8" hidden="1" x14ac:dyDescent="0.3">
      <c r="A3312" s="24" t="s">
        <v>64</v>
      </c>
      <c r="B3312" s="24" t="s">
        <v>177</v>
      </c>
      <c r="C3312" s="22">
        <v>2</v>
      </c>
      <c r="D3312" s="25">
        <v>3501810</v>
      </c>
      <c r="E3312" s="25">
        <v>3501812</v>
      </c>
      <c r="F3312" s="25">
        <v>2</v>
      </c>
      <c r="G3312" s="26">
        <v>1.0000005711332141</v>
      </c>
      <c r="H3312" s="10">
        <v>2026</v>
      </c>
    </row>
    <row r="3313" spans="1:8" hidden="1" x14ac:dyDescent="0.3">
      <c r="A3313" s="24" t="s">
        <v>64</v>
      </c>
      <c r="B3313" s="24" t="s">
        <v>177</v>
      </c>
      <c r="C3313" s="22">
        <v>3</v>
      </c>
      <c r="D3313" s="25">
        <v>3902190</v>
      </c>
      <c r="E3313" s="25">
        <v>4191188</v>
      </c>
      <c r="F3313" s="25">
        <v>288998</v>
      </c>
      <c r="G3313" s="26">
        <v>1.0740604634833262</v>
      </c>
      <c r="H3313" s="10">
        <v>2026</v>
      </c>
    </row>
    <row r="3314" spans="1:8" hidden="1" x14ac:dyDescent="0.3">
      <c r="A3314" s="24" t="s">
        <v>64</v>
      </c>
      <c r="B3314" s="24" t="s">
        <v>177</v>
      </c>
      <c r="C3314" s="22">
        <v>4</v>
      </c>
      <c r="D3314" s="25">
        <v>6312000</v>
      </c>
      <c r="E3314" s="25">
        <v>5000900</v>
      </c>
      <c r="F3314" s="25">
        <v>-1311100</v>
      </c>
      <c r="G3314" s="26">
        <v>0.7922845373891001</v>
      </c>
      <c r="H3314" s="10">
        <v>2026</v>
      </c>
    </row>
    <row r="3315" spans="1:8" hidden="1" x14ac:dyDescent="0.3">
      <c r="A3315" s="23" t="s">
        <v>67</v>
      </c>
      <c r="B3315" s="23" t="s">
        <v>177</v>
      </c>
      <c r="C3315" s="22">
        <v>1</v>
      </c>
      <c r="D3315" s="25">
        <v>11272000</v>
      </c>
      <c r="E3315" s="25">
        <v>10144800</v>
      </c>
      <c r="F3315" s="25">
        <v>-1127200</v>
      </c>
      <c r="G3315" s="26">
        <v>0.9</v>
      </c>
      <c r="H3315" s="10">
        <v>2026</v>
      </c>
    </row>
    <row r="3316" spans="1:8" hidden="1" x14ac:dyDescent="0.3">
      <c r="A3316" s="24" t="s">
        <v>67</v>
      </c>
      <c r="B3316" s="24" t="s">
        <v>177</v>
      </c>
      <c r="C3316" s="22">
        <v>2</v>
      </c>
      <c r="D3316" s="25">
        <v>11272000</v>
      </c>
      <c r="E3316" s="25">
        <v>11055334</v>
      </c>
      <c r="F3316" s="25">
        <v>-216666</v>
      </c>
      <c r="G3316" s="26">
        <v>0.98077838892831803</v>
      </c>
      <c r="H3316" s="10">
        <v>2026</v>
      </c>
    </row>
    <row r="3317" spans="1:8" hidden="1" x14ac:dyDescent="0.3">
      <c r="A3317" s="24" t="s">
        <v>67</v>
      </c>
      <c r="B3317" s="24" t="s">
        <v>177</v>
      </c>
      <c r="C3317" s="22">
        <v>3</v>
      </c>
      <c r="D3317" s="25">
        <v>13048000</v>
      </c>
      <c r="E3317" s="25">
        <v>13048000</v>
      </c>
      <c r="F3317" s="25">
        <v>0</v>
      </c>
      <c r="G3317" s="26">
        <v>1</v>
      </c>
      <c r="H3317" s="10">
        <v>2026</v>
      </c>
    </row>
    <row r="3318" spans="1:8" hidden="1" x14ac:dyDescent="0.3">
      <c r="A3318" s="24" t="s">
        <v>67</v>
      </c>
      <c r="B3318" s="24" t="s">
        <v>177</v>
      </c>
      <c r="C3318" s="22">
        <v>4</v>
      </c>
      <c r="D3318" s="25">
        <v>12160000</v>
      </c>
      <c r="E3318" s="25">
        <v>11249667</v>
      </c>
      <c r="F3318" s="25">
        <v>-910333</v>
      </c>
      <c r="G3318" s="26">
        <v>0.92513708881578949</v>
      </c>
      <c r="H3318" s="10">
        <v>2026</v>
      </c>
    </row>
    <row r="3319" spans="1:8" x14ac:dyDescent="0.3">
      <c r="A3319" s="23" t="s">
        <v>75</v>
      </c>
      <c r="B3319" s="23" t="s">
        <v>177</v>
      </c>
      <c r="C3319" s="22">
        <v>1</v>
      </c>
      <c r="D3319" s="25">
        <v>13246000</v>
      </c>
      <c r="E3319" s="25">
        <v>11798893</v>
      </c>
      <c r="F3319" s="25">
        <v>-1447107</v>
      </c>
      <c r="G3319" s="26">
        <v>0.8907513966480447</v>
      </c>
      <c r="H3319" s="10">
        <v>2026</v>
      </c>
    </row>
    <row r="3320" spans="1:8" x14ac:dyDescent="0.3">
      <c r="A3320" s="23" t="s">
        <v>75</v>
      </c>
      <c r="B3320" s="24" t="s">
        <v>177</v>
      </c>
      <c r="C3320" s="22">
        <v>2</v>
      </c>
      <c r="D3320" s="25">
        <v>13246000</v>
      </c>
      <c r="E3320" s="25">
        <v>13069733</v>
      </c>
      <c r="F3320" s="25">
        <v>-176267</v>
      </c>
      <c r="G3320" s="26">
        <v>0.98669281292465649</v>
      </c>
      <c r="H3320" s="10">
        <v>2026</v>
      </c>
    </row>
    <row r="3321" spans="1:8" x14ac:dyDescent="0.3">
      <c r="A3321" s="23" t="s">
        <v>75</v>
      </c>
      <c r="B3321" s="24" t="s">
        <v>177</v>
      </c>
      <c r="C3321" s="22">
        <v>3</v>
      </c>
      <c r="D3321" s="25">
        <v>16396500</v>
      </c>
      <c r="E3321" s="25">
        <v>14722700</v>
      </c>
      <c r="F3321" s="25">
        <v>-1673800</v>
      </c>
      <c r="G3321" s="26">
        <v>0.89791723843503191</v>
      </c>
      <c r="H3321" s="10">
        <v>2026</v>
      </c>
    </row>
    <row r="3322" spans="1:8" x14ac:dyDescent="0.3">
      <c r="A3322" s="23" t="s">
        <v>75</v>
      </c>
      <c r="B3322" s="24" t="s">
        <v>177</v>
      </c>
      <c r="C3322" s="22">
        <v>4</v>
      </c>
      <c r="D3322" s="25">
        <v>13327000</v>
      </c>
      <c r="E3322" s="25">
        <v>11648867</v>
      </c>
      <c r="F3322" s="25">
        <v>-1678133</v>
      </c>
      <c r="G3322" s="26">
        <v>0.87408021310122308</v>
      </c>
      <c r="H3322" s="10">
        <v>2026</v>
      </c>
    </row>
    <row r="3323" spans="1:8" hidden="1" x14ac:dyDescent="0.3">
      <c r="A3323" s="23" t="s">
        <v>253</v>
      </c>
      <c r="B3323" s="23" t="s">
        <v>210</v>
      </c>
      <c r="C3323" s="22">
        <v>1</v>
      </c>
      <c r="D3323" s="25">
        <v>1750905</v>
      </c>
      <c r="E3323" s="25">
        <v>1050544</v>
      </c>
      <c r="F3323" s="25">
        <v>-700361</v>
      </c>
      <c r="G3323" s="26">
        <v>0.60000057113321403</v>
      </c>
      <c r="H3323" s="10">
        <v>2026</v>
      </c>
    </row>
    <row r="3324" spans="1:8" hidden="1" x14ac:dyDescent="0.3">
      <c r="A3324" s="23" t="s">
        <v>253</v>
      </c>
      <c r="B3324" s="24" t="s">
        <v>210</v>
      </c>
      <c r="C3324" s="22">
        <v>2</v>
      </c>
      <c r="D3324" s="25">
        <v>1750905</v>
      </c>
      <c r="E3324" s="25">
        <v>1750906</v>
      </c>
      <c r="F3324" s="25">
        <v>1</v>
      </c>
      <c r="G3324" s="26">
        <v>1.0000005711332141</v>
      </c>
      <c r="H3324" s="10">
        <v>2026</v>
      </c>
    </row>
    <row r="3325" spans="1:8" hidden="1" x14ac:dyDescent="0.3">
      <c r="A3325" s="23" t="s">
        <v>253</v>
      </c>
      <c r="B3325" s="24" t="s">
        <v>210</v>
      </c>
      <c r="C3325" s="22">
        <v>3</v>
      </c>
      <c r="D3325" s="25">
        <v>1750905</v>
      </c>
      <c r="E3325" s="25">
        <v>1750906</v>
      </c>
      <c r="F3325" s="25">
        <v>1</v>
      </c>
      <c r="G3325" s="26">
        <v>1.0000005711332141</v>
      </c>
      <c r="H3325" s="10">
        <v>2026</v>
      </c>
    </row>
    <row r="3326" spans="1:8" hidden="1" x14ac:dyDescent="0.3">
      <c r="A3326" s="23" t="s">
        <v>253</v>
      </c>
      <c r="B3326" s="24" t="s">
        <v>210</v>
      </c>
      <c r="C3326" s="22">
        <v>4</v>
      </c>
      <c r="D3326" s="25">
        <v>1750905</v>
      </c>
      <c r="E3326" s="25">
        <v>1692542</v>
      </c>
      <c r="F3326" s="25">
        <v>-58363</v>
      </c>
      <c r="G3326" s="26">
        <v>0.96666695223327359</v>
      </c>
      <c r="H3326" s="10">
        <v>2026</v>
      </c>
    </row>
    <row r="3327" spans="1:8" hidden="1" x14ac:dyDescent="0.3">
      <c r="A3327" s="23" t="s">
        <v>82</v>
      </c>
      <c r="B3327" s="23" t="s">
        <v>205</v>
      </c>
      <c r="C3327" s="22">
        <v>1</v>
      </c>
      <c r="D3327" s="25">
        <v>0</v>
      </c>
      <c r="E3327" s="25">
        <v>0</v>
      </c>
      <c r="F3327" s="25">
        <v>0</v>
      </c>
      <c r="G3327" s="26">
        <v>0</v>
      </c>
      <c r="H3327" s="10">
        <v>2026</v>
      </c>
    </row>
    <row r="3328" spans="1:8" hidden="1" x14ac:dyDescent="0.3">
      <c r="A3328" s="23" t="s">
        <v>82</v>
      </c>
      <c r="B3328" s="24" t="s">
        <v>205</v>
      </c>
      <c r="C3328" s="22">
        <v>2</v>
      </c>
      <c r="D3328" s="25">
        <v>0</v>
      </c>
      <c r="E3328" s="25">
        <v>0</v>
      </c>
      <c r="F3328" s="25">
        <v>0</v>
      </c>
      <c r="G3328" s="26">
        <v>0</v>
      </c>
      <c r="H3328" s="10">
        <v>2026</v>
      </c>
    </row>
    <row r="3329" spans="1:8" hidden="1" x14ac:dyDescent="0.3">
      <c r="A3329" s="23" t="s">
        <v>82</v>
      </c>
      <c r="B3329" s="24" t="s">
        <v>205</v>
      </c>
      <c r="C3329" s="22">
        <v>3</v>
      </c>
      <c r="D3329" s="25">
        <v>0</v>
      </c>
      <c r="E3329" s="25">
        <v>0</v>
      </c>
      <c r="F3329" s="25">
        <v>0</v>
      </c>
      <c r="G3329" s="26">
        <v>0</v>
      </c>
      <c r="H3329" s="10">
        <v>2026</v>
      </c>
    </row>
    <row r="3330" spans="1:8" hidden="1" x14ac:dyDescent="0.3">
      <c r="A3330" s="23" t="s">
        <v>82</v>
      </c>
      <c r="B3330" s="24" t="s">
        <v>205</v>
      </c>
      <c r="C3330" s="22">
        <v>4</v>
      </c>
      <c r="D3330" s="25">
        <v>98290</v>
      </c>
      <c r="E3330" s="25">
        <v>0</v>
      </c>
      <c r="F3330" s="25">
        <v>-98290</v>
      </c>
      <c r="G3330" s="26">
        <v>0</v>
      </c>
      <c r="H3330" s="10">
        <v>2026</v>
      </c>
    </row>
    <row r="3331" spans="1:8" hidden="1" x14ac:dyDescent="0.3">
      <c r="A3331" s="23" t="s">
        <v>77</v>
      </c>
      <c r="B3331" s="23" t="s">
        <v>205</v>
      </c>
      <c r="C3331" s="22">
        <v>1</v>
      </c>
      <c r="D3331" s="25">
        <v>465105</v>
      </c>
      <c r="E3331" s="25">
        <v>461338</v>
      </c>
      <c r="F3331" s="25">
        <v>-3767</v>
      </c>
      <c r="G3331" s="26">
        <v>0.99190075359327468</v>
      </c>
      <c r="H3331" s="10">
        <v>2026</v>
      </c>
    </row>
    <row r="3332" spans="1:8" hidden="1" x14ac:dyDescent="0.3">
      <c r="A3332" s="23" t="s">
        <v>77</v>
      </c>
      <c r="B3332" s="24" t="s">
        <v>205</v>
      </c>
      <c r="C3332" s="22">
        <v>2</v>
      </c>
      <c r="D3332" s="25">
        <v>211041</v>
      </c>
      <c r="E3332" s="25">
        <v>280423</v>
      </c>
      <c r="F3332" s="25">
        <v>69382</v>
      </c>
      <c r="G3332" s="26">
        <v>1.3287607621267905</v>
      </c>
      <c r="H3332" s="10">
        <v>2026</v>
      </c>
    </row>
    <row r="3333" spans="1:8" hidden="1" x14ac:dyDescent="0.3">
      <c r="A3333" s="23" t="s">
        <v>77</v>
      </c>
      <c r="B3333" s="24" t="s">
        <v>205</v>
      </c>
      <c r="C3333" s="22">
        <v>3</v>
      </c>
      <c r="D3333" s="25">
        <v>1654045</v>
      </c>
      <c r="E3333" s="25">
        <v>0</v>
      </c>
      <c r="F3333" s="25">
        <v>-1654045</v>
      </c>
      <c r="G3333" s="26">
        <v>0</v>
      </c>
      <c r="H3333" s="10">
        <v>2026</v>
      </c>
    </row>
    <row r="3334" spans="1:8" hidden="1" x14ac:dyDescent="0.3">
      <c r="A3334" s="23" t="s">
        <v>77</v>
      </c>
      <c r="B3334" s="24" t="s">
        <v>205</v>
      </c>
      <c r="C3334" s="22">
        <v>4</v>
      </c>
      <c r="D3334" s="25">
        <v>264312</v>
      </c>
      <c r="E3334" s="25">
        <v>0</v>
      </c>
      <c r="F3334" s="25">
        <v>-264312</v>
      </c>
      <c r="G3334" s="26">
        <v>0</v>
      </c>
      <c r="H3334" s="10">
        <v>2026</v>
      </c>
    </row>
    <row r="3335" spans="1:8" hidden="1" x14ac:dyDescent="0.3">
      <c r="A3335" s="23" t="s">
        <v>253</v>
      </c>
      <c r="B3335" s="23" t="s">
        <v>205</v>
      </c>
      <c r="C3335" s="22">
        <v>1</v>
      </c>
      <c r="D3335" s="25">
        <v>1201712</v>
      </c>
      <c r="E3335" s="25">
        <v>1836784</v>
      </c>
      <c r="F3335" s="25">
        <v>635072</v>
      </c>
      <c r="G3335" s="26">
        <v>1.5284727122638371</v>
      </c>
      <c r="H3335" s="10">
        <v>2026</v>
      </c>
    </row>
    <row r="3336" spans="1:8" hidden="1" x14ac:dyDescent="0.3">
      <c r="A3336" s="23" t="s">
        <v>253</v>
      </c>
      <c r="B3336" s="24" t="s">
        <v>205</v>
      </c>
      <c r="C3336" s="22">
        <v>2</v>
      </c>
      <c r="D3336" s="25">
        <v>2177512</v>
      </c>
      <c r="E3336" s="25">
        <v>2886937</v>
      </c>
      <c r="F3336" s="25">
        <v>709425</v>
      </c>
      <c r="G3336" s="26">
        <v>1.3257961379776553</v>
      </c>
      <c r="H3336" s="10">
        <v>2026</v>
      </c>
    </row>
    <row r="3337" spans="1:8" hidden="1" x14ac:dyDescent="0.3">
      <c r="A3337" s="23" t="s">
        <v>253</v>
      </c>
      <c r="B3337" s="24" t="s">
        <v>205</v>
      </c>
      <c r="C3337" s="22">
        <v>3</v>
      </c>
      <c r="D3337" s="25">
        <v>4046669</v>
      </c>
      <c r="E3337" s="25">
        <v>3757517</v>
      </c>
      <c r="F3337" s="25">
        <v>-289152</v>
      </c>
      <c r="G3337" s="26">
        <v>0.92854567546789724</v>
      </c>
      <c r="H3337" s="10">
        <v>2026</v>
      </c>
    </row>
    <row r="3338" spans="1:8" hidden="1" x14ac:dyDescent="0.3">
      <c r="A3338" s="23" t="s">
        <v>253</v>
      </c>
      <c r="B3338" s="24" t="s">
        <v>205</v>
      </c>
      <c r="C3338" s="22">
        <v>4</v>
      </c>
      <c r="D3338" s="25">
        <v>4001433</v>
      </c>
      <c r="E3338" s="25">
        <v>5966806</v>
      </c>
      <c r="F3338" s="25">
        <v>1965373</v>
      </c>
      <c r="G3338" s="26">
        <v>1.4911672893186017</v>
      </c>
      <c r="H3338" s="10">
        <v>2026</v>
      </c>
    </row>
    <row r="3339" spans="1:8" hidden="1" x14ac:dyDescent="0.3">
      <c r="A3339" s="23" t="s">
        <v>79</v>
      </c>
      <c r="B3339" s="23" t="s">
        <v>205</v>
      </c>
      <c r="C3339" s="22">
        <v>2</v>
      </c>
      <c r="D3339" s="25">
        <v>0</v>
      </c>
      <c r="E3339" s="25">
        <v>407672</v>
      </c>
      <c r="F3339" s="25">
        <v>407672</v>
      </c>
      <c r="G3339" s="26">
        <v>0</v>
      </c>
      <c r="H3339" s="10">
        <v>2026</v>
      </c>
    </row>
    <row r="3340" spans="1:8" hidden="1" x14ac:dyDescent="0.3">
      <c r="A3340" s="23" t="s">
        <v>79</v>
      </c>
      <c r="B3340" s="24" t="s">
        <v>205</v>
      </c>
      <c r="C3340" s="22">
        <v>3</v>
      </c>
      <c r="D3340" s="25">
        <v>0</v>
      </c>
      <c r="E3340" s="25">
        <v>0</v>
      </c>
      <c r="F3340" s="25">
        <v>0</v>
      </c>
      <c r="G3340" s="26">
        <v>0</v>
      </c>
      <c r="H3340" s="10">
        <v>2026</v>
      </c>
    </row>
    <row r="3341" spans="1:8" hidden="1" x14ac:dyDescent="0.3">
      <c r="A3341" s="23" t="s">
        <v>79</v>
      </c>
      <c r="B3341" s="24" t="s">
        <v>205</v>
      </c>
      <c r="C3341" s="22">
        <v>4</v>
      </c>
      <c r="D3341" s="25">
        <v>0</v>
      </c>
      <c r="E3341" s="25">
        <v>0</v>
      </c>
      <c r="F3341" s="25">
        <v>0</v>
      </c>
      <c r="G3341" s="26">
        <v>0</v>
      </c>
      <c r="H3341" s="10">
        <v>2026</v>
      </c>
    </row>
    <row r="3342" spans="1:8" hidden="1" x14ac:dyDescent="0.3">
      <c r="A3342" s="23" t="s">
        <v>64</v>
      </c>
      <c r="B3342" s="23" t="s">
        <v>205</v>
      </c>
      <c r="C3342" s="22">
        <v>1</v>
      </c>
      <c r="D3342" s="25">
        <v>201898</v>
      </c>
      <c r="E3342" s="25">
        <v>260528</v>
      </c>
      <c r="F3342" s="25">
        <v>58630</v>
      </c>
      <c r="G3342" s="26">
        <v>1.2903941594270374</v>
      </c>
      <c r="H3342" s="10">
        <v>2026</v>
      </c>
    </row>
    <row r="3343" spans="1:8" hidden="1" x14ac:dyDescent="0.3">
      <c r="A3343" s="24" t="s">
        <v>64</v>
      </c>
      <c r="B3343" s="24" t="s">
        <v>205</v>
      </c>
      <c r="C3343" s="22">
        <v>2</v>
      </c>
      <c r="D3343" s="25">
        <v>365841</v>
      </c>
      <c r="E3343" s="25">
        <v>454599</v>
      </c>
      <c r="F3343" s="25">
        <v>88758</v>
      </c>
      <c r="G3343" s="26">
        <v>1.2426135944303673</v>
      </c>
      <c r="H3343" s="10">
        <v>2026</v>
      </c>
    </row>
    <row r="3344" spans="1:8" hidden="1" x14ac:dyDescent="0.3">
      <c r="A3344" s="24" t="s">
        <v>64</v>
      </c>
      <c r="B3344" s="24" t="s">
        <v>205</v>
      </c>
      <c r="C3344" s="22">
        <v>3</v>
      </c>
      <c r="D3344" s="25">
        <v>652866</v>
      </c>
      <c r="E3344" s="25">
        <v>482353</v>
      </c>
      <c r="F3344" s="25">
        <v>-170513</v>
      </c>
      <c r="G3344" s="26">
        <v>0.73882389341763854</v>
      </c>
      <c r="H3344" s="10">
        <v>2026</v>
      </c>
    </row>
    <row r="3345" spans="1:8" hidden="1" x14ac:dyDescent="0.3">
      <c r="A3345" s="24" t="s">
        <v>64</v>
      </c>
      <c r="B3345" s="24" t="s">
        <v>205</v>
      </c>
      <c r="C3345" s="22">
        <v>4</v>
      </c>
      <c r="D3345" s="25">
        <v>1121787</v>
      </c>
      <c r="E3345" s="25">
        <v>1088556</v>
      </c>
      <c r="F3345" s="25">
        <v>-33231</v>
      </c>
      <c r="G3345" s="26">
        <v>0.97037672927213459</v>
      </c>
      <c r="H3345" s="10">
        <v>2026</v>
      </c>
    </row>
    <row r="3346" spans="1:8" hidden="1" x14ac:dyDescent="0.3">
      <c r="A3346" s="23" t="s">
        <v>67</v>
      </c>
      <c r="B3346" s="23" t="s">
        <v>205</v>
      </c>
      <c r="C3346" s="22">
        <v>1</v>
      </c>
      <c r="D3346" s="25">
        <v>846244</v>
      </c>
      <c r="E3346" s="25">
        <v>82330</v>
      </c>
      <c r="F3346" s="25">
        <v>-763914</v>
      </c>
      <c r="G3346" s="26">
        <v>9.7288725237638318E-2</v>
      </c>
      <c r="H3346" s="10">
        <v>2026</v>
      </c>
    </row>
    <row r="3347" spans="1:8" hidden="1" x14ac:dyDescent="0.3">
      <c r="A3347" s="24" t="s">
        <v>67</v>
      </c>
      <c r="B3347" s="24" t="s">
        <v>205</v>
      </c>
      <c r="C3347" s="22">
        <v>2</v>
      </c>
      <c r="D3347" s="25">
        <v>364978</v>
      </c>
      <c r="E3347" s="25">
        <v>137216</v>
      </c>
      <c r="F3347" s="25">
        <v>-227762</v>
      </c>
      <c r="G3347" s="26">
        <v>0.37595690699165429</v>
      </c>
      <c r="H3347" s="10">
        <v>2026</v>
      </c>
    </row>
    <row r="3348" spans="1:8" hidden="1" x14ac:dyDescent="0.3">
      <c r="A3348" s="24" t="s">
        <v>67</v>
      </c>
      <c r="B3348" s="24" t="s">
        <v>205</v>
      </c>
      <c r="C3348" s="22">
        <v>3</v>
      </c>
      <c r="D3348" s="25">
        <v>880582</v>
      </c>
      <c r="E3348" s="25">
        <v>92046</v>
      </c>
      <c r="F3348" s="25">
        <v>-788536</v>
      </c>
      <c r="G3348" s="26">
        <v>0.10452859586046502</v>
      </c>
      <c r="H3348" s="10">
        <v>2026</v>
      </c>
    </row>
    <row r="3349" spans="1:8" hidden="1" x14ac:dyDescent="0.3">
      <c r="A3349" s="24" t="s">
        <v>67</v>
      </c>
      <c r="B3349" s="24" t="s">
        <v>205</v>
      </c>
      <c r="C3349" s="22">
        <v>4</v>
      </c>
      <c r="D3349" s="25">
        <v>689306</v>
      </c>
      <c r="E3349" s="25">
        <v>61364</v>
      </c>
      <c r="F3349" s="25">
        <v>-627942</v>
      </c>
      <c r="G3349" s="26">
        <v>8.902287228023549E-2</v>
      </c>
      <c r="H3349" s="10">
        <v>2026</v>
      </c>
    </row>
    <row r="3350" spans="1:8" x14ac:dyDescent="0.3">
      <c r="A3350" s="23" t="s">
        <v>75</v>
      </c>
      <c r="B3350" s="23" t="s">
        <v>205</v>
      </c>
      <c r="C3350" s="22">
        <v>1</v>
      </c>
      <c r="D3350" s="25">
        <v>1988884</v>
      </c>
      <c r="E3350" s="25">
        <v>391411</v>
      </c>
      <c r="F3350" s="25">
        <v>-1597473</v>
      </c>
      <c r="G3350" s="26">
        <v>0.19679931056813771</v>
      </c>
      <c r="H3350" s="10">
        <v>2026</v>
      </c>
    </row>
    <row r="3351" spans="1:8" x14ac:dyDescent="0.3">
      <c r="A3351" s="23" t="s">
        <v>75</v>
      </c>
      <c r="B3351" s="24" t="s">
        <v>205</v>
      </c>
      <c r="C3351" s="22">
        <v>2</v>
      </c>
      <c r="D3351" s="25">
        <v>857790</v>
      </c>
      <c r="E3351" s="25">
        <v>1526193</v>
      </c>
      <c r="F3351" s="25">
        <v>668403</v>
      </c>
      <c r="G3351" s="26">
        <v>1.7792151925296402</v>
      </c>
      <c r="H3351" s="10">
        <v>2026</v>
      </c>
    </row>
    <row r="3352" spans="1:8" x14ac:dyDescent="0.3">
      <c r="A3352" s="23" t="s">
        <v>75</v>
      </c>
      <c r="B3352" s="24" t="s">
        <v>205</v>
      </c>
      <c r="C3352" s="22">
        <v>3</v>
      </c>
      <c r="D3352" s="25">
        <v>2213132</v>
      </c>
      <c r="E3352" s="25">
        <v>1524135</v>
      </c>
      <c r="F3352" s="25">
        <v>-688997</v>
      </c>
      <c r="G3352" s="26">
        <v>0.68867785563626571</v>
      </c>
      <c r="H3352" s="10">
        <v>2026</v>
      </c>
    </row>
    <row r="3353" spans="1:8" x14ac:dyDescent="0.3">
      <c r="A3353" s="23" t="s">
        <v>75</v>
      </c>
      <c r="B3353" s="24" t="s">
        <v>205</v>
      </c>
      <c r="C3353" s="22">
        <v>4</v>
      </c>
      <c r="D3353" s="25">
        <v>1510919</v>
      </c>
      <c r="E3353" s="25">
        <v>1627416</v>
      </c>
      <c r="F3353" s="25">
        <v>116497</v>
      </c>
      <c r="G3353" s="26">
        <v>1.0771034052785093</v>
      </c>
      <c r="H3353" s="10">
        <v>2026</v>
      </c>
    </row>
    <row r="3354" spans="1:8" hidden="1" x14ac:dyDescent="0.3">
      <c r="A3354" s="23" t="s">
        <v>253</v>
      </c>
      <c r="B3354" s="23" t="s">
        <v>179</v>
      </c>
      <c r="C3354" s="22">
        <v>2</v>
      </c>
      <c r="D3354" s="25">
        <v>0</v>
      </c>
      <c r="E3354" s="25">
        <v>129829</v>
      </c>
      <c r="F3354" s="25">
        <v>129829</v>
      </c>
      <c r="G3354" s="26">
        <v>0</v>
      </c>
      <c r="H3354" s="10">
        <v>2026</v>
      </c>
    </row>
    <row r="3355" spans="1:8" hidden="1" x14ac:dyDescent="0.3">
      <c r="A3355" s="23" t="s">
        <v>253</v>
      </c>
      <c r="B3355" s="24" t="s">
        <v>179</v>
      </c>
      <c r="C3355" s="22">
        <v>3</v>
      </c>
      <c r="D3355" s="25">
        <v>0</v>
      </c>
      <c r="E3355" s="25">
        <v>210344</v>
      </c>
      <c r="F3355" s="25">
        <v>210344</v>
      </c>
      <c r="G3355" s="26">
        <v>0</v>
      </c>
      <c r="H3355" s="10">
        <v>2026</v>
      </c>
    </row>
    <row r="3356" spans="1:8" hidden="1" x14ac:dyDescent="0.3">
      <c r="A3356" s="23" t="s">
        <v>253</v>
      </c>
      <c r="B3356" s="24" t="s">
        <v>179</v>
      </c>
      <c r="C3356" s="22">
        <v>4</v>
      </c>
      <c r="D3356" s="25">
        <v>0</v>
      </c>
      <c r="E3356" s="25">
        <v>0</v>
      </c>
      <c r="F3356" s="25">
        <v>0</v>
      </c>
      <c r="G3356" s="26">
        <v>0</v>
      </c>
      <c r="H3356" s="10">
        <v>2026</v>
      </c>
    </row>
    <row r="3357" spans="1:8" x14ac:dyDescent="0.3">
      <c r="A3357" s="23" t="s">
        <v>75</v>
      </c>
      <c r="B3357" s="23" t="s">
        <v>179</v>
      </c>
      <c r="C3357" s="22">
        <v>1</v>
      </c>
      <c r="D3357" s="25">
        <v>0</v>
      </c>
      <c r="E3357" s="25">
        <v>291818</v>
      </c>
      <c r="F3357" s="25">
        <v>291818</v>
      </c>
      <c r="G3357" s="26">
        <v>0</v>
      </c>
      <c r="H3357" s="10">
        <v>2026</v>
      </c>
    </row>
    <row r="3358" spans="1:8" x14ac:dyDescent="0.3">
      <c r="A3358" s="23" t="s">
        <v>75</v>
      </c>
      <c r="B3358" s="24" t="s">
        <v>179</v>
      </c>
      <c r="C3358" s="22">
        <v>2</v>
      </c>
      <c r="D3358" s="25">
        <v>0</v>
      </c>
      <c r="E3358" s="25">
        <v>116727</v>
      </c>
      <c r="F3358" s="25">
        <v>116727</v>
      </c>
      <c r="G3358" s="26">
        <v>0</v>
      </c>
      <c r="H3358" s="10">
        <v>2026</v>
      </c>
    </row>
    <row r="3359" spans="1:8" x14ac:dyDescent="0.3">
      <c r="A3359" s="23" t="s">
        <v>75</v>
      </c>
      <c r="B3359" s="24" t="s">
        <v>179</v>
      </c>
      <c r="C3359" s="22">
        <v>3</v>
      </c>
      <c r="D3359" s="25">
        <v>0</v>
      </c>
      <c r="E3359" s="25">
        <v>973000</v>
      </c>
      <c r="F3359" s="25">
        <v>973000</v>
      </c>
      <c r="G3359" s="26">
        <v>0</v>
      </c>
      <c r="H3359" s="10">
        <v>2026</v>
      </c>
    </row>
    <row r="3360" spans="1:8" x14ac:dyDescent="0.3">
      <c r="A3360" s="23" t="s">
        <v>75</v>
      </c>
      <c r="B3360" s="24" t="s">
        <v>179</v>
      </c>
      <c r="C3360" s="22">
        <v>4</v>
      </c>
      <c r="D3360" s="25">
        <v>0</v>
      </c>
      <c r="E3360" s="25">
        <v>409443</v>
      </c>
      <c r="F3360" s="25">
        <v>409443</v>
      </c>
      <c r="G3360" s="26">
        <v>0</v>
      </c>
      <c r="H3360" s="10">
        <v>2026</v>
      </c>
    </row>
    <row r="3361" spans="1:8" hidden="1" x14ac:dyDescent="0.3">
      <c r="A3361" s="23" t="s">
        <v>82</v>
      </c>
      <c r="B3361" s="23" t="s">
        <v>206</v>
      </c>
      <c r="C3361" s="22">
        <v>1</v>
      </c>
      <c r="D3361" s="25">
        <v>0</v>
      </c>
      <c r="E3361" s="25">
        <v>0</v>
      </c>
      <c r="F3361" s="25">
        <v>0</v>
      </c>
      <c r="G3361" s="26">
        <v>0</v>
      </c>
      <c r="H3361" s="10">
        <v>2026</v>
      </c>
    </row>
    <row r="3362" spans="1:8" hidden="1" x14ac:dyDescent="0.3">
      <c r="A3362" s="23" t="s">
        <v>82</v>
      </c>
      <c r="B3362" s="24" t="s">
        <v>206</v>
      </c>
      <c r="C3362" s="22">
        <v>2</v>
      </c>
      <c r="D3362" s="25">
        <v>0</v>
      </c>
      <c r="E3362" s="25">
        <v>0</v>
      </c>
      <c r="F3362" s="25">
        <v>0</v>
      </c>
      <c r="G3362" s="26">
        <v>0</v>
      </c>
      <c r="H3362" s="10">
        <v>2026</v>
      </c>
    </row>
    <row r="3363" spans="1:8" hidden="1" x14ac:dyDescent="0.3">
      <c r="A3363" s="23" t="s">
        <v>82</v>
      </c>
      <c r="B3363" s="24" t="s">
        <v>206</v>
      </c>
      <c r="C3363" s="22">
        <v>3</v>
      </c>
      <c r="D3363" s="25">
        <v>124547</v>
      </c>
      <c r="E3363" s="25">
        <v>249095</v>
      </c>
      <c r="F3363" s="25">
        <v>124548</v>
      </c>
      <c r="G3363" s="26">
        <v>2.0000080290974491</v>
      </c>
      <c r="H3363" s="10">
        <v>2026</v>
      </c>
    </row>
    <row r="3364" spans="1:8" hidden="1" x14ac:dyDescent="0.3">
      <c r="A3364" s="23" t="s">
        <v>82</v>
      </c>
      <c r="B3364" s="24" t="s">
        <v>206</v>
      </c>
      <c r="C3364" s="22">
        <v>4</v>
      </c>
      <c r="D3364" s="25">
        <v>249095</v>
      </c>
      <c r="E3364" s="25">
        <v>249095</v>
      </c>
      <c r="F3364" s="25">
        <v>0</v>
      </c>
      <c r="G3364" s="26">
        <v>1</v>
      </c>
      <c r="H3364" s="10">
        <v>2026</v>
      </c>
    </row>
    <row r="3365" spans="1:8" hidden="1" x14ac:dyDescent="0.3">
      <c r="A3365" s="23" t="s">
        <v>77</v>
      </c>
      <c r="B3365" s="23" t="s">
        <v>206</v>
      </c>
      <c r="C3365" s="22">
        <v>1</v>
      </c>
      <c r="D3365" s="25">
        <v>747285</v>
      </c>
      <c r="E3365" s="25">
        <v>398552</v>
      </c>
      <c r="F3365" s="25">
        <v>-348733</v>
      </c>
      <c r="G3365" s="26">
        <v>0.53333333333333333</v>
      </c>
      <c r="H3365" s="10">
        <v>2026</v>
      </c>
    </row>
    <row r="3366" spans="1:8" hidden="1" x14ac:dyDescent="0.3">
      <c r="A3366" s="23" t="s">
        <v>77</v>
      </c>
      <c r="B3366" s="24" t="s">
        <v>206</v>
      </c>
      <c r="C3366" s="22">
        <v>2</v>
      </c>
      <c r="D3366" s="25">
        <v>498190</v>
      </c>
      <c r="E3366" s="25">
        <v>489887</v>
      </c>
      <c r="F3366" s="25">
        <v>-8303</v>
      </c>
      <c r="G3366" s="26">
        <v>0.98333366787771737</v>
      </c>
      <c r="H3366" s="10">
        <v>2026</v>
      </c>
    </row>
    <row r="3367" spans="1:8" hidden="1" x14ac:dyDescent="0.3">
      <c r="A3367" s="23" t="s">
        <v>77</v>
      </c>
      <c r="B3367" s="24" t="s">
        <v>206</v>
      </c>
      <c r="C3367" s="22">
        <v>3</v>
      </c>
      <c r="D3367" s="25">
        <v>373642</v>
      </c>
      <c r="E3367" s="25">
        <v>249095</v>
      </c>
      <c r="F3367" s="25">
        <v>-124547</v>
      </c>
      <c r="G3367" s="26">
        <v>0.66666755878621786</v>
      </c>
      <c r="H3367" s="10">
        <v>2026</v>
      </c>
    </row>
    <row r="3368" spans="1:8" hidden="1" x14ac:dyDescent="0.3">
      <c r="A3368" s="23" t="s">
        <v>77</v>
      </c>
      <c r="B3368" s="24" t="s">
        <v>206</v>
      </c>
      <c r="C3368" s="22">
        <v>4</v>
      </c>
      <c r="D3368" s="25">
        <v>249095</v>
      </c>
      <c r="E3368" s="25">
        <v>249095</v>
      </c>
      <c r="F3368" s="25">
        <v>0</v>
      </c>
      <c r="G3368" s="26">
        <v>1</v>
      </c>
      <c r="H3368" s="10">
        <v>2026</v>
      </c>
    </row>
    <row r="3369" spans="1:8" hidden="1" x14ac:dyDescent="0.3">
      <c r="A3369" s="23" t="s">
        <v>253</v>
      </c>
      <c r="B3369" s="23" t="s">
        <v>206</v>
      </c>
      <c r="C3369" s="22">
        <v>1</v>
      </c>
      <c r="D3369" s="25">
        <v>1245475</v>
      </c>
      <c r="E3369" s="25">
        <v>1046199</v>
      </c>
      <c r="F3369" s="25">
        <v>-199276</v>
      </c>
      <c r="G3369" s="26">
        <v>0.84</v>
      </c>
      <c r="H3369" s="10">
        <v>2026</v>
      </c>
    </row>
    <row r="3370" spans="1:8" hidden="1" x14ac:dyDescent="0.3">
      <c r="A3370" s="23" t="s">
        <v>253</v>
      </c>
      <c r="B3370" s="24" t="s">
        <v>206</v>
      </c>
      <c r="C3370" s="22">
        <v>2</v>
      </c>
      <c r="D3370" s="25">
        <v>1245475</v>
      </c>
      <c r="E3370" s="25">
        <v>1004684</v>
      </c>
      <c r="F3370" s="25">
        <v>-240791</v>
      </c>
      <c r="G3370" s="26">
        <v>0.8066673357554347</v>
      </c>
      <c r="H3370" s="10">
        <v>2026</v>
      </c>
    </row>
    <row r="3371" spans="1:8" hidden="1" x14ac:dyDescent="0.3">
      <c r="A3371" s="23" t="s">
        <v>253</v>
      </c>
      <c r="B3371" s="24" t="s">
        <v>206</v>
      </c>
      <c r="C3371" s="22">
        <v>3</v>
      </c>
      <c r="D3371" s="25">
        <v>996380</v>
      </c>
      <c r="E3371" s="25">
        <v>1212262</v>
      </c>
      <c r="F3371" s="25">
        <v>215882</v>
      </c>
      <c r="G3371" s="26">
        <v>1.2166663321222828</v>
      </c>
      <c r="H3371" s="10">
        <v>2026</v>
      </c>
    </row>
    <row r="3372" spans="1:8" hidden="1" x14ac:dyDescent="0.3">
      <c r="A3372" s="23" t="s">
        <v>253</v>
      </c>
      <c r="B3372" s="24" t="s">
        <v>206</v>
      </c>
      <c r="C3372" s="22">
        <v>4</v>
      </c>
      <c r="D3372" s="25">
        <v>1245475</v>
      </c>
      <c r="E3372" s="25">
        <v>1154141</v>
      </c>
      <c r="F3372" s="25">
        <v>-91334</v>
      </c>
      <c r="G3372" s="26">
        <v>0.9266673357554347</v>
      </c>
      <c r="H3372" s="10">
        <v>2026</v>
      </c>
    </row>
    <row r="3373" spans="1:8" hidden="1" x14ac:dyDescent="0.3">
      <c r="A3373" s="23" t="s">
        <v>79</v>
      </c>
      <c r="B3373" s="23" t="s">
        <v>206</v>
      </c>
      <c r="C3373" s="22">
        <v>1</v>
      </c>
      <c r="D3373" s="25">
        <v>747285</v>
      </c>
      <c r="E3373" s="25">
        <v>606132</v>
      </c>
      <c r="F3373" s="25">
        <v>-141153</v>
      </c>
      <c r="G3373" s="26">
        <v>0.81111222625905788</v>
      </c>
      <c r="H3373" s="10">
        <v>2026</v>
      </c>
    </row>
    <row r="3374" spans="1:8" hidden="1" x14ac:dyDescent="0.3">
      <c r="A3374" s="23" t="s">
        <v>79</v>
      </c>
      <c r="B3374" s="24" t="s">
        <v>206</v>
      </c>
      <c r="C3374" s="22">
        <v>2</v>
      </c>
      <c r="D3374" s="25">
        <v>747285</v>
      </c>
      <c r="E3374" s="25">
        <v>747285</v>
      </c>
      <c r="F3374" s="25">
        <v>0</v>
      </c>
      <c r="G3374" s="26">
        <v>1</v>
      </c>
      <c r="H3374" s="10">
        <v>2026</v>
      </c>
    </row>
    <row r="3375" spans="1:8" hidden="1" x14ac:dyDescent="0.3">
      <c r="A3375" s="23" t="s">
        <v>79</v>
      </c>
      <c r="B3375" s="24" t="s">
        <v>206</v>
      </c>
      <c r="C3375" s="22">
        <v>3</v>
      </c>
      <c r="D3375" s="25">
        <v>747285</v>
      </c>
      <c r="E3375" s="25">
        <v>498190</v>
      </c>
      <c r="F3375" s="25">
        <v>-249095</v>
      </c>
      <c r="G3375" s="26">
        <v>0.66666666666666674</v>
      </c>
      <c r="H3375" s="10">
        <v>2026</v>
      </c>
    </row>
    <row r="3376" spans="1:8" hidden="1" x14ac:dyDescent="0.3">
      <c r="A3376" s="23" t="s">
        <v>79</v>
      </c>
      <c r="B3376" s="24" t="s">
        <v>206</v>
      </c>
      <c r="C3376" s="22">
        <v>4</v>
      </c>
      <c r="D3376" s="25">
        <v>747285</v>
      </c>
      <c r="E3376" s="25">
        <v>498190</v>
      </c>
      <c r="F3376" s="25">
        <v>-249095</v>
      </c>
      <c r="G3376" s="26">
        <v>0.66666666666666674</v>
      </c>
      <c r="H3376" s="10">
        <v>2026</v>
      </c>
    </row>
    <row r="3377" spans="1:8" hidden="1" x14ac:dyDescent="0.3">
      <c r="A3377" s="23" t="s">
        <v>64</v>
      </c>
      <c r="B3377" s="23" t="s">
        <v>206</v>
      </c>
      <c r="C3377" s="22">
        <v>1</v>
      </c>
      <c r="D3377" s="25">
        <v>498190</v>
      </c>
      <c r="E3377" s="25">
        <v>498190</v>
      </c>
      <c r="F3377" s="25">
        <v>0</v>
      </c>
      <c r="G3377" s="26">
        <v>1</v>
      </c>
      <c r="H3377" s="10">
        <v>2026</v>
      </c>
    </row>
    <row r="3378" spans="1:8" hidden="1" x14ac:dyDescent="0.3">
      <c r="A3378" s="24" t="s">
        <v>64</v>
      </c>
      <c r="B3378" s="24" t="s">
        <v>206</v>
      </c>
      <c r="C3378" s="22">
        <v>2</v>
      </c>
      <c r="D3378" s="25">
        <v>498190</v>
      </c>
      <c r="E3378" s="25">
        <v>498190</v>
      </c>
      <c r="F3378" s="25">
        <v>0</v>
      </c>
      <c r="G3378" s="26">
        <v>1</v>
      </c>
      <c r="H3378" s="10">
        <v>2026</v>
      </c>
    </row>
    <row r="3379" spans="1:8" hidden="1" x14ac:dyDescent="0.3">
      <c r="A3379" s="24" t="s">
        <v>64</v>
      </c>
      <c r="B3379" s="24" t="s">
        <v>206</v>
      </c>
      <c r="C3379" s="22">
        <v>3</v>
      </c>
      <c r="D3379" s="25">
        <v>498190</v>
      </c>
      <c r="E3379" s="25">
        <v>498190</v>
      </c>
      <c r="F3379" s="25">
        <v>0</v>
      </c>
      <c r="G3379" s="26">
        <v>1</v>
      </c>
      <c r="H3379" s="10">
        <v>2026</v>
      </c>
    </row>
    <row r="3380" spans="1:8" hidden="1" x14ac:dyDescent="0.3">
      <c r="A3380" s="24" t="s">
        <v>64</v>
      </c>
      <c r="B3380" s="24" t="s">
        <v>206</v>
      </c>
      <c r="C3380" s="22">
        <v>4</v>
      </c>
      <c r="D3380" s="25">
        <v>498190</v>
      </c>
      <c r="E3380" s="25">
        <v>539706</v>
      </c>
      <c r="F3380" s="25">
        <v>41516</v>
      </c>
      <c r="G3380" s="26">
        <v>1.0833336678777175</v>
      </c>
      <c r="H3380" s="10">
        <v>2026</v>
      </c>
    </row>
    <row r="3381" spans="1:8" hidden="1" x14ac:dyDescent="0.3">
      <c r="A3381" s="23" t="s">
        <v>67</v>
      </c>
      <c r="B3381" s="23" t="s">
        <v>206</v>
      </c>
      <c r="C3381" s="22">
        <v>1</v>
      </c>
      <c r="D3381" s="25">
        <v>249095</v>
      </c>
      <c r="E3381" s="25">
        <v>224186</v>
      </c>
      <c r="F3381" s="25">
        <v>-24909</v>
      </c>
      <c r="G3381" s="26">
        <v>0.90000200726630408</v>
      </c>
      <c r="H3381" s="10">
        <v>2026</v>
      </c>
    </row>
    <row r="3382" spans="1:8" hidden="1" x14ac:dyDescent="0.3">
      <c r="A3382" s="24" t="s">
        <v>67</v>
      </c>
      <c r="B3382" s="24" t="s">
        <v>206</v>
      </c>
      <c r="C3382" s="22">
        <v>2</v>
      </c>
      <c r="D3382" s="25">
        <v>249095</v>
      </c>
      <c r="E3382" s="25">
        <v>249095</v>
      </c>
      <c r="F3382" s="25">
        <v>0</v>
      </c>
      <c r="G3382" s="26">
        <v>1</v>
      </c>
      <c r="H3382" s="10">
        <v>2026</v>
      </c>
    </row>
    <row r="3383" spans="1:8" hidden="1" x14ac:dyDescent="0.3">
      <c r="A3383" s="24" t="s">
        <v>67</v>
      </c>
      <c r="B3383" s="24" t="s">
        <v>206</v>
      </c>
      <c r="C3383" s="22">
        <v>3</v>
      </c>
      <c r="D3383" s="25">
        <v>249095</v>
      </c>
      <c r="E3383" s="25">
        <v>249095</v>
      </c>
      <c r="F3383" s="25">
        <v>0</v>
      </c>
      <c r="G3383" s="26">
        <v>1</v>
      </c>
      <c r="H3383" s="10">
        <v>2026</v>
      </c>
    </row>
    <row r="3384" spans="1:8" hidden="1" x14ac:dyDescent="0.3">
      <c r="A3384" s="24" t="s">
        <v>67</v>
      </c>
      <c r="B3384" s="24" t="s">
        <v>206</v>
      </c>
      <c r="C3384" s="22">
        <v>4</v>
      </c>
      <c r="D3384" s="25">
        <v>249095</v>
      </c>
      <c r="E3384" s="25">
        <v>249095</v>
      </c>
      <c r="F3384" s="25">
        <v>0</v>
      </c>
      <c r="G3384" s="26">
        <v>1</v>
      </c>
      <c r="H3384" s="10">
        <v>2026</v>
      </c>
    </row>
    <row r="3385" spans="1:8" x14ac:dyDescent="0.3">
      <c r="A3385" s="23" t="s">
        <v>75</v>
      </c>
      <c r="B3385" s="23" t="s">
        <v>206</v>
      </c>
      <c r="C3385" s="22">
        <v>1</v>
      </c>
      <c r="D3385" s="25">
        <v>996380</v>
      </c>
      <c r="E3385" s="25">
        <v>880136</v>
      </c>
      <c r="F3385" s="25">
        <v>-116244</v>
      </c>
      <c r="G3385" s="26">
        <v>0.88333366787771739</v>
      </c>
      <c r="H3385" s="10">
        <v>2026</v>
      </c>
    </row>
    <row r="3386" spans="1:8" x14ac:dyDescent="0.3">
      <c r="A3386" s="23" t="s">
        <v>75</v>
      </c>
      <c r="B3386" s="24" t="s">
        <v>206</v>
      </c>
      <c r="C3386" s="22">
        <v>2</v>
      </c>
      <c r="D3386" s="25">
        <v>996380</v>
      </c>
      <c r="E3386" s="25">
        <v>979774</v>
      </c>
      <c r="F3386" s="25">
        <v>-16606</v>
      </c>
      <c r="G3386" s="26">
        <v>0.98333366787771737</v>
      </c>
      <c r="H3386" s="10">
        <v>2026</v>
      </c>
    </row>
    <row r="3387" spans="1:8" x14ac:dyDescent="0.3">
      <c r="A3387" s="23" t="s">
        <v>75</v>
      </c>
      <c r="B3387" s="24" t="s">
        <v>206</v>
      </c>
      <c r="C3387" s="22">
        <v>3</v>
      </c>
      <c r="D3387" s="25">
        <v>871832</v>
      </c>
      <c r="E3387" s="25">
        <v>672557</v>
      </c>
      <c r="F3387" s="25">
        <v>-199275</v>
      </c>
      <c r="G3387" s="26">
        <v>0.77142958735169165</v>
      </c>
      <c r="H3387" s="10">
        <v>2026</v>
      </c>
    </row>
    <row r="3388" spans="1:8" x14ac:dyDescent="0.3">
      <c r="A3388" s="23" t="s">
        <v>75</v>
      </c>
      <c r="B3388" s="24" t="s">
        <v>206</v>
      </c>
      <c r="C3388" s="22">
        <v>4</v>
      </c>
      <c r="D3388" s="25">
        <v>747285</v>
      </c>
      <c r="E3388" s="25">
        <v>572919</v>
      </c>
      <c r="F3388" s="25">
        <v>-174366</v>
      </c>
      <c r="G3388" s="26">
        <v>0.76666733575543466</v>
      </c>
      <c r="H3388" s="10">
        <v>2026</v>
      </c>
    </row>
    <row r="3389" spans="1:8" hidden="1" x14ac:dyDescent="0.3">
      <c r="A3389" s="23" t="s">
        <v>82</v>
      </c>
      <c r="B3389" s="23" t="s">
        <v>181</v>
      </c>
      <c r="C3389" s="22">
        <v>1</v>
      </c>
      <c r="D3389" s="25">
        <v>0</v>
      </c>
      <c r="E3389" s="25">
        <v>0</v>
      </c>
      <c r="F3389" s="25">
        <v>0</v>
      </c>
      <c r="G3389" s="26">
        <v>0</v>
      </c>
      <c r="H3389" s="10">
        <v>2026</v>
      </c>
    </row>
    <row r="3390" spans="1:8" hidden="1" x14ac:dyDescent="0.3">
      <c r="A3390" s="23" t="s">
        <v>82</v>
      </c>
      <c r="B3390" s="24" t="s">
        <v>181</v>
      </c>
      <c r="C3390" s="22">
        <v>2</v>
      </c>
      <c r="D3390" s="25">
        <v>0</v>
      </c>
      <c r="E3390" s="25">
        <v>0</v>
      </c>
      <c r="F3390" s="25">
        <v>0</v>
      </c>
      <c r="G3390" s="26">
        <v>0</v>
      </c>
      <c r="H3390" s="10">
        <v>2026</v>
      </c>
    </row>
    <row r="3391" spans="1:8" hidden="1" x14ac:dyDescent="0.3">
      <c r="A3391" s="23" t="s">
        <v>82</v>
      </c>
      <c r="B3391" s="24" t="s">
        <v>181</v>
      </c>
      <c r="C3391" s="22">
        <v>3</v>
      </c>
      <c r="D3391" s="25">
        <v>222706</v>
      </c>
      <c r="E3391" s="25">
        <v>233082</v>
      </c>
      <c r="F3391" s="25">
        <v>10376</v>
      </c>
      <c r="G3391" s="26">
        <v>1.0465905723240505</v>
      </c>
      <c r="H3391" s="10">
        <v>2026</v>
      </c>
    </row>
    <row r="3392" spans="1:8" hidden="1" x14ac:dyDescent="0.3">
      <c r="A3392" s="23" t="s">
        <v>82</v>
      </c>
      <c r="B3392" s="24" t="s">
        <v>181</v>
      </c>
      <c r="C3392" s="22">
        <v>4</v>
      </c>
      <c r="D3392" s="25">
        <v>231356</v>
      </c>
      <c r="E3392" s="25">
        <v>223169</v>
      </c>
      <c r="F3392" s="25">
        <v>-8187</v>
      </c>
      <c r="G3392" s="26">
        <v>0.96461297740279051</v>
      </c>
      <c r="H3392" s="10">
        <v>2026</v>
      </c>
    </row>
    <row r="3393" spans="1:8" hidden="1" x14ac:dyDescent="0.3">
      <c r="A3393" s="23" t="s">
        <v>77</v>
      </c>
      <c r="B3393" s="23" t="s">
        <v>181</v>
      </c>
      <c r="C3393" s="22">
        <v>1</v>
      </c>
      <c r="D3393" s="25">
        <v>636611</v>
      </c>
      <c r="E3393" s="25">
        <v>618924</v>
      </c>
      <c r="F3393" s="25">
        <v>-17687</v>
      </c>
      <c r="G3393" s="26">
        <v>0.9722169425284829</v>
      </c>
      <c r="H3393" s="10">
        <v>2026</v>
      </c>
    </row>
    <row r="3394" spans="1:8" hidden="1" x14ac:dyDescent="0.3">
      <c r="A3394" s="23" t="s">
        <v>77</v>
      </c>
      <c r="B3394" s="24" t="s">
        <v>181</v>
      </c>
      <c r="C3394" s="22">
        <v>2</v>
      </c>
      <c r="D3394" s="25">
        <v>674665</v>
      </c>
      <c r="E3394" s="25">
        <v>708798</v>
      </c>
      <c r="F3394" s="25">
        <v>34133</v>
      </c>
      <c r="G3394" s="26">
        <v>1.0505925162858605</v>
      </c>
      <c r="H3394" s="10">
        <v>2026</v>
      </c>
    </row>
    <row r="3395" spans="1:8" hidden="1" x14ac:dyDescent="0.3">
      <c r="A3395" s="23" t="s">
        <v>77</v>
      </c>
      <c r="B3395" s="24" t="s">
        <v>181</v>
      </c>
      <c r="C3395" s="22">
        <v>3</v>
      </c>
      <c r="D3395" s="25">
        <v>775517</v>
      </c>
      <c r="E3395" s="25">
        <v>627361</v>
      </c>
      <c r="F3395" s="25">
        <v>-148156</v>
      </c>
      <c r="G3395" s="26">
        <v>0.80895841096971444</v>
      </c>
      <c r="H3395" s="10">
        <v>2026</v>
      </c>
    </row>
    <row r="3396" spans="1:8" hidden="1" x14ac:dyDescent="0.3">
      <c r="A3396" s="23" t="s">
        <v>77</v>
      </c>
      <c r="B3396" s="24" t="s">
        <v>181</v>
      </c>
      <c r="C3396" s="22">
        <v>4</v>
      </c>
      <c r="D3396" s="25">
        <v>587090</v>
      </c>
      <c r="E3396" s="25">
        <v>565074</v>
      </c>
      <c r="F3396" s="25">
        <v>-22016</v>
      </c>
      <c r="G3396" s="26">
        <v>0.96249978708545536</v>
      </c>
      <c r="H3396" s="10">
        <v>2026</v>
      </c>
    </row>
    <row r="3397" spans="1:8" hidden="1" x14ac:dyDescent="0.3">
      <c r="A3397" s="23" t="s">
        <v>253</v>
      </c>
      <c r="B3397" s="23" t="s">
        <v>181</v>
      </c>
      <c r="C3397" s="22">
        <v>1</v>
      </c>
      <c r="D3397" s="25">
        <v>1940072</v>
      </c>
      <c r="E3397" s="25">
        <v>2071232</v>
      </c>
      <c r="F3397" s="25">
        <v>131160</v>
      </c>
      <c r="G3397" s="26">
        <v>1.0676057383437316</v>
      </c>
      <c r="H3397" s="10">
        <v>2026</v>
      </c>
    </row>
    <row r="3398" spans="1:8" hidden="1" x14ac:dyDescent="0.3">
      <c r="A3398" s="23" t="s">
        <v>253</v>
      </c>
      <c r="B3398" s="24" t="s">
        <v>181</v>
      </c>
      <c r="C3398" s="22">
        <v>2</v>
      </c>
      <c r="D3398" s="25">
        <v>2021356</v>
      </c>
      <c r="E3398" s="25">
        <v>2047556</v>
      </c>
      <c r="F3398" s="25">
        <v>26200</v>
      </c>
      <c r="G3398" s="26">
        <v>1.0129615960770888</v>
      </c>
      <c r="H3398" s="10">
        <v>2026</v>
      </c>
    </row>
    <row r="3399" spans="1:8" hidden="1" x14ac:dyDescent="0.3">
      <c r="A3399" s="23" t="s">
        <v>253</v>
      </c>
      <c r="B3399" s="24" t="s">
        <v>181</v>
      </c>
      <c r="C3399" s="22">
        <v>3</v>
      </c>
      <c r="D3399" s="25">
        <v>2434863</v>
      </c>
      <c r="E3399" s="25">
        <v>2430193</v>
      </c>
      <c r="F3399" s="25">
        <v>-4670</v>
      </c>
      <c r="G3399" s="26">
        <v>0.99808202761305265</v>
      </c>
      <c r="H3399" s="10">
        <v>2026</v>
      </c>
    </row>
    <row r="3400" spans="1:8" hidden="1" x14ac:dyDescent="0.3">
      <c r="A3400" s="23" t="s">
        <v>253</v>
      </c>
      <c r="B3400" s="24" t="s">
        <v>181</v>
      </c>
      <c r="C3400" s="22">
        <v>4</v>
      </c>
      <c r="D3400" s="25">
        <v>2312566</v>
      </c>
      <c r="E3400" s="25">
        <v>2512908</v>
      </c>
      <c r="F3400" s="25">
        <v>200342</v>
      </c>
      <c r="G3400" s="26">
        <v>1.0866319058569571</v>
      </c>
      <c r="H3400" s="10">
        <v>2026</v>
      </c>
    </row>
    <row r="3401" spans="1:8" hidden="1" x14ac:dyDescent="0.3">
      <c r="A3401" s="23" t="s">
        <v>103</v>
      </c>
      <c r="B3401" s="23" t="s">
        <v>181</v>
      </c>
      <c r="C3401" s="22">
        <v>1</v>
      </c>
      <c r="D3401" s="25">
        <v>1259912</v>
      </c>
      <c r="E3401" s="25">
        <v>1260421</v>
      </c>
      <c r="F3401" s="25">
        <v>509</v>
      </c>
      <c r="G3401" s="26">
        <v>1.0004039964695948</v>
      </c>
      <c r="H3401" s="10">
        <v>2026</v>
      </c>
    </row>
    <row r="3402" spans="1:8" hidden="1" x14ac:dyDescent="0.3">
      <c r="A3402" s="24" t="s">
        <v>103</v>
      </c>
      <c r="B3402" s="24" t="s">
        <v>181</v>
      </c>
      <c r="C3402" s="22">
        <v>2</v>
      </c>
      <c r="D3402" s="25">
        <v>1259912</v>
      </c>
      <c r="E3402" s="25">
        <v>1303096</v>
      </c>
      <c r="F3402" s="25">
        <v>43184</v>
      </c>
      <c r="G3402" s="26">
        <v>1.0342754097111544</v>
      </c>
      <c r="H3402" s="10">
        <v>2026</v>
      </c>
    </row>
    <row r="3403" spans="1:8" hidden="1" x14ac:dyDescent="0.3">
      <c r="A3403" s="24" t="s">
        <v>103</v>
      </c>
      <c r="B3403" s="24" t="s">
        <v>181</v>
      </c>
      <c r="C3403" s="22">
        <v>3</v>
      </c>
      <c r="D3403" s="25">
        <v>1461498</v>
      </c>
      <c r="E3403" s="25">
        <v>1416142</v>
      </c>
      <c r="F3403" s="25">
        <v>-45356</v>
      </c>
      <c r="G3403" s="26">
        <v>0.96896608821907382</v>
      </c>
      <c r="H3403" s="10">
        <v>2026</v>
      </c>
    </row>
    <row r="3404" spans="1:8" hidden="1" x14ac:dyDescent="0.3">
      <c r="A3404" s="24" t="s">
        <v>103</v>
      </c>
      <c r="B3404" s="24" t="s">
        <v>181</v>
      </c>
      <c r="C3404" s="22">
        <v>4</v>
      </c>
      <c r="D3404" s="25">
        <v>1360705</v>
      </c>
      <c r="E3404" s="25">
        <v>1360706</v>
      </c>
      <c r="F3404" s="25">
        <v>1</v>
      </c>
      <c r="G3404" s="26">
        <v>1.0000007349131517</v>
      </c>
      <c r="H3404" s="10">
        <v>2026</v>
      </c>
    </row>
    <row r="3405" spans="1:8" hidden="1" x14ac:dyDescent="0.3">
      <c r="A3405" s="23" t="s">
        <v>79</v>
      </c>
      <c r="B3405" s="23" t="s">
        <v>181</v>
      </c>
      <c r="C3405" s="22">
        <v>1</v>
      </c>
      <c r="D3405" s="25">
        <v>841728</v>
      </c>
      <c r="E3405" s="25">
        <v>887210</v>
      </c>
      <c r="F3405" s="25">
        <v>45482</v>
      </c>
      <c r="G3405" s="26">
        <v>1.0540340822688565</v>
      </c>
      <c r="H3405" s="10">
        <v>2026</v>
      </c>
    </row>
    <row r="3406" spans="1:8" hidden="1" x14ac:dyDescent="0.3">
      <c r="A3406" s="23" t="s">
        <v>79</v>
      </c>
      <c r="B3406" s="24" t="s">
        <v>181</v>
      </c>
      <c r="C3406" s="22">
        <v>2</v>
      </c>
      <c r="D3406" s="25">
        <v>889809</v>
      </c>
      <c r="E3406" s="25">
        <v>915023</v>
      </c>
      <c r="F3406" s="25">
        <v>25214</v>
      </c>
      <c r="G3406" s="26">
        <v>1.0283364182650434</v>
      </c>
      <c r="H3406" s="10">
        <v>2026</v>
      </c>
    </row>
    <row r="3407" spans="1:8" hidden="1" x14ac:dyDescent="0.3">
      <c r="A3407" s="23" t="s">
        <v>79</v>
      </c>
      <c r="B3407" s="24" t="s">
        <v>181</v>
      </c>
      <c r="C3407" s="22">
        <v>3</v>
      </c>
      <c r="D3407" s="25">
        <v>1268016</v>
      </c>
      <c r="E3407" s="25">
        <v>1247268</v>
      </c>
      <c r="F3407" s="25">
        <v>-20748</v>
      </c>
      <c r="G3407" s="26">
        <v>0.98363743044251817</v>
      </c>
      <c r="H3407" s="10">
        <v>2026</v>
      </c>
    </row>
    <row r="3408" spans="1:8" hidden="1" x14ac:dyDescent="0.3">
      <c r="A3408" s="23" t="s">
        <v>79</v>
      </c>
      <c r="B3408" s="24" t="s">
        <v>181</v>
      </c>
      <c r="C3408" s="22">
        <v>4</v>
      </c>
      <c r="D3408" s="25">
        <v>1090170</v>
      </c>
      <c r="E3408" s="25">
        <v>1069422</v>
      </c>
      <c r="F3408" s="25">
        <v>-20748</v>
      </c>
      <c r="G3408" s="26">
        <v>0.98096810589174166</v>
      </c>
      <c r="H3408" s="10">
        <v>2026</v>
      </c>
    </row>
    <row r="3409" spans="1:8" hidden="1" x14ac:dyDescent="0.3">
      <c r="A3409" s="23" t="s">
        <v>64</v>
      </c>
      <c r="B3409" s="23" t="s">
        <v>181</v>
      </c>
      <c r="C3409" s="22">
        <v>1</v>
      </c>
      <c r="D3409" s="25">
        <v>350018</v>
      </c>
      <c r="E3409" s="25">
        <v>354902</v>
      </c>
      <c r="F3409" s="25">
        <v>4884</v>
      </c>
      <c r="G3409" s="26">
        <v>1.0139535681022118</v>
      </c>
      <c r="H3409" s="10">
        <v>2026</v>
      </c>
    </row>
    <row r="3410" spans="1:8" hidden="1" x14ac:dyDescent="0.3">
      <c r="A3410" s="24" t="s">
        <v>64</v>
      </c>
      <c r="B3410" s="24" t="s">
        <v>181</v>
      </c>
      <c r="C3410" s="22">
        <v>2</v>
      </c>
      <c r="D3410" s="25">
        <v>363674</v>
      </c>
      <c r="E3410" s="25">
        <v>371068</v>
      </c>
      <c r="F3410" s="25">
        <v>7394</v>
      </c>
      <c r="G3410" s="26">
        <v>1.0203313957005451</v>
      </c>
      <c r="H3410" s="10">
        <v>2026</v>
      </c>
    </row>
    <row r="3411" spans="1:8" hidden="1" x14ac:dyDescent="0.3">
      <c r="A3411" s="24" t="s">
        <v>64</v>
      </c>
      <c r="B3411" s="24" t="s">
        <v>181</v>
      </c>
      <c r="C3411" s="22">
        <v>3</v>
      </c>
      <c r="D3411" s="25">
        <v>420935</v>
      </c>
      <c r="E3411" s="25">
        <v>430806</v>
      </c>
      <c r="F3411" s="25">
        <v>9871</v>
      </c>
      <c r="G3411" s="26">
        <v>1.0234501763930299</v>
      </c>
      <c r="H3411" s="10">
        <v>2026</v>
      </c>
    </row>
    <row r="3412" spans="1:8" hidden="1" x14ac:dyDescent="0.3">
      <c r="A3412" s="24" t="s">
        <v>64</v>
      </c>
      <c r="B3412" s="24" t="s">
        <v>181</v>
      </c>
      <c r="C3412" s="22">
        <v>4</v>
      </c>
      <c r="D3412" s="25">
        <v>660733</v>
      </c>
      <c r="E3412" s="25">
        <v>650102</v>
      </c>
      <c r="F3412" s="25">
        <v>-10631</v>
      </c>
      <c r="G3412" s="26">
        <v>0.98391029356790116</v>
      </c>
      <c r="H3412" s="10">
        <v>2026</v>
      </c>
    </row>
    <row r="3413" spans="1:8" hidden="1" x14ac:dyDescent="0.3">
      <c r="A3413" s="23" t="s">
        <v>67</v>
      </c>
      <c r="B3413" s="23" t="s">
        <v>181</v>
      </c>
      <c r="C3413" s="22">
        <v>1</v>
      </c>
      <c r="D3413" s="25">
        <v>1030199</v>
      </c>
      <c r="E3413" s="25">
        <v>964528</v>
      </c>
      <c r="F3413" s="25">
        <v>-65671</v>
      </c>
      <c r="G3413" s="26">
        <v>0.9362540635352975</v>
      </c>
      <c r="H3413" s="10">
        <v>2026</v>
      </c>
    </row>
    <row r="3414" spans="1:8" hidden="1" x14ac:dyDescent="0.3">
      <c r="A3414" s="24" t="s">
        <v>67</v>
      </c>
      <c r="B3414" s="24" t="s">
        <v>181</v>
      </c>
      <c r="C3414" s="22">
        <v>2</v>
      </c>
      <c r="D3414" s="25">
        <v>990109</v>
      </c>
      <c r="E3414" s="25">
        <v>971138</v>
      </c>
      <c r="F3414" s="25">
        <v>-18971</v>
      </c>
      <c r="G3414" s="26">
        <v>0.98083948332961324</v>
      </c>
      <c r="H3414" s="10">
        <v>2026</v>
      </c>
    </row>
    <row r="3415" spans="1:8" hidden="1" x14ac:dyDescent="0.3">
      <c r="A3415" s="24" t="s">
        <v>67</v>
      </c>
      <c r="B3415" s="24" t="s">
        <v>181</v>
      </c>
      <c r="C3415" s="22">
        <v>3</v>
      </c>
      <c r="D3415" s="25">
        <v>1181000</v>
      </c>
      <c r="E3415" s="25">
        <v>1115316</v>
      </c>
      <c r="F3415" s="25">
        <v>-65684</v>
      </c>
      <c r="G3415" s="26">
        <v>0.94438272650296362</v>
      </c>
      <c r="H3415" s="10">
        <v>2026</v>
      </c>
    </row>
    <row r="3416" spans="1:8" hidden="1" x14ac:dyDescent="0.3">
      <c r="A3416" s="24" t="s">
        <v>67</v>
      </c>
      <c r="B3416" s="24" t="s">
        <v>181</v>
      </c>
      <c r="C3416" s="22">
        <v>4</v>
      </c>
      <c r="D3416" s="25">
        <v>1091096</v>
      </c>
      <c r="E3416" s="25">
        <v>1336171</v>
      </c>
      <c r="F3416" s="25">
        <v>245075</v>
      </c>
      <c r="G3416" s="26">
        <v>1.2246135995366128</v>
      </c>
      <c r="H3416" s="10">
        <v>2026</v>
      </c>
    </row>
    <row r="3417" spans="1:8" x14ac:dyDescent="0.3">
      <c r="A3417" s="23" t="s">
        <v>75</v>
      </c>
      <c r="B3417" s="23" t="s">
        <v>181</v>
      </c>
      <c r="C3417" s="22">
        <v>1</v>
      </c>
      <c r="D3417" s="25">
        <v>1352064</v>
      </c>
      <c r="E3417" s="25">
        <v>1245323</v>
      </c>
      <c r="F3417" s="25">
        <v>-106741</v>
      </c>
      <c r="G3417" s="26">
        <v>0.92105329333522667</v>
      </c>
      <c r="H3417" s="10">
        <v>2026</v>
      </c>
    </row>
    <row r="3418" spans="1:8" x14ac:dyDescent="0.3">
      <c r="A3418" s="23" t="s">
        <v>75</v>
      </c>
      <c r="B3418" s="24" t="s">
        <v>181</v>
      </c>
      <c r="C3418" s="22">
        <v>2</v>
      </c>
      <c r="D3418" s="25">
        <v>1257844</v>
      </c>
      <c r="E3418" s="25">
        <v>1307180</v>
      </c>
      <c r="F3418" s="25">
        <v>49336</v>
      </c>
      <c r="G3418" s="26">
        <v>1.0392226699018321</v>
      </c>
      <c r="H3418" s="10">
        <v>2026</v>
      </c>
    </row>
    <row r="3419" spans="1:8" x14ac:dyDescent="0.3">
      <c r="A3419" s="23" t="s">
        <v>75</v>
      </c>
      <c r="B3419" s="24" t="s">
        <v>181</v>
      </c>
      <c r="C3419" s="22">
        <v>3</v>
      </c>
      <c r="D3419" s="25">
        <v>1622805</v>
      </c>
      <c r="E3419" s="25">
        <v>1664106</v>
      </c>
      <c r="F3419" s="25">
        <v>41301</v>
      </c>
      <c r="G3419" s="26">
        <v>1.0254503775869559</v>
      </c>
      <c r="H3419" s="10">
        <v>2026</v>
      </c>
    </row>
    <row r="3420" spans="1:8" x14ac:dyDescent="0.3">
      <c r="A3420" s="23" t="s">
        <v>75</v>
      </c>
      <c r="B3420" s="24" t="s">
        <v>181</v>
      </c>
      <c r="C3420" s="22">
        <v>4</v>
      </c>
      <c r="D3420" s="25">
        <v>1298247</v>
      </c>
      <c r="E3420" s="25">
        <v>1187746</v>
      </c>
      <c r="F3420" s="25">
        <v>-110501</v>
      </c>
      <c r="G3420" s="26">
        <v>0.91488445573145949</v>
      </c>
      <c r="H3420" s="10">
        <v>2026</v>
      </c>
    </row>
    <row r="3421" spans="1:8" hidden="1" x14ac:dyDescent="0.3">
      <c r="A3421" s="23" t="s">
        <v>82</v>
      </c>
      <c r="B3421" s="23" t="s">
        <v>182</v>
      </c>
      <c r="C3421" s="22">
        <v>1</v>
      </c>
      <c r="D3421" s="25">
        <v>0</v>
      </c>
      <c r="E3421" s="25">
        <v>0</v>
      </c>
      <c r="F3421" s="25">
        <v>0</v>
      </c>
      <c r="G3421" s="26">
        <v>0</v>
      </c>
      <c r="H3421" s="10">
        <v>2026</v>
      </c>
    </row>
    <row r="3422" spans="1:8" hidden="1" x14ac:dyDescent="0.3">
      <c r="A3422" s="23" t="s">
        <v>82</v>
      </c>
      <c r="B3422" s="24" t="s">
        <v>182</v>
      </c>
      <c r="C3422" s="22">
        <v>2</v>
      </c>
      <c r="D3422" s="25">
        <v>0</v>
      </c>
      <c r="E3422" s="25">
        <v>0</v>
      </c>
      <c r="F3422" s="25">
        <v>0</v>
      </c>
      <c r="G3422" s="26">
        <v>0</v>
      </c>
      <c r="H3422" s="10">
        <v>2026</v>
      </c>
    </row>
    <row r="3423" spans="1:8" hidden="1" x14ac:dyDescent="0.3">
      <c r="A3423" s="23" t="s">
        <v>82</v>
      </c>
      <c r="B3423" s="24" t="s">
        <v>182</v>
      </c>
      <c r="C3423" s="22">
        <v>3</v>
      </c>
      <c r="D3423" s="25">
        <v>26724</v>
      </c>
      <c r="E3423" s="25">
        <v>27981</v>
      </c>
      <c r="F3423" s="25">
        <v>1257</v>
      </c>
      <c r="G3423" s="26">
        <v>1.0470363718006286</v>
      </c>
      <c r="H3423" s="10">
        <v>2026</v>
      </c>
    </row>
    <row r="3424" spans="1:8" hidden="1" x14ac:dyDescent="0.3">
      <c r="A3424" s="23" t="s">
        <v>82</v>
      </c>
      <c r="B3424" s="24" t="s">
        <v>182</v>
      </c>
      <c r="C3424" s="22">
        <v>4</v>
      </c>
      <c r="D3424" s="25">
        <v>27762</v>
      </c>
      <c r="E3424" s="25">
        <v>26791</v>
      </c>
      <c r="F3424" s="25">
        <v>-971</v>
      </c>
      <c r="G3424" s="26">
        <v>0.96502413370794615</v>
      </c>
      <c r="H3424" s="10">
        <v>2026</v>
      </c>
    </row>
    <row r="3425" spans="1:8" hidden="1" x14ac:dyDescent="0.3">
      <c r="A3425" s="23" t="s">
        <v>77</v>
      </c>
      <c r="B3425" s="23" t="s">
        <v>182</v>
      </c>
      <c r="C3425" s="22">
        <v>1</v>
      </c>
      <c r="D3425" s="25">
        <v>76393</v>
      </c>
      <c r="E3425" s="25">
        <v>74302</v>
      </c>
      <c r="F3425" s="25">
        <v>-2091</v>
      </c>
      <c r="G3425" s="26">
        <v>0.97262838218161352</v>
      </c>
      <c r="H3425" s="10">
        <v>2026</v>
      </c>
    </row>
    <row r="3426" spans="1:8" hidden="1" x14ac:dyDescent="0.3">
      <c r="A3426" s="23" t="s">
        <v>77</v>
      </c>
      <c r="B3426" s="24" t="s">
        <v>182</v>
      </c>
      <c r="C3426" s="22">
        <v>2</v>
      </c>
      <c r="D3426" s="25">
        <v>80959</v>
      </c>
      <c r="E3426" s="25">
        <v>85090</v>
      </c>
      <c r="F3426" s="25">
        <v>4131</v>
      </c>
      <c r="G3426" s="26">
        <v>1.0510258278881903</v>
      </c>
      <c r="H3426" s="10">
        <v>2026</v>
      </c>
    </row>
    <row r="3427" spans="1:8" hidden="1" x14ac:dyDescent="0.3">
      <c r="A3427" s="23" t="s">
        <v>77</v>
      </c>
      <c r="B3427" s="24" t="s">
        <v>182</v>
      </c>
      <c r="C3427" s="22">
        <v>3</v>
      </c>
      <c r="D3427" s="25">
        <v>93062</v>
      </c>
      <c r="E3427" s="25">
        <v>75313</v>
      </c>
      <c r="F3427" s="25">
        <v>-17749</v>
      </c>
      <c r="G3427" s="26">
        <v>0.80927768584384607</v>
      </c>
      <c r="H3427" s="10">
        <v>2026</v>
      </c>
    </row>
    <row r="3428" spans="1:8" hidden="1" x14ac:dyDescent="0.3">
      <c r="A3428" s="23" t="s">
        <v>77</v>
      </c>
      <c r="B3428" s="24" t="s">
        <v>182</v>
      </c>
      <c r="C3428" s="22">
        <v>4</v>
      </c>
      <c r="D3428" s="25">
        <v>70450</v>
      </c>
      <c r="E3428" s="25">
        <v>67836</v>
      </c>
      <c r="F3428" s="25">
        <v>-2614</v>
      </c>
      <c r="G3428" s="26">
        <v>0.96289567068843152</v>
      </c>
      <c r="H3428" s="10">
        <v>2026</v>
      </c>
    </row>
    <row r="3429" spans="1:8" hidden="1" x14ac:dyDescent="0.3">
      <c r="A3429" s="23" t="s">
        <v>253</v>
      </c>
      <c r="B3429" s="23" t="s">
        <v>182</v>
      </c>
      <c r="C3429" s="22">
        <v>1</v>
      </c>
      <c r="D3429" s="25">
        <v>232808</v>
      </c>
      <c r="E3429" s="25">
        <v>248647</v>
      </c>
      <c r="F3429" s="25">
        <v>15839</v>
      </c>
      <c r="G3429" s="26">
        <v>1.0680346036218686</v>
      </c>
      <c r="H3429" s="10">
        <v>2026</v>
      </c>
    </row>
    <row r="3430" spans="1:8" hidden="1" x14ac:dyDescent="0.3">
      <c r="A3430" s="23" t="s">
        <v>253</v>
      </c>
      <c r="B3430" s="24" t="s">
        <v>182</v>
      </c>
      <c r="C3430" s="22">
        <v>2</v>
      </c>
      <c r="D3430" s="25">
        <v>242562</v>
      </c>
      <c r="E3430" s="25">
        <v>245804</v>
      </c>
      <c r="F3430" s="25">
        <v>3242</v>
      </c>
      <c r="G3430" s="26">
        <v>1.0133656549665653</v>
      </c>
      <c r="H3430" s="10">
        <v>2026</v>
      </c>
    </row>
    <row r="3431" spans="1:8" hidden="1" x14ac:dyDescent="0.3">
      <c r="A3431" s="23" t="s">
        <v>253</v>
      </c>
      <c r="B3431" s="24" t="s">
        <v>182</v>
      </c>
      <c r="C3431" s="22">
        <v>3</v>
      </c>
      <c r="D3431" s="25">
        <v>292183</v>
      </c>
      <c r="E3431" s="25">
        <v>291738</v>
      </c>
      <c r="F3431" s="25">
        <v>-445</v>
      </c>
      <c r="G3431" s="26">
        <v>0.99847698189148582</v>
      </c>
      <c r="H3431" s="10">
        <v>2026</v>
      </c>
    </row>
    <row r="3432" spans="1:8" hidden="1" x14ac:dyDescent="0.3">
      <c r="A3432" s="23" t="s">
        <v>253</v>
      </c>
      <c r="B3432" s="24" t="s">
        <v>182</v>
      </c>
      <c r="C3432" s="22">
        <v>4</v>
      </c>
      <c r="D3432" s="25">
        <v>277507</v>
      </c>
      <c r="E3432" s="25">
        <v>301670</v>
      </c>
      <c r="F3432" s="25">
        <v>24163</v>
      </c>
      <c r="G3432" s="26">
        <v>1.087071677471199</v>
      </c>
      <c r="H3432" s="10">
        <v>2026</v>
      </c>
    </row>
    <row r="3433" spans="1:8" hidden="1" x14ac:dyDescent="0.3">
      <c r="A3433" s="23" t="s">
        <v>103</v>
      </c>
      <c r="B3433" s="23" t="s">
        <v>182</v>
      </c>
      <c r="C3433" s="22">
        <v>1</v>
      </c>
      <c r="D3433" s="25">
        <v>151189</v>
      </c>
      <c r="E3433" s="25">
        <v>151311</v>
      </c>
      <c r="F3433" s="25">
        <v>122</v>
      </c>
      <c r="G3433" s="26">
        <v>1.0008069370126134</v>
      </c>
      <c r="H3433" s="10">
        <v>2026</v>
      </c>
    </row>
    <row r="3434" spans="1:8" hidden="1" x14ac:dyDescent="0.3">
      <c r="A3434" s="24" t="s">
        <v>103</v>
      </c>
      <c r="B3434" s="24" t="s">
        <v>182</v>
      </c>
      <c r="C3434" s="22">
        <v>2</v>
      </c>
      <c r="D3434" s="25">
        <v>151189</v>
      </c>
      <c r="E3434" s="25">
        <v>156434</v>
      </c>
      <c r="F3434" s="25">
        <v>5245</v>
      </c>
      <c r="G3434" s="26">
        <v>1.0346916773045658</v>
      </c>
      <c r="H3434" s="10">
        <v>2026</v>
      </c>
    </row>
    <row r="3435" spans="1:8" hidden="1" x14ac:dyDescent="0.3">
      <c r="A3435" s="24" t="s">
        <v>103</v>
      </c>
      <c r="B3435" s="24" t="s">
        <v>182</v>
      </c>
      <c r="C3435" s="22">
        <v>3</v>
      </c>
      <c r="D3435" s="25">
        <v>175379</v>
      </c>
      <c r="E3435" s="25">
        <v>170005</v>
      </c>
      <c r="F3435" s="25">
        <v>-5374</v>
      </c>
      <c r="G3435" s="26">
        <v>0.96935779084154894</v>
      </c>
      <c r="H3435" s="10">
        <v>2026</v>
      </c>
    </row>
    <row r="3436" spans="1:8" hidden="1" x14ac:dyDescent="0.3">
      <c r="A3436" s="24" t="s">
        <v>103</v>
      </c>
      <c r="B3436" s="24" t="s">
        <v>182</v>
      </c>
      <c r="C3436" s="22">
        <v>4</v>
      </c>
      <c r="D3436" s="25">
        <v>163284</v>
      </c>
      <c r="E3436" s="25">
        <v>163350</v>
      </c>
      <c r="F3436" s="25">
        <v>66</v>
      </c>
      <c r="G3436" s="26">
        <v>1.0004042037186742</v>
      </c>
      <c r="H3436" s="10">
        <v>2026</v>
      </c>
    </row>
    <row r="3437" spans="1:8" hidden="1" x14ac:dyDescent="0.3">
      <c r="A3437" s="23" t="s">
        <v>79</v>
      </c>
      <c r="B3437" s="23" t="s">
        <v>182</v>
      </c>
      <c r="C3437" s="22">
        <v>1</v>
      </c>
      <c r="D3437" s="25">
        <v>101007</v>
      </c>
      <c r="E3437" s="25">
        <v>106508</v>
      </c>
      <c r="F3437" s="25">
        <v>5501</v>
      </c>
      <c r="G3437" s="26">
        <v>1.0544615719702595</v>
      </c>
      <c r="H3437" s="10">
        <v>2026</v>
      </c>
    </row>
    <row r="3438" spans="1:8" hidden="1" x14ac:dyDescent="0.3">
      <c r="A3438" s="23" t="s">
        <v>79</v>
      </c>
      <c r="B3438" s="24" t="s">
        <v>182</v>
      </c>
      <c r="C3438" s="22">
        <v>2</v>
      </c>
      <c r="D3438" s="25">
        <v>106777</v>
      </c>
      <c r="E3438" s="25">
        <v>109847</v>
      </c>
      <c r="F3438" s="25">
        <v>3070</v>
      </c>
      <c r="G3438" s="26">
        <v>1.0287515101566818</v>
      </c>
      <c r="H3438" s="10">
        <v>2026</v>
      </c>
    </row>
    <row r="3439" spans="1:8" hidden="1" x14ac:dyDescent="0.3">
      <c r="A3439" s="23" t="s">
        <v>79</v>
      </c>
      <c r="B3439" s="24" t="s">
        <v>182</v>
      </c>
      <c r="C3439" s="22">
        <v>3</v>
      </c>
      <c r="D3439" s="25">
        <v>152161</v>
      </c>
      <c r="E3439" s="25">
        <v>149732</v>
      </c>
      <c r="F3439" s="25">
        <v>-2429</v>
      </c>
      <c r="G3439" s="26">
        <v>0.98403664539533786</v>
      </c>
      <c r="H3439" s="10">
        <v>2026</v>
      </c>
    </row>
    <row r="3440" spans="1:8" hidden="1" x14ac:dyDescent="0.3">
      <c r="A3440" s="23" t="s">
        <v>79</v>
      </c>
      <c r="B3440" s="24" t="s">
        <v>182</v>
      </c>
      <c r="C3440" s="22">
        <v>4</v>
      </c>
      <c r="D3440" s="25">
        <v>130820</v>
      </c>
      <c r="E3440" s="25">
        <v>128382</v>
      </c>
      <c r="F3440" s="25">
        <v>-2438</v>
      </c>
      <c r="G3440" s="26">
        <v>0.9813637058553738</v>
      </c>
      <c r="H3440" s="10">
        <v>2026</v>
      </c>
    </row>
    <row r="3441" spans="1:8" hidden="1" x14ac:dyDescent="0.3">
      <c r="A3441" s="23" t="s">
        <v>64</v>
      </c>
      <c r="B3441" s="23" t="s">
        <v>182</v>
      </c>
      <c r="C3441" s="22">
        <v>1</v>
      </c>
      <c r="D3441" s="25">
        <v>42002</v>
      </c>
      <c r="E3441" s="25">
        <v>42605</v>
      </c>
      <c r="F3441" s="25">
        <v>603</v>
      </c>
      <c r="G3441" s="26">
        <v>1.0143564592162277</v>
      </c>
      <c r="H3441" s="10">
        <v>2026</v>
      </c>
    </row>
    <row r="3442" spans="1:8" hidden="1" x14ac:dyDescent="0.3">
      <c r="A3442" s="24" t="s">
        <v>64</v>
      </c>
      <c r="B3442" s="24" t="s">
        <v>182</v>
      </c>
      <c r="C3442" s="22">
        <v>2</v>
      </c>
      <c r="D3442" s="25">
        <v>43640</v>
      </c>
      <c r="E3442" s="25">
        <v>44546</v>
      </c>
      <c r="F3442" s="25">
        <v>906</v>
      </c>
      <c r="G3442" s="26">
        <v>1.0207607699358388</v>
      </c>
      <c r="H3442" s="10">
        <v>2026</v>
      </c>
    </row>
    <row r="3443" spans="1:8" hidden="1" x14ac:dyDescent="0.3">
      <c r="A3443" s="24" t="s">
        <v>64</v>
      </c>
      <c r="B3443" s="24" t="s">
        <v>182</v>
      </c>
      <c r="C3443" s="22">
        <v>3</v>
      </c>
      <c r="D3443" s="25">
        <v>50512</v>
      </c>
      <c r="E3443" s="25">
        <v>51717</v>
      </c>
      <c r="F3443" s="25">
        <v>1205</v>
      </c>
      <c r="G3443" s="26">
        <v>1.0238557174532785</v>
      </c>
      <c r="H3443" s="10">
        <v>2026</v>
      </c>
    </row>
    <row r="3444" spans="1:8" hidden="1" x14ac:dyDescent="0.3">
      <c r="A3444" s="24" t="s">
        <v>64</v>
      </c>
      <c r="B3444" s="24" t="s">
        <v>182</v>
      </c>
      <c r="C3444" s="22">
        <v>4</v>
      </c>
      <c r="D3444" s="25">
        <v>79287</v>
      </c>
      <c r="E3444" s="25">
        <v>78045</v>
      </c>
      <c r="F3444" s="25">
        <v>-1242</v>
      </c>
      <c r="G3444" s="26">
        <v>0.98433538915585161</v>
      </c>
      <c r="H3444" s="10">
        <v>2026</v>
      </c>
    </row>
    <row r="3445" spans="1:8" hidden="1" x14ac:dyDescent="0.3">
      <c r="A3445" s="23" t="s">
        <v>67</v>
      </c>
      <c r="B3445" s="23" t="s">
        <v>182</v>
      </c>
      <c r="C3445" s="22">
        <v>1</v>
      </c>
      <c r="D3445" s="25">
        <v>123623</v>
      </c>
      <c r="E3445" s="25">
        <v>115789</v>
      </c>
      <c r="F3445" s="25">
        <v>-7834</v>
      </c>
      <c r="G3445" s="26">
        <v>0.93662991514523997</v>
      </c>
      <c r="H3445" s="10">
        <v>2026</v>
      </c>
    </row>
    <row r="3446" spans="1:8" hidden="1" x14ac:dyDescent="0.3">
      <c r="A3446" s="24" t="s">
        <v>67</v>
      </c>
      <c r="B3446" s="24" t="s">
        <v>182</v>
      </c>
      <c r="C3446" s="22">
        <v>2</v>
      </c>
      <c r="D3446" s="25">
        <v>118813</v>
      </c>
      <c r="E3446" s="25">
        <v>116583</v>
      </c>
      <c r="F3446" s="25">
        <v>-2230</v>
      </c>
      <c r="G3446" s="26">
        <v>0.98123101007465519</v>
      </c>
      <c r="H3446" s="10">
        <v>2026</v>
      </c>
    </row>
    <row r="3447" spans="1:8" hidden="1" x14ac:dyDescent="0.3">
      <c r="A3447" s="24" t="s">
        <v>67</v>
      </c>
      <c r="B3447" s="24" t="s">
        <v>182</v>
      </c>
      <c r="C3447" s="22">
        <v>3</v>
      </c>
      <c r="D3447" s="25">
        <v>141720</v>
      </c>
      <c r="E3447" s="25">
        <v>133891</v>
      </c>
      <c r="F3447" s="25">
        <v>-7829</v>
      </c>
      <c r="G3447" s="26">
        <v>0.94475726785210279</v>
      </c>
      <c r="H3447" s="10">
        <v>2026</v>
      </c>
    </row>
    <row r="3448" spans="1:8" hidden="1" x14ac:dyDescent="0.3">
      <c r="A3448" s="24" t="s">
        <v>67</v>
      </c>
      <c r="B3448" s="24" t="s">
        <v>182</v>
      </c>
      <c r="C3448" s="22">
        <v>4</v>
      </c>
      <c r="D3448" s="25">
        <v>130931</v>
      </c>
      <c r="E3448" s="25">
        <v>160405</v>
      </c>
      <c r="F3448" s="25">
        <v>29474</v>
      </c>
      <c r="G3448" s="26">
        <v>1.2251109362946895</v>
      </c>
      <c r="H3448" s="10">
        <v>2026</v>
      </c>
    </row>
    <row r="3449" spans="1:8" x14ac:dyDescent="0.3">
      <c r="A3449" s="23" t="s">
        <v>75</v>
      </c>
      <c r="B3449" s="23" t="s">
        <v>182</v>
      </c>
      <c r="C3449" s="22">
        <v>1</v>
      </c>
      <c r="D3449" s="25">
        <v>162247</v>
      </c>
      <c r="E3449" s="25">
        <v>149498</v>
      </c>
      <c r="F3449" s="25">
        <v>-12749</v>
      </c>
      <c r="G3449" s="26">
        <v>0.92142227591265169</v>
      </c>
      <c r="H3449" s="10">
        <v>2026</v>
      </c>
    </row>
    <row r="3450" spans="1:8" x14ac:dyDescent="0.3">
      <c r="A3450" s="23" t="s">
        <v>75</v>
      </c>
      <c r="B3450" s="24" t="s">
        <v>182</v>
      </c>
      <c r="C3450" s="22">
        <v>2</v>
      </c>
      <c r="D3450" s="25">
        <v>150941</v>
      </c>
      <c r="E3450" s="25">
        <v>156924</v>
      </c>
      <c r="F3450" s="25">
        <v>5983</v>
      </c>
      <c r="G3450" s="26">
        <v>1.0396380042533175</v>
      </c>
      <c r="H3450" s="10">
        <v>2026</v>
      </c>
    </row>
    <row r="3451" spans="1:8" x14ac:dyDescent="0.3">
      <c r="A3451" s="23" t="s">
        <v>75</v>
      </c>
      <c r="B3451" s="24" t="s">
        <v>182</v>
      </c>
      <c r="C3451" s="22">
        <v>3</v>
      </c>
      <c r="D3451" s="25">
        <v>194736</v>
      </c>
      <c r="E3451" s="25">
        <v>199773</v>
      </c>
      <c r="F3451" s="25">
        <v>5037</v>
      </c>
      <c r="G3451" s="26">
        <v>1.0258657875277299</v>
      </c>
      <c r="H3451" s="10">
        <v>2026</v>
      </c>
    </row>
    <row r="3452" spans="1:8" x14ac:dyDescent="0.3">
      <c r="A3452" s="23" t="s">
        <v>75</v>
      </c>
      <c r="B3452" s="24" t="s">
        <v>182</v>
      </c>
      <c r="C3452" s="22">
        <v>4</v>
      </c>
      <c r="D3452" s="25">
        <v>155789</v>
      </c>
      <c r="E3452" s="25">
        <v>142587</v>
      </c>
      <c r="F3452" s="25">
        <v>-13202</v>
      </c>
      <c r="G3452" s="26">
        <v>0.91525717476843682</v>
      </c>
      <c r="H3452" s="10">
        <v>2026</v>
      </c>
    </row>
    <row r="3453" spans="1:8" hidden="1" x14ac:dyDescent="0.3">
      <c r="A3453" s="23" t="s">
        <v>82</v>
      </c>
      <c r="B3453" s="23" t="s">
        <v>183</v>
      </c>
      <c r="C3453" s="22">
        <v>1</v>
      </c>
      <c r="D3453" s="25">
        <v>0</v>
      </c>
      <c r="E3453" s="25">
        <v>0</v>
      </c>
      <c r="F3453" s="25">
        <v>0</v>
      </c>
      <c r="G3453" s="26">
        <v>0</v>
      </c>
      <c r="H3453" s="10">
        <v>2026</v>
      </c>
    </row>
    <row r="3454" spans="1:8" hidden="1" x14ac:dyDescent="0.3">
      <c r="A3454" s="23" t="s">
        <v>82</v>
      </c>
      <c r="B3454" s="24" t="s">
        <v>183</v>
      </c>
      <c r="C3454" s="22">
        <v>2</v>
      </c>
      <c r="D3454" s="25">
        <v>0</v>
      </c>
      <c r="E3454" s="25">
        <v>0</v>
      </c>
      <c r="F3454" s="25">
        <v>0</v>
      </c>
      <c r="G3454" s="26">
        <v>0</v>
      </c>
      <c r="H3454" s="10">
        <v>2026</v>
      </c>
    </row>
    <row r="3455" spans="1:8" hidden="1" x14ac:dyDescent="0.3">
      <c r="A3455" s="23" t="s">
        <v>82</v>
      </c>
      <c r="B3455" s="24" t="s">
        <v>183</v>
      </c>
      <c r="C3455" s="22">
        <v>3</v>
      </c>
      <c r="D3455" s="25">
        <v>222706</v>
      </c>
      <c r="E3455" s="25">
        <v>233082</v>
      </c>
      <c r="F3455" s="25">
        <v>10376</v>
      </c>
      <c r="G3455" s="26">
        <v>1.0465905723240505</v>
      </c>
      <c r="H3455" s="10">
        <v>2026</v>
      </c>
    </row>
    <row r="3456" spans="1:8" hidden="1" x14ac:dyDescent="0.3">
      <c r="A3456" s="23" t="s">
        <v>82</v>
      </c>
      <c r="B3456" s="24" t="s">
        <v>183</v>
      </c>
      <c r="C3456" s="22">
        <v>4</v>
      </c>
      <c r="D3456" s="25">
        <v>231356</v>
      </c>
      <c r="E3456" s="25">
        <v>223169</v>
      </c>
      <c r="F3456" s="25">
        <v>-8187</v>
      </c>
      <c r="G3456" s="26">
        <v>0.96461297740279051</v>
      </c>
      <c r="H3456" s="10">
        <v>2026</v>
      </c>
    </row>
    <row r="3457" spans="1:8" hidden="1" x14ac:dyDescent="0.3">
      <c r="A3457" s="23" t="s">
        <v>77</v>
      </c>
      <c r="B3457" s="23" t="s">
        <v>183</v>
      </c>
      <c r="C3457" s="22">
        <v>1</v>
      </c>
      <c r="D3457" s="25">
        <v>636611</v>
      </c>
      <c r="E3457" s="25">
        <v>618924</v>
      </c>
      <c r="F3457" s="25">
        <v>-17687</v>
      </c>
      <c r="G3457" s="26">
        <v>0.9722169425284829</v>
      </c>
      <c r="H3457" s="10">
        <v>2026</v>
      </c>
    </row>
    <row r="3458" spans="1:8" hidden="1" x14ac:dyDescent="0.3">
      <c r="A3458" s="23" t="s">
        <v>77</v>
      </c>
      <c r="B3458" s="24" t="s">
        <v>183</v>
      </c>
      <c r="C3458" s="22">
        <v>2</v>
      </c>
      <c r="D3458" s="25">
        <v>674665</v>
      </c>
      <c r="E3458" s="25">
        <v>708798</v>
      </c>
      <c r="F3458" s="25">
        <v>34133</v>
      </c>
      <c r="G3458" s="26">
        <v>1.0505925162858605</v>
      </c>
      <c r="H3458" s="10">
        <v>2026</v>
      </c>
    </row>
    <row r="3459" spans="1:8" hidden="1" x14ac:dyDescent="0.3">
      <c r="A3459" s="23" t="s">
        <v>77</v>
      </c>
      <c r="B3459" s="24" t="s">
        <v>183</v>
      </c>
      <c r="C3459" s="22">
        <v>3</v>
      </c>
      <c r="D3459" s="25">
        <v>775517</v>
      </c>
      <c r="E3459" s="25">
        <v>627361</v>
      </c>
      <c r="F3459" s="25">
        <v>-148156</v>
      </c>
      <c r="G3459" s="26">
        <v>0.80895841096971444</v>
      </c>
      <c r="H3459" s="10">
        <v>2026</v>
      </c>
    </row>
    <row r="3460" spans="1:8" hidden="1" x14ac:dyDescent="0.3">
      <c r="A3460" s="23" t="s">
        <v>77</v>
      </c>
      <c r="B3460" s="24" t="s">
        <v>183</v>
      </c>
      <c r="C3460" s="22">
        <v>4</v>
      </c>
      <c r="D3460" s="25">
        <v>587090</v>
      </c>
      <c r="E3460" s="25">
        <v>565074</v>
      </c>
      <c r="F3460" s="25">
        <v>-22016</v>
      </c>
      <c r="G3460" s="26">
        <v>0.96249978708545536</v>
      </c>
      <c r="H3460" s="10">
        <v>2026</v>
      </c>
    </row>
    <row r="3461" spans="1:8" hidden="1" x14ac:dyDescent="0.3">
      <c r="A3461" s="23" t="s">
        <v>253</v>
      </c>
      <c r="B3461" s="23" t="s">
        <v>183</v>
      </c>
      <c r="C3461" s="22">
        <v>1</v>
      </c>
      <c r="D3461" s="25">
        <v>1940072</v>
      </c>
      <c r="E3461" s="25">
        <v>2071232</v>
      </c>
      <c r="F3461" s="25">
        <v>131160</v>
      </c>
      <c r="G3461" s="26">
        <v>1.0676057383437316</v>
      </c>
      <c r="H3461" s="10">
        <v>2026</v>
      </c>
    </row>
    <row r="3462" spans="1:8" hidden="1" x14ac:dyDescent="0.3">
      <c r="A3462" s="23" t="s">
        <v>253</v>
      </c>
      <c r="B3462" s="24" t="s">
        <v>183</v>
      </c>
      <c r="C3462" s="22">
        <v>2</v>
      </c>
      <c r="D3462" s="25">
        <v>2021356</v>
      </c>
      <c r="E3462" s="25">
        <v>2047556</v>
      </c>
      <c r="F3462" s="25">
        <v>26200</v>
      </c>
      <c r="G3462" s="26">
        <v>1.0129615960770888</v>
      </c>
      <c r="H3462" s="10">
        <v>2026</v>
      </c>
    </row>
    <row r="3463" spans="1:8" hidden="1" x14ac:dyDescent="0.3">
      <c r="A3463" s="23" t="s">
        <v>253</v>
      </c>
      <c r="B3463" s="24" t="s">
        <v>183</v>
      </c>
      <c r="C3463" s="22">
        <v>3</v>
      </c>
      <c r="D3463" s="25">
        <v>2434863</v>
      </c>
      <c r="E3463" s="25">
        <v>2430193</v>
      </c>
      <c r="F3463" s="25">
        <v>-4670</v>
      </c>
      <c r="G3463" s="26">
        <v>0.99808202761305265</v>
      </c>
      <c r="H3463" s="10">
        <v>2026</v>
      </c>
    </row>
    <row r="3464" spans="1:8" hidden="1" x14ac:dyDescent="0.3">
      <c r="A3464" s="23" t="s">
        <v>253</v>
      </c>
      <c r="B3464" s="24" t="s">
        <v>183</v>
      </c>
      <c r="C3464" s="22">
        <v>4</v>
      </c>
      <c r="D3464" s="25">
        <v>2312566</v>
      </c>
      <c r="E3464" s="25">
        <v>2512908</v>
      </c>
      <c r="F3464" s="25">
        <v>200342</v>
      </c>
      <c r="G3464" s="26">
        <v>1.0866319058569571</v>
      </c>
      <c r="H3464" s="10">
        <v>2026</v>
      </c>
    </row>
    <row r="3465" spans="1:8" hidden="1" x14ac:dyDescent="0.3">
      <c r="A3465" s="23" t="s">
        <v>103</v>
      </c>
      <c r="B3465" s="23" t="s">
        <v>183</v>
      </c>
      <c r="C3465" s="22">
        <v>1</v>
      </c>
      <c r="D3465" s="25">
        <v>1259912</v>
      </c>
      <c r="E3465" s="25">
        <v>1260421</v>
      </c>
      <c r="F3465" s="25">
        <v>509</v>
      </c>
      <c r="G3465" s="26">
        <v>1.0004039964695948</v>
      </c>
      <c r="H3465" s="10">
        <v>2026</v>
      </c>
    </row>
    <row r="3466" spans="1:8" hidden="1" x14ac:dyDescent="0.3">
      <c r="A3466" s="24" t="s">
        <v>103</v>
      </c>
      <c r="B3466" s="24" t="s">
        <v>183</v>
      </c>
      <c r="C3466" s="22">
        <v>2</v>
      </c>
      <c r="D3466" s="25">
        <v>1259912</v>
      </c>
      <c r="E3466" s="25">
        <v>1303096</v>
      </c>
      <c r="F3466" s="25">
        <v>43184</v>
      </c>
      <c r="G3466" s="26">
        <v>1.0342754097111544</v>
      </c>
      <c r="H3466" s="10">
        <v>2026</v>
      </c>
    </row>
    <row r="3467" spans="1:8" hidden="1" x14ac:dyDescent="0.3">
      <c r="A3467" s="24" t="s">
        <v>103</v>
      </c>
      <c r="B3467" s="24" t="s">
        <v>183</v>
      </c>
      <c r="C3467" s="22">
        <v>3</v>
      </c>
      <c r="D3467" s="25">
        <v>1461498</v>
      </c>
      <c r="E3467" s="25">
        <v>1416142</v>
      </c>
      <c r="F3467" s="25">
        <v>-45356</v>
      </c>
      <c r="G3467" s="26">
        <v>0.96896608821907382</v>
      </c>
      <c r="H3467" s="10">
        <v>2026</v>
      </c>
    </row>
    <row r="3468" spans="1:8" hidden="1" x14ac:dyDescent="0.3">
      <c r="A3468" s="24" t="s">
        <v>103</v>
      </c>
      <c r="B3468" s="24" t="s">
        <v>183</v>
      </c>
      <c r="C3468" s="22">
        <v>4</v>
      </c>
      <c r="D3468" s="25">
        <v>1360705</v>
      </c>
      <c r="E3468" s="25">
        <v>1360706</v>
      </c>
      <c r="F3468" s="25">
        <v>1</v>
      </c>
      <c r="G3468" s="26">
        <v>1.0000007349131517</v>
      </c>
      <c r="H3468" s="10">
        <v>2026</v>
      </c>
    </row>
    <row r="3469" spans="1:8" hidden="1" x14ac:dyDescent="0.3">
      <c r="A3469" s="23" t="s">
        <v>79</v>
      </c>
      <c r="B3469" s="23" t="s">
        <v>183</v>
      </c>
      <c r="C3469" s="22">
        <v>1</v>
      </c>
      <c r="D3469" s="25">
        <v>841728</v>
      </c>
      <c r="E3469" s="25">
        <v>887210</v>
      </c>
      <c r="F3469" s="25">
        <v>45482</v>
      </c>
      <c r="G3469" s="26">
        <v>1.0540340822688565</v>
      </c>
      <c r="H3469" s="10">
        <v>2026</v>
      </c>
    </row>
    <row r="3470" spans="1:8" hidden="1" x14ac:dyDescent="0.3">
      <c r="A3470" s="23" t="s">
        <v>79</v>
      </c>
      <c r="B3470" s="24" t="s">
        <v>183</v>
      </c>
      <c r="C3470" s="22">
        <v>2</v>
      </c>
      <c r="D3470" s="25">
        <v>889809</v>
      </c>
      <c r="E3470" s="25">
        <v>915023</v>
      </c>
      <c r="F3470" s="25">
        <v>25214</v>
      </c>
      <c r="G3470" s="26">
        <v>1.0283364182650434</v>
      </c>
      <c r="H3470" s="10">
        <v>2026</v>
      </c>
    </row>
    <row r="3471" spans="1:8" hidden="1" x14ac:dyDescent="0.3">
      <c r="A3471" s="23" t="s">
        <v>79</v>
      </c>
      <c r="B3471" s="24" t="s">
        <v>183</v>
      </c>
      <c r="C3471" s="22">
        <v>3</v>
      </c>
      <c r="D3471" s="25">
        <v>1268016</v>
      </c>
      <c r="E3471" s="25">
        <v>1247268</v>
      </c>
      <c r="F3471" s="25">
        <v>-20748</v>
      </c>
      <c r="G3471" s="26">
        <v>0.98363743044251817</v>
      </c>
      <c r="H3471" s="10">
        <v>2026</v>
      </c>
    </row>
    <row r="3472" spans="1:8" hidden="1" x14ac:dyDescent="0.3">
      <c r="A3472" s="23" t="s">
        <v>79</v>
      </c>
      <c r="B3472" s="24" t="s">
        <v>183</v>
      </c>
      <c r="C3472" s="22">
        <v>4</v>
      </c>
      <c r="D3472" s="25">
        <v>1090170</v>
      </c>
      <c r="E3472" s="25">
        <v>1069422</v>
      </c>
      <c r="F3472" s="25">
        <v>-20748</v>
      </c>
      <c r="G3472" s="26">
        <v>0.98096810589174166</v>
      </c>
      <c r="H3472" s="10">
        <v>2026</v>
      </c>
    </row>
    <row r="3473" spans="1:8" hidden="1" x14ac:dyDescent="0.3">
      <c r="A3473" s="23" t="s">
        <v>64</v>
      </c>
      <c r="B3473" s="23" t="s">
        <v>183</v>
      </c>
      <c r="C3473" s="22">
        <v>1</v>
      </c>
      <c r="D3473" s="25">
        <v>350018</v>
      </c>
      <c r="E3473" s="25">
        <v>354902</v>
      </c>
      <c r="F3473" s="25">
        <v>4884</v>
      </c>
      <c r="G3473" s="26">
        <v>1.0139535681022118</v>
      </c>
      <c r="H3473" s="10">
        <v>2026</v>
      </c>
    </row>
    <row r="3474" spans="1:8" hidden="1" x14ac:dyDescent="0.3">
      <c r="A3474" s="24" t="s">
        <v>64</v>
      </c>
      <c r="B3474" s="24" t="s">
        <v>183</v>
      </c>
      <c r="C3474" s="22">
        <v>2</v>
      </c>
      <c r="D3474" s="25">
        <v>363674</v>
      </c>
      <c r="E3474" s="25">
        <v>371068</v>
      </c>
      <c r="F3474" s="25">
        <v>7394</v>
      </c>
      <c r="G3474" s="26">
        <v>1.0203313957005451</v>
      </c>
      <c r="H3474" s="10">
        <v>2026</v>
      </c>
    </row>
    <row r="3475" spans="1:8" hidden="1" x14ac:dyDescent="0.3">
      <c r="A3475" s="24" t="s">
        <v>64</v>
      </c>
      <c r="B3475" s="24" t="s">
        <v>183</v>
      </c>
      <c r="C3475" s="22">
        <v>3</v>
      </c>
      <c r="D3475" s="25">
        <v>420935</v>
      </c>
      <c r="E3475" s="25">
        <v>430806</v>
      </c>
      <c r="F3475" s="25">
        <v>9871</v>
      </c>
      <c r="G3475" s="26">
        <v>1.0234501763930299</v>
      </c>
      <c r="H3475" s="10">
        <v>2026</v>
      </c>
    </row>
    <row r="3476" spans="1:8" hidden="1" x14ac:dyDescent="0.3">
      <c r="A3476" s="24" t="s">
        <v>64</v>
      </c>
      <c r="B3476" s="24" t="s">
        <v>183</v>
      </c>
      <c r="C3476" s="22">
        <v>4</v>
      </c>
      <c r="D3476" s="25">
        <v>660733</v>
      </c>
      <c r="E3476" s="25">
        <v>650102</v>
      </c>
      <c r="F3476" s="25">
        <v>-10631</v>
      </c>
      <c r="G3476" s="26">
        <v>0.98391029356790116</v>
      </c>
      <c r="H3476" s="10">
        <v>2026</v>
      </c>
    </row>
    <row r="3477" spans="1:8" hidden="1" x14ac:dyDescent="0.3">
      <c r="A3477" s="23" t="s">
        <v>67</v>
      </c>
      <c r="B3477" s="23" t="s">
        <v>183</v>
      </c>
      <c r="C3477" s="22">
        <v>1</v>
      </c>
      <c r="D3477" s="25">
        <v>1030199</v>
      </c>
      <c r="E3477" s="25">
        <v>964528</v>
      </c>
      <c r="F3477" s="25">
        <v>-65671</v>
      </c>
      <c r="G3477" s="26">
        <v>0.9362540635352975</v>
      </c>
      <c r="H3477" s="10">
        <v>2026</v>
      </c>
    </row>
    <row r="3478" spans="1:8" hidden="1" x14ac:dyDescent="0.3">
      <c r="A3478" s="24" t="s">
        <v>67</v>
      </c>
      <c r="B3478" s="24" t="s">
        <v>183</v>
      </c>
      <c r="C3478" s="22">
        <v>2</v>
      </c>
      <c r="D3478" s="25">
        <v>990109</v>
      </c>
      <c r="E3478" s="25">
        <v>971138</v>
      </c>
      <c r="F3478" s="25">
        <v>-18971</v>
      </c>
      <c r="G3478" s="26">
        <v>0.98083948332961324</v>
      </c>
      <c r="H3478" s="10">
        <v>2026</v>
      </c>
    </row>
    <row r="3479" spans="1:8" hidden="1" x14ac:dyDescent="0.3">
      <c r="A3479" s="24" t="s">
        <v>67</v>
      </c>
      <c r="B3479" s="24" t="s">
        <v>183</v>
      </c>
      <c r="C3479" s="22">
        <v>3</v>
      </c>
      <c r="D3479" s="25">
        <v>1181000</v>
      </c>
      <c r="E3479" s="25">
        <v>1115316</v>
      </c>
      <c r="F3479" s="25">
        <v>-65684</v>
      </c>
      <c r="G3479" s="26">
        <v>0.94438272650296362</v>
      </c>
      <c r="H3479" s="10">
        <v>2026</v>
      </c>
    </row>
    <row r="3480" spans="1:8" hidden="1" x14ac:dyDescent="0.3">
      <c r="A3480" s="24" t="s">
        <v>67</v>
      </c>
      <c r="B3480" s="24" t="s">
        <v>183</v>
      </c>
      <c r="C3480" s="22">
        <v>4</v>
      </c>
      <c r="D3480" s="25">
        <v>1091096</v>
      </c>
      <c r="E3480" s="25">
        <v>1336171</v>
      </c>
      <c r="F3480" s="25">
        <v>245075</v>
      </c>
      <c r="G3480" s="26">
        <v>1.2246135995366128</v>
      </c>
      <c r="H3480" s="10">
        <v>2026</v>
      </c>
    </row>
    <row r="3481" spans="1:8" x14ac:dyDescent="0.3">
      <c r="A3481" s="23" t="s">
        <v>75</v>
      </c>
      <c r="B3481" s="23" t="s">
        <v>183</v>
      </c>
      <c r="C3481" s="22">
        <v>1</v>
      </c>
      <c r="D3481" s="25">
        <v>1352064</v>
      </c>
      <c r="E3481" s="25">
        <v>1245323</v>
      </c>
      <c r="F3481" s="25">
        <v>-106741</v>
      </c>
      <c r="G3481" s="26">
        <v>0.92105329333522667</v>
      </c>
      <c r="H3481" s="10">
        <v>2026</v>
      </c>
    </row>
    <row r="3482" spans="1:8" x14ac:dyDescent="0.3">
      <c r="A3482" s="23" t="s">
        <v>75</v>
      </c>
      <c r="B3482" s="24" t="s">
        <v>183</v>
      </c>
      <c r="C3482" s="22">
        <v>2</v>
      </c>
      <c r="D3482" s="25">
        <v>1257844</v>
      </c>
      <c r="E3482" s="25">
        <v>1307180</v>
      </c>
      <c r="F3482" s="25">
        <v>49336</v>
      </c>
      <c r="G3482" s="26">
        <v>1.0392226699018321</v>
      </c>
      <c r="H3482" s="10">
        <v>2026</v>
      </c>
    </row>
    <row r="3483" spans="1:8" x14ac:dyDescent="0.3">
      <c r="A3483" s="23" t="s">
        <v>75</v>
      </c>
      <c r="B3483" s="24" t="s">
        <v>183</v>
      </c>
      <c r="C3483" s="22">
        <v>3</v>
      </c>
      <c r="D3483" s="25">
        <v>1622805</v>
      </c>
      <c r="E3483" s="25">
        <v>1664106</v>
      </c>
      <c r="F3483" s="25">
        <v>41301</v>
      </c>
      <c r="G3483" s="26">
        <v>1.0254503775869559</v>
      </c>
      <c r="H3483" s="10">
        <v>2026</v>
      </c>
    </row>
    <row r="3484" spans="1:8" x14ac:dyDescent="0.3">
      <c r="A3484" s="23" t="s">
        <v>75</v>
      </c>
      <c r="B3484" s="24" t="s">
        <v>183</v>
      </c>
      <c r="C3484" s="22">
        <v>4</v>
      </c>
      <c r="D3484" s="25">
        <v>1298247</v>
      </c>
      <c r="E3484" s="25">
        <v>1187746</v>
      </c>
      <c r="F3484" s="25">
        <v>-110501</v>
      </c>
      <c r="G3484" s="26">
        <v>0.91488445573145949</v>
      </c>
      <c r="H3484" s="10">
        <v>2026</v>
      </c>
    </row>
    <row r="3485" spans="1:8" hidden="1" x14ac:dyDescent="0.3">
      <c r="A3485" s="23" t="s">
        <v>82</v>
      </c>
      <c r="B3485" s="23" t="s">
        <v>184</v>
      </c>
      <c r="C3485" s="22">
        <v>1</v>
      </c>
      <c r="D3485" s="25">
        <v>0</v>
      </c>
      <c r="E3485" s="25">
        <v>0</v>
      </c>
      <c r="F3485" s="25">
        <v>0</v>
      </c>
      <c r="G3485" s="26">
        <v>0</v>
      </c>
      <c r="H3485" s="10">
        <v>2026</v>
      </c>
    </row>
    <row r="3486" spans="1:8" hidden="1" x14ac:dyDescent="0.3">
      <c r="A3486" s="23" t="s">
        <v>82</v>
      </c>
      <c r="B3486" s="24" t="s">
        <v>184</v>
      </c>
      <c r="C3486" s="22">
        <v>2</v>
      </c>
      <c r="D3486" s="25">
        <v>0</v>
      </c>
      <c r="E3486" s="25">
        <v>0</v>
      </c>
      <c r="F3486" s="25">
        <v>0</v>
      </c>
      <c r="G3486" s="26">
        <v>0</v>
      </c>
      <c r="H3486" s="10">
        <v>2026</v>
      </c>
    </row>
    <row r="3487" spans="1:8" hidden="1" x14ac:dyDescent="0.3">
      <c r="A3487" s="23" t="s">
        <v>82</v>
      </c>
      <c r="B3487" s="24" t="s">
        <v>184</v>
      </c>
      <c r="C3487" s="22">
        <v>3</v>
      </c>
      <c r="D3487" s="25">
        <v>106293</v>
      </c>
      <c r="E3487" s="25">
        <v>106293</v>
      </c>
      <c r="F3487" s="25">
        <v>0</v>
      </c>
      <c r="G3487" s="26">
        <v>1</v>
      </c>
      <c r="H3487" s="10">
        <v>2026</v>
      </c>
    </row>
    <row r="3488" spans="1:8" hidden="1" x14ac:dyDescent="0.3">
      <c r="A3488" s="23" t="s">
        <v>82</v>
      </c>
      <c r="B3488" s="24" t="s">
        <v>184</v>
      </c>
      <c r="C3488" s="22">
        <v>4</v>
      </c>
      <c r="D3488" s="25">
        <v>105429</v>
      </c>
      <c r="E3488" s="25">
        <v>101331</v>
      </c>
      <c r="F3488" s="25">
        <v>-4098</v>
      </c>
      <c r="G3488" s="26">
        <v>0.96113023930797037</v>
      </c>
      <c r="H3488" s="10">
        <v>2026</v>
      </c>
    </row>
    <row r="3489" spans="1:8" hidden="1" x14ac:dyDescent="0.3">
      <c r="A3489" s="23" t="s">
        <v>77</v>
      </c>
      <c r="B3489" s="23" t="s">
        <v>184</v>
      </c>
      <c r="C3489" s="22">
        <v>1</v>
      </c>
      <c r="D3489" s="25">
        <v>287525</v>
      </c>
      <c r="E3489" s="25">
        <v>293214</v>
      </c>
      <c r="F3489" s="25">
        <v>5689</v>
      </c>
      <c r="G3489" s="26">
        <v>1.0197861055560387</v>
      </c>
      <c r="H3489" s="10">
        <v>2026</v>
      </c>
    </row>
    <row r="3490" spans="1:8" hidden="1" x14ac:dyDescent="0.3">
      <c r="A3490" s="23" t="s">
        <v>77</v>
      </c>
      <c r="B3490" s="24" t="s">
        <v>184</v>
      </c>
      <c r="C3490" s="22">
        <v>2</v>
      </c>
      <c r="D3490" s="25">
        <v>316963</v>
      </c>
      <c r="E3490" s="25">
        <v>334395</v>
      </c>
      <c r="F3490" s="25">
        <v>17432</v>
      </c>
      <c r="G3490" s="26">
        <v>1.0549969554806082</v>
      </c>
      <c r="H3490" s="10">
        <v>2026</v>
      </c>
    </row>
    <row r="3491" spans="1:8" hidden="1" x14ac:dyDescent="0.3">
      <c r="A3491" s="23" t="s">
        <v>77</v>
      </c>
      <c r="B3491" s="24" t="s">
        <v>184</v>
      </c>
      <c r="C3491" s="22">
        <v>3</v>
      </c>
      <c r="D3491" s="25">
        <v>372643</v>
      </c>
      <c r="E3491" s="25">
        <v>303670</v>
      </c>
      <c r="F3491" s="25">
        <v>-68973</v>
      </c>
      <c r="G3491" s="26">
        <v>0.81490863909962086</v>
      </c>
      <c r="H3491" s="10">
        <v>2026</v>
      </c>
    </row>
    <row r="3492" spans="1:8" hidden="1" x14ac:dyDescent="0.3">
      <c r="A3492" s="23" t="s">
        <v>77</v>
      </c>
      <c r="B3492" s="24" t="s">
        <v>184</v>
      </c>
      <c r="C3492" s="22">
        <v>4</v>
      </c>
      <c r="D3492" s="25">
        <v>283510</v>
      </c>
      <c r="E3492" s="25">
        <v>272489</v>
      </c>
      <c r="F3492" s="25">
        <v>-11021</v>
      </c>
      <c r="G3492" s="26">
        <v>0.96112659165461523</v>
      </c>
      <c r="H3492" s="10">
        <v>2026</v>
      </c>
    </row>
    <row r="3493" spans="1:8" hidden="1" x14ac:dyDescent="0.3">
      <c r="A3493" s="23" t="s">
        <v>253</v>
      </c>
      <c r="B3493" s="23" t="s">
        <v>184</v>
      </c>
      <c r="C3493" s="22">
        <v>1</v>
      </c>
      <c r="D3493" s="25">
        <v>919264</v>
      </c>
      <c r="E3493" s="25">
        <v>993232</v>
      </c>
      <c r="F3493" s="25">
        <v>73968</v>
      </c>
      <c r="G3493" s="26">
        <v>1.0804643714971978</v>
      </c>
      <c r="H3493" s="10">
        <v>2026</v>
      </c>
    </row>
    <row r="3494" spans="1:8" hidden="1" x14ac:dyDescent="0.3">
      <c r="A3494" s="23" t="s">
        <v>253</v>
      </c>
      <c r="B3494" s="24" t="s">
        <v>184</v>
      </c>
      <c r="C3494" s="22">
        <v>2</v>
      </c>
      <c r="D3494" s="25">
        <v>959955</v>
      </c>
      <c r="E3494" s="25">
        <v>983110</v>
      </c>
      <c r="F3494" s="25">
        <v>23155</v>
      </c>
      <c r="G3494" s="26">
        <v>1.0241209223349013</v>
      </c>
      <c r="H3494" s="10">
        <v>2026</v>
      </c>
    </row>
    <row r="3495" spans="1:8" hidden="1" x14ac:dyDescent="0.3">
      <c r="A3495" s="23" t="s">
        <v>253</v>
      </c>
      <c r="B3495" s="24" t="s">
        <v>184</v>
      </c>
      <c r="C3495" s="22">
        <v>3</v>
      </c>
      <c r="D3495" s="25">
        <v>1177343</v>
      </c>
      <c r="E3495" s="25">
        <v>1166001</v>
      </c>
      <c r="F3495" s="25">
        <v>-11342</v>
      </c>
      <c r="G3495" s="26">
        <v>0.99036644376362715</v>
      </c>
      <c r="H3495" s="10">
        <v>2026</v>
      </c>
    </row>
    <row r="3496" spans="1:8" hidden="1" x14ac:dyDescent="0.3">
      <c r="A3496" s="23" t="s">
        <v>253</v>
      </c>
      <c r="B3496" s="24" t="s">
        <v>184</v>
      </c>
      <c r="C3496" s="22">
        <v>4</v>
      </c>
      <c r="D3496" s="25">
        <v>1105735</v>
      </c>
      <c r="E3496" s="25">
        <v>1209835</v>
      </c>
      <c r="F3496" s="25">
        <v>104100</v>
      </c>
      <c r="G3496" s="26">
        <v>1.094145523113585</v>
      </c>
      <c r="H3496" s="10">
        <v>2026</v>
      </c>
    </row>
    <row r="3497" spans="1:8" hidden="1" x14ac:dyDescent="0.3">
      <c r="A3497" s="23" t="s">
        <v>103</v>
      </c>
      <c r="B3497" s="23" t="s">
        <v>184</v>
      </c>
      <c r="C3497" s="22">
        <v>1</v>
      </c>
      <c r="D3497" s="25">
        <v>630712</v>
      </c>
      <c r="E3497" s="25">
        <v>630967</v>
      </c>
      <c r="F3497" s="25">
        <v>255</v>
      </c>
      <c r="G3497" s="26">
        <v>1.0004043049759637</v>
      </c>
      <c r="H3497" s="10">
        <v>2026</v>
      </c>
    </row>
    <row r="3498" spans="1:8" hidden="1" x14ac:dyDescent="0.3">
      <c r="A3498" s="24" t="s">
        <v>103</v>
      </c>
      <c r="B3498" s="24" t="s">
        <v>184</v>
      </c>
      <c r="C3498" s="22">
        <v>2</v>
      </c>
      <c r="D3498" s="25">
        <v>630712</v>
      </c>
      <c r="E3498" s="25">
        <v>652330</v>
      </c>
      <c r="F3498" s="25">
        <v>21618</v>
      </c>
      <c r="G3498" s="26">
        <v>1.0342755489034616</v>
      </c>
      <c r="H3498" s="10">
        <v>2026</v>
      </c>
    </row>
    <row r="3499" spans="1:8" hidden="1" x14ac:dyDescent="0.3">
      <c r="A3499" s="24" t="s">
        <v>103</v>
      </c>
      <c r="B3499" s="24" t="s">
        <v>184</v>
      </c>
      <c r="C3499" s="22">
        <v>3</v>
      </c>
      <c r="D3499" s="25">
        <v>731626</v>
      </c>
      <c r="E3499" s="25">
        <v>708921</v>
      </c>
      <c r="F3499" s="25">
        <v>-22705</v>
      </c>
      <c r="G3499" s="26">
        <v>0.96896638446419348</v>
      </c>
      <c r="H3499" s="10">
        <v>2026</v>
      </c>
    </row>
    <row r="3500" spans="1:8" hidden="1" x14ac:dyDescent="0.3">
      <c r="A3500" s="24" t="s">
        <v>103</v>
      </c>
      <c r="B3500" s="24" t="s">
        <v>184</v>
      </c>
      <c r="C3500" s="22">
        <v>4</v>
      </c>
      <c r="D3500" s="25">
        <v>681169</v>
      </c>
      <c r="E3500" s="25">
        <v>681170</v>
      </c>
      <c r="F3500" s="25">
        <v>1</v>
      </c>
      <c r="G3500" s="26">
        <v>1.0000014680644598</v>
      </c>
      <c r="H3500" s="10">
        <v>2026</v>
      </c>
    </row>
    <row r="3501" spans="1:8" hidden="1" x14ac:dyDescent="0.3">
      <c r="A3501" s="23" t="s">
        <v>79</v>
      </c>
      <c r="B3501" s="23" t="s">
        <v>184</v>
      </c>
      <c r="C3501" s="22">
        <v>1</v>
      </c>
      <c r="D3501" s="25">
        <v>390207</v>
      </c>
      <c r="E3501" s="25">
        <v>418861</v>
      </c>
      <c r="F3501" s="25">
        <v>28654</v>
      </c>
      <c r="G3501" s="26">
        <v>1.0734328189909459</v>
      </c>
      <c r="H3501" s="10">
        <v>2026</v>
      </c>
    </row>
    <row r="3502" spans="1:8" hidden="1" x14ac:dyDescent="0.3">
      <c r="A3502" s="23" t="s">
        <v>79</v>
      </c>
      <c r="B3502" s="24" t="s">
        <v>184</v>
      </c>
      <c r="C3502" s="22">
        <v>2</v>
      </c>
      <c r="D3502" s="25">
        <v>414276</v>
      </c>
      <c r="E3502" s="25">
        <v>426899</v>
      </c>
      <c r="F3502" s="25">
        <v>12623</v>
      </c>
      <c r="G3502" s="26">
        <v>1.030470024814375</v>
      </c>
      <c r="H3502" s="10">
        <v>2026</v>
      </c>
    </row>
    <row r="3503" spans="1:8" hidden="1" x14ac:dyDescent="0.3">
      <c r="A3503" s="23" t="s">
        <v>79</v>
      </c>
      <c r="B3503" s="24" t="s">
        <v>184</v>
      </c>
      <c r="C3503" s="22">
        <v>3</v>
      </c>
      <c r="D3503" s="25">
        <v>603607</v>
      </c>
      <c r="E3503" s="25">
        <v>603608</v>
      </c>
      <c r="F3503" s="25">
        <v>1</v>
      </c>
      <c r="G3503" s="26">
        <v>1.000001656707096</v>
      </c>
      <c r="H3503" s="10">
        <v>2026</v>
      </c>
    </row>
    <row r="3504" spans="1:8" hidden="1" x14ac:dyDescent="0.3">
      <c r="A3504" s="23" t="s">
        <v>79</v>
      </c>
      <c r="B3504" s="24" t="s">
        <v>184</v>
      </c>
      <c r="C3504" s="22">
        <v>4</v>
      </c>
      <c r="D3504" s="25">
        <v>514578</v>
      </c>
      <c r="E3504" s="25">
        <v>514578</v>
      </c>
      <c r="F3504" s="25">
        <v>0</v>
      </c>
      <c r="G3504" s="26">
        <v>1</v>
      </c>
      <c r="H3504" s="10">
        <v>2026</v>
      </c>
    </row>
    <row r="3505" spans="1:8" hidden="1" x14ac:dyDescent="0.3">
      <c r="A3505" s="23" t="s">
        <v>64</v>
      </c>
      <c r="B3505" s="23" t="s">
        <v>184</v>
      </c>
      <c r="C3505" s="22">
        <v>1</v>
      </c>
      <c r="D3505" s="25">
        <v>154444</v>
      </c>
      <c r="E3505" s="25">
        <v>156890</v>
      </c>
      <c r="F3505" s="25">
        <v>2446</v>
      </c>
      <c r="G3505" s="26">
        <v>1.0158374556473544</v>
      </c>
      <c r="H3505" s="10">
        <v>2026</v>
      </c>
    </row>
    <row r="3506" spans="1:8" hidden="1" x14ac:dyDescent="0.3">
      <c r="A3506" s="24" t="s">
        <v>64</v>
      </c>
      <c r="B3506" s="24" t="s">
        <v>184</v>
      </c>
      <c r="C3506" s="22">
        <v>2</v>
      </c>
      <c r="D3506" s="25">
        <v>161281</v>
      </c>
      <c r="E3506" s="25">
        <v>164983</v>
      </c>
      <c r="F3506" s="25">
        <v>3702</v>
      </c>
      <c r="G3506" s="26">
        <v>1.0229537267254047</v>
      </c>
      <c r="H3506" s="10">
        <v>2026</v>
      </c>
    </row>
    <row r="3507" spans="1:8" hidden="1" x14ac:dyDescent="0.3">
      <c r="A3507" s="24" t="s">
        <v>64</v>
      </c>
      <c r="B3507" s="24" t="s">
        <v>184</v>
      </c>
      <c r="C3507" s="22">
        <v>3</v>
      </c>
      <c r="D3507" s="25">
        <v>189945</v>
      </c>
      <c r="E3507" s="25">
        <v>194886</v>
      </c>
      <c r="F3507" s="25">
        <v>4941</v>
      </c>
      <c r="G3507" s="26">
        <v>1.0260127931769722</v>
      </c>
      <c r="H3507" s="10">
        <v>2026</v>
      </c>
    </row>
    <row r="3508" spans="1:8" hidden="1" x14ac:dyDescent="0.3">
      <c r="A3508" s="24" t="s">
        <v>64</v>
      </c>
      <c r="B3508" s="24" t="s">
        <v>184</v>
      </c>
      <c r="C3508" s="22">
        <v>4</v>
      </c>
      <c r="D3508" s="25">
        <v>309988</v>
      </c>
      <c r="E3508" s="25">
        <v>302935</v>
      </c>
      <c r="F3508" s="25">
        <v>-7053</v>
      </c>
      <c r="G3508" s="26">
        <v>0.97724750635508473</v>
      </c>
      <c r="H3508" s="10">
        <v>2026</v>
      </c>
    </row>
    <row r="3509" spans="1:8" hidden="1" x14ac:dyDescent="0.3">
      <c r="A3509" s="23" t="s">
        <v>67</v>
      </c>
      <c r="B3509" s="23" t="s">
        <v>184</v>
      </c>
      <c r="C3509" s="22">
        <v>1</v>
      </c>
      <c r="D3509" s="25">
        <v>505330</v>
      </c>
      <c r="E3509" s="25">
        <v>473495</v>
      </c>
      <c r="F3509" s="25">
        <v>-31835</v>
      </c>
      <c r="G3509" s="26">
        <v>0.93700156333485052</v>
      </c>
      <c r="H3509" s="10">
        <v>2026</v>
      </c>
    </row>
    <row r="3510" spans="1:8" hidden="1" x14ac:dyDescent="0.3">
      <c r="A3510" s="24" t="s">
        <v>67</v>
      </c>
      <c r="B3510" s="24" t="s">
        <v>184</v>
      </c>
      <c r="C3510" s="22">
        <v>2</v>
      </c>
      <c r="D3510" s="25">
        <v>485261</v>
      </c>
      <c r="E3510" s="25">
        <v>475765</v>
      </c>
      <c r="F3510" s="25">
        <v>-9496</v>
      </c>
      <c r="G3510" s="26">
        <v>0.98043114942268184</v>
      </c>
      <c r="H3510" s="10">
        <v>2026</v>
      </c>
    </row>
    <row r="3511" spans="1:8" hidden="1" x14ac:dyDescent="0.3">
      <c r="A3511" s="24" t="s">
        <v>67</v>
      </c>
      <c r="B3511" s="24" t="s">
        <v>184</v>
      </c>
      <c r="C3511" s="22">
        <v>3</v>
      </c>
      <c r="D3511" s="25">
        <v>580821</v>
      </c>
      <c r="E3511" s="25">
        <v>547940</v>
      </c>
      <c r="F3511" s="25">
        <v>-32881</v>
      </c>
      <c r="G3511" s="26">
        <v>0.94338875488317397</v>
      </c>
      <c r="H3511" s="10">
        <v>2026</v>
      </c>
    </row>
    <row r="3512" spans="1:8" hidden="1" x14ac:dyDescent="0.3">
      <c r="A3512" s="24" t="s">
        <v>67</v>
      </c>
      <c r="B3512" s="24" t="s">
        <v>184</v>
      </c>
      <c r="C3512" s="22">
        <v>4</v>
      </c>
      <c r="D3512" s="25">
        <v>535816</v>
      </c>
      <c r="E3512" s="25">
        <v>658500</v>
      </c>
      <c r="F3512" s="25">
        <v>122684</v>
      </c>
      <c r="G3512" s="26">
        <v>1.2289666601967839</v>
      </c>
      <c r="H3512" s="10">
        <v>2026</v>
      </c>
    </row>
    <row r="3513" spans="1:8" x14ac:dyDescent="0.3">
      <c r="A3513" s="23" t="s">
        <v>75</v>
      </c>
      <c r="B3513" s="23" t="s">
        <v>184</v>
      </c>
      <c r="C3513" s="22">
        <v>1</v>
      </c>
      <c r="D3513" s="25">
        <v>635294</v>
      </c>
      <c r="E3513" s="25">
        <v>586706</v>
      </c>
      <c r="F3513" s="25">
        <v>-48588</v>
      </c>
      <c r="G3513" s="26">
        <v>0.92351887472571759</v>
      </c>
      <c r="H3513" s="10">
        <v>2026</v>
      </c>
    </row>
    <row r="3514" spans="1:8" x14ac:dyDescent="0.3">
      <c r="A3514" s="23" t="s">
        <v>75</v>
      </c>
      <c r="B3514" s="24" t="s">
        <v>184</v>
      </c>
      <c r="C3514" s="22">
        <v>2</v>
      </c>
      <c r="D3514" s="25">
        <v>588128</v>
      </c>
      <c r="E3514" s="25">
        <v>613519</v>
      </c>
      <c r="F3514" s="25">
        <v>25391</v>
      </c>
      <c r="G3514" s="26">
        <v>1.0431725746776213</v>
      </c>
      <c r="H3514" s="10">
        <v>2026</v>
      </c>
    </row>
    <row r="3515" spans="1:8" x14ac:dyDescent="0.3">
      <c r="A3515" s="23" t="s">
        <v>75</v>
      </c>
      <c r="B3515" s="24" t="s">
        <v>184</v>
      </c>
      <c r="C3515" s="22">
        <v>3</v>
      </c>
      <c r="D3515" s="25">
        <v>776021</v>
      </c>
      <c r="E3515" s="25">
        <v>805007</v>
      </c>
      <c r="F3515" s="25">
        <v>28986</v>
      </c>
      <c r="G3515" s="26">
        <v>1.037352081966854</v>
      </c>
      <c r="H3515" s="10">
        <v>2026</v>
      </c>
    </row>
    <row r="3516" spans="1:8" x14ac:dyDescent="0.3">
      <c r="A3516" s="23" t="s">
        <v>75</v>
      </c>
      <c r="B3516" s="24" t="s">
        <v>184</v>
      </c>
      <c r="C3516" s="22">
        <v>4</v>
      </c>
      <c r="D3516" s="25">
        <v>618741</v>
      </c>
      <c r="E3516" s="25">
        <v>570697</v>
      </c>
      <c r="F3516" s="25">
        <v>-48044</v>
      </c>
      <c r="G3516" s="26">
        <v>0.92235200188770428</v>
      </c>
      <c r="H3516" s="10">
        <v>2026</v>
      </c>
    </row>
    <row r="3517" spans="1:8" hidden="1" x14ac:dyDescent="0.3">
      <c r="A3517" s="23" t="s">
        <v>82</v>
      </c>
      <c r="B3517" s="23" t="s">
        <v>185</v>
      </c>
      <c r="C3517" s="22">
        <v>1</v>
      </c>
      <c r="D3517" s="25">
        <v>0</v>
      </c>
      <c r="E3517" s="25">
        <v>0</v>
      </c>
      <c r="F3517" s="25">
        <v>0</v>
      </c>
      <c r="G3517" s="26">
        <v>0</v>
      </c>
      <c r="H3517" s="10">
        <v>2026</v>
      </c>
    </row>
    <row r="3518" spans="1:8" hidden="1" x14ac:dyDescent="0.3">
      <c r="A3518" s="23" t="s">
        <v>82</v>
      </c>
      <c r="B3518" s="24" t="s">
        <v>185</v>
      </c>
      <c r="C3518" s="22">
        <v>2</v>
      </c>
      <c r="D3518" s="25">
        <v>0</v>
      </c>
      <c r="E3518" s="25">
        <v>0</v>
      </c>
      <c r="F3518" s="25">
        <v>0</v>
      </c>
      <c r="G3518" s="26">
        <v>0</v>
      </c>
      <c r="H3518" s="10">
        <v>2026</v>
      </c>
    </row>
    <row r="3519" spans="1:8" hidden="1" x14ac:dyDescent="0.3">
      <c r="A3519" s="23" t="s">
        <v>82</v>
      </c>
      <c r="B3519" s="24" t="s">
        <v>185</v>
      </c>
      <c r="C3519" s="22">
        <v>3</v>
      </c>
      <c r="D3519" s="25">
        <v>35176</v>
      </c>
      <c r="E3519" s="25">
        <v>35176</v>
      </c>
      <c r="F3519" s="25">
        <v>0</v>
      </c>
      <c r="G3519" s="26">
        <v>1</v>
      </c>
      <c r="H3519" s="10">
        <v>2026</v>
      </c>
    </row>
    <row r="3520" spans="1:8" hidden="1" x14ac:dyDescent="0.3">
      <c r="A3520" s="23" t="s">
        <v>82</v>
      </c>
      <c r="B3520" s="24" t="s">
        <v>185</v>
      </c>
      <c r="C3520" s="22">
        <v>4</v>
      </c>
      <c r="D3520" s="25">
        <v>34890</v>
      </c>
      <c r="E3520" s="25">
        <v>33534</v>
      </c>
      <c r="F3520" s="25">
        <v>-1356</v>
      </c>
      <c r="G3520" s="26">
        <v>0.96113499570077388</v>
      </c>
      <c r="H3520" s="10">
        <v>2026</v>
      </c>
    </row>
    <row r="3521" spans="1:8" hidden="1" x14ac:dyDescent="0.3">
      <c r="A3521" s="23" t="s">
        <v>77</v>
      </c>
      <c r="B3521" s="23" t="s">
        <v>185</v>
      </c>
      <c r="C3521" s="22">
        <v>1</v>
      </c>
      <c r="D3521" s="25">
        <v>95152</v>
      </c>
      <c r="E3521" s="25">
        <v>97035</v>
      </c>
      <c r="F3521" s="25">
        <v>1883</v>
      </c>
      <c r="G3521" s="26">
        <v>1.0197893896082058</v>
      </c>
      <c r="H3521" s="10">
        <v>2026</v>
      </c>
    </row>
    <row r="3522" spans="1:8" hidden="1" x14ac:dyDescent="0.3">
      <c r="A3522" s="23" t="s">
        <v>77</v>
      </c>
      <c r="B3522" s="24" t="s">
        <v>185</v>
      </c>
      <c r="C3522" s="22">
        <v>2</v>
      </c>
      <c r="D3522" s="25">
        <v>104894</v>
      </c>
      <c r="E3522" s="25">
        <v>110664</v>
      </c>
      <c r="F3522" s="25">
        <v>5770</v>
      </c>
      <c r="G3522" s="26">
        <v>1.0550079127500143</v>
      </c>
      <c r="H3522" s="10">
        <v>2026</v>
      </c>
    </row>
    <row r="3523" spans="1:8" hidden="1" x14ac:dyDescent="0.3">
      <c r="A3523" s="23" t="s">
        <v>77</v>
      </c>
      <c r="B3523" s="24" t="s">
        <v>185</v>
      </c>
      <c r="C3523" s="22">
        <v>3</v>
      </c>
      <c r="D3523" s="25">
        <v>123320</v>
      </c>
      <c r="E3523" s="25">
        <v>100495</v>
      </c>
      <c r="F3523" s="25">
        <v>-22825</v>
      </c>
      <c r="G3523" s="26">
        <v>0.81491242296464483</v>
      </c>
      <c r="H3523" s="10">
        <v>2026</v>
      </c>
    </row>
    <row r="3524" spans="1:8" hidden="1" x14ac:dyDescent="0.3">
      <c r="A3524" s="23" t="s">
        <v>77</v>
      </c>
      <c r="B3524" s="24" t="s">
        <v>185</v>
      </c>
      <c r="C3524" s="22">
        <v>4</v>
      </c>
      <c r="D3524" s="25">
        <v>93823</v>
      </c>
      <c r="E3524" s="25">
        <v>90176</v>
      </c>
      <c r="F3524" s="25">
        <v>-3647</v>
      </c>
      <c r="G3524" s="26">
        <v>0.96112893426984858</v>
      </c>
      <c r="H3524" s="10">
        <v>2026</v>
      </c>
    </row>
    <row r="3525" spans="1:8" hidden="1" x14ac:dyDescent="0.3">
      <c r="A3525" s="23" t="s">
        <v>253</v>
      </c>
      <c r="B3525" s="23" t="s">
        <v>185</v>
      </c>
      <c r="C3525" s="22">
        <v>1</v>
      </c>
      <c r="D3525" s="25">
        <v>304217</v>
      </c>
      <c r="E3525" s="25">
        <v>328696</v>
      </c>
      <c r="F3525" s="25">
        <v>24479</v>
      </c>
      <c r="G3525" s="26">
        <v>1.0804655887080603</v>
      </c>
      <c r="H3525" s="10">
        <v>2026</v>
      </c>
    </row>
    <row r="3526" spans="1:8" hidden="1" x14ac:dyDescent="0.3">
      <c r="A3526" s="23" t="s">
        <v>253</v>
      </c>
      <c r="B3526" s="24" t="s">
        <v>185</v>
      </c>
      <c r="C3526" s="22">
        <v>2</v>
      </c>
      <c r="D3526" s="25">
        <v>317683</v>
      </c>
      <c r="E3526" s="25">
        <v>325346</v>
      </c>
      <c r="F3526" s="25">
        <v>7663</v>
      </c>
      <c r="G3526" s="26">
        <v>1.0241215299528146</v>
      </c>
      <c r="H3526" s="10">
        <v>2026</v>
      </c>
    </row>
    <row r="3527" spans="1:8" hidden="1" x14ac:dyDescent="0.3">
      <c r="A3527" s="23" t="s">
        <v>253</v>
      </c>
      <c r="B3527" s="24" t="s">
        <v>185</v>
      </c>
      <c r="C3527" s="22">
        <v>3</v>
      </c>
      <c r="D3527" s="25">
        <v>389624</v>
      </c>
      <c r="E3527" s="25">
        <v>385871</v>
      </c>
      <c r="F3527" s="25">
        <v>-3753</v>
      </c>
      <c r="G3527" s="26">
        <v>0.99036763649056525</v>
      </c>
      <c r="H3527" s="10">
        <v>2026</v>
      </c>
    </row>
    <row r="3528" spans="1:8" hidden="1" x14ac:dyDescent="0.3">
      <c r="A3528" s="23" t="s">
        <v>253</v>
      </c>
      <c r="B3528" s="24" t="s">
        <v>185</v>
      </c>
      <c r="C3528" s="22">
        <v>4</v>
      </c>
      <c r="D3528" s="25">
        <v>365926</v>
      </c>
      <c r="E3528" s="25">
        <v>400377</v>
      </c>
      <c r="F3528" s="25">
        <v>34451</v>
      </c>
      <c r="G3528" s="26">
        <v>1.0941474505774391</v>
      </c>
      <c r="H3528" s="10">
        <v>2026</v>
      </c>
    </row>
    <row r="3529" spans="1:8" hidden="1" x14ac:dyDescent="0.3">
      <c r="A3529" s="23" t="s">
        <v>103</v>
      </c>
      <c r="B3529" s="23" t="s">
        <v>185</v>
      </c>
      <c r="C3529" s="22">
        <v>1</v>
      </c>
      <c r="D3529" s="25">
        <v>208725</v>
      </c>
      <c r="E3529" s="25">
        <v>208809</v>
      </c>
      <c r="F3529" s="25">
        <v>84</v>
      </c>
      <c r="G3529" s="26">
        <v>1.0004024434063961</v>
      </c>
      <c r="H3529" s="10">
        <v>2026</v>
      </c>
    </row>
    <row r="3530" spans="1:8" hidden="1" x14ac:dyDescent="0.3">
      <c r="A3530" s="24" t="s">
        <v>103</v>
      </c>
      <c r="B3530" s="24" t="s">
        <v>185</v>
      </c>
      <c r="C3530" s="22">
        <v>2</v>
      </c>
      <c r="D3530" s="25">
        <v>208725</v>
      </c>
      <c r="E3530" s="25">
        <v>215879</v>
      </c>
      <c r="F3530" s="25">
        <v>7154</v>
      </c>
      <c r="G3530" s="26">
        <v>1.034274763444724</v>
      </c>
      <c r="H3530" s="10">
        <v>2026</v>
      </c>
    </row>
    <row r="3531" spans="1:8" hidden="1" x14ac:dyDescent="0.3">
      <c r="A3531" s="24" t="s">
        <v>103</v>
      </c>
      <c r="B3531" s="24" t="s">
        <v>185</v>
      </c>
      <c r="C3531" s="22">
        <v>3</v>
      </c>
      <c r="D3531" s="25">
        <v>242121</v>
      </c>
      <c r="E3531" s="25">
        <v>234607</v>
      </c>
      <c r="F3531" s="25">
        <v>-7514</v>
      </c>
      <c r="G3531" s="26">
        <v>0.96896593025801148</v>
      </c>
      <c r="H3531" s="10">
        <v>2026</v>
      </c>
    </row>
    <row r="3532" spans="1:8" hidden="1" x14ac:dyDescent="0.3">
      <c r="A3532" s="24" t="s">
        <v>103</v>
      </c>
      <c r="B3532" s="24" t="s">
        <v>185</v>
      </c>
      <c r="C3532" s="22">
        <v>4</v>
      </c>
      <c r="D3532" s="25">
        <v>225423</v>
      </c>
      <c r="E3532" s="25">
        <v>225423</v>
      </c>
      <c r="F3532" s="25">
        <v>0</v>
      </c>
      <c r="G3532" s="26">
        <v>1</v>
      </c>
      <c r="H3532" s="10">
        <v>2026</v>
      </c>
    </row>
    <row r="3533" spans="1:8" hidden="1" x14ac:dyDescent="0.3">
      <c r="A3533" s="23" t="s">
        <v>79</v>
      </c>
      <c r="B3533" s="23" t="s">
        <v>185</v>
      </c>
      <c r="C3533" s="22">
        <v>1</v>
      </c>
      <c r="D3533" s="25">
        <v>129133</v>
      </c>
      <c r="E3533" s="25">
        <v>138616</v>
      </c>
      <c r="F3533" s="25">
        <v>9483</v>
      </c>
      <c r="G3533" s="26">
        <v>1.0734359149094346</v>
      </c>
      <c r="H3533" s="10">
        <v>2026</v>
      </c>
    </row>
    <row r="3534" spans="1:8" hidden="1" x14ac:dyDescent="0.3">
      <c r="A3534" s="23" t="s">
        <v>79</v>
      </c>
      <c r="B3534" s="24" t="s">
        <v>185</v>
      </c>
      <c r="C3534" s="22">
        <v>2</v>
      </c>
      <c r="D3534" s="25">
        <v>137098</v>
      </c>
      <c r="E3534" s="25">
        <v>141277</v>
      </c>
      <c r="F3534" s="25">
        <v>4179</v>
      </c>
      <c r="G3534" s="26">
        <v>1.0304818451035027</v>
      </c>
      <c r="H3534" s="10">
        <v>2026</v>
      </c>
    </row>
    <row r="3535" spans="1:8" hidden="1" x14ac:dyDescent="0.3">
      <c r="A3535" s="23" t="s">
        <v>79</v>
      </c>
      <c r="B3535" s="24" t="s">
        <v>185</v>
      </c>
      <c r="C3535" s="22">
        <v>3</v>
      </c>
      <c r="D3535" s="25">
        <v>199755</v>
      </c>
      <c r="E3535" s="25">
        <v>199755</v>
      </c>
      <c r="F3535" s="25">
        <v>0</v>
      </c>
      <c r="G3535" s="26">
        <v>1</v>
      </c>
      <c r="H3535" s="10">
        <v>2026</v>
      </c>
    </row>
    <row r="3536" spans="1:8" hidden="1" x14ac:dyDescent="0.3">
      <c r="A3536" s="23" t="s">
        <v>79</v>
      </c>
      <c r="B3536" s="24" t="s">
        <v>185</v>
      </c>
      <c r="C3536" s="22">
        <v>4</v>
      </c>
      <c r="D3536" s="25">
        <v>170292</v>
      </c>
      <c r="E3536" s="25">
        <v>170292</v>
      </c>
      <c r="F3536" s="25">
        <v>0</v>
      </c>
      <c r="G3536" s="26">
        <v>1</v>
      </c>
      <c r="H3536" s="10">
        <v>2026</v>
      </c>
    </row>
    <row r="3537" spans="1:8" hidden="1" x14ac:dyDescent="0.3">
      <c r="A3537" s="23" t="s">
        <v>64</v>
      </c>
      <c r="B3537" s="23" t="s">
        <v>185</v>
      </c>
      <c r="C3537" s="22">
        <v>1</v>
      </c>
      <c r="D3537" s="25">
        <v>51111</v>
      </c>
      <c r="E3537" s="25">
        <v>51921</v>
      </c>
      <c r="F3537" s="25">
        <v>810</v>
      </c>
      <c r="G3537" s="26">
        <v>1.0158478605388273</v>
      </c>
      <c r="H3537" s="10">
        <v>2026</v>
      </c>
    </row>
    <row r="3538" spans="1:8" hidden="1" x14ac:dyDescent="0.3">
      <c r="A3538" s="24" t="s">
        <v>64</v>
      </c>
      <c r="B3538" s="24" t="s">
        <v>185</v>
      </c>
      <c r="C3538" s="22">
        <v>2</v>
      </c>
      <c r="D3538" s="25">
        <v>53373</v>
      </c>
      <c r="E3538" s="25">
        <v>54600</v>
      </c>
      <c r="F3538" s="25">
        <v>1227</v>
      </c>
      <c r="G3538" s="26">
        <v>1.0229891518183352</v>
      </c>
      <c r="H3538" s="10">
        <v>2026</v>
      </c>
    </row>
    <row r="3539" spans="1:8" hidden="1" x14ac:dyDescent="0.3">
      <c r="A3539" s="24" t="s">
        <v>64</v>
      </c>
      <c r="B3539" s="24" t="s">
        <v>185</v>
      </c>
      <c r="C3539" s="22">
        <v>3</v>
      </c>
      <c r="D3539" s="25">
        <v>62859</v>
      </c>
      <c r="E3539" s="25">
        <v>64495</v>
      </c>
      <c r="F3539" s="25">
        <v>1636</v>
      </c>
      <c r="G3539" s="26">
        <v>1.0260265037623888</v>
      </c>
      <c r="H3539" s="10">
        <v>2026</v>
      </c>
    </row>
    <row r="3540" spans="1:8" hidden="1" x14ac:dyDescent="0.3">
      <c r="A3540" s="24" t="s">
        <v>64</v>
      </c>
      <c r="B3540" s="24" t="s">
        <v>185</v>
      </c>
      <c r="C3540" s="22">
        <v>4</v>
      </c>
      <c r="D3540" s="25">
        <v>102586</v>
      </c>
      <c r="E3540" s="25">
        <v>100251</v>
      </c>
      <c r="F3540" s="25">
        <v>-2335</v>
      </c>
      <c r="G3540" s="26">
        <v>0.97723860955685971</v>
      </c>
      <c r="H3540" s="10">
        <v>2026</v>
      </c>
    </row>
    <row r="3541" spans="1:8" hidden="1" x14ac:dyDescent="0.3">
      <c r="A3541" s="23" t="s">
        <v>67</v>
      </c>
      <c r="B3541" s="23" t="s">
        <v>185</v>
      </c>
      <c r="C3541" s="22">
        <v>1</v>
      </c>
      <c r="D3541" s="25">
        <v>167231</v>
      </c>
      <c r="E3541" s="25">
        <v>156696</v>
      </c>
      <c r="F3541" s="25">
        <v>-10535</v>
      </c>
      <c r="G3541" s="26">
        <v>0.93700330680316457</v>
      </c>
      <c r="H3541" s="10">
        <v>2026</v>
      </c>
    </row>
    <row r="3542" spans="1:8" hidden="1" x14ac:dyDescent="0.3">
      <c r="A3542" s="24" t="s">
        <v>67</v>
      </c>
      <c r="B3542" s="24" t="s">
        <v>185</v>
      </c>
      <c r="C3542" s="22">
        <v>2</v>
      </c>
      <c r="D3542" s="25">
        <v>160590</v>
      </c>
      <c r="E3542" s="25">
        <v>157448</v>
      </c>
      <c r="F3542" s="25">
        <v>-3142</v>
      </c>
      <c r="G3542" s="26">
        <v>0.98043464723830875</v>
      </c>
      <c r="H3542" s="10">
        <v>2026</v>
      </c>
    </row>
    <row r="3543" spans="1:8" hidden="1" x14ac:dyDescent="0.3">
      <c r="A3543" s="24" t="s">
        <v>67</v>
      </c>
      <c r="B3543" s="24" t="s">
        <v>185</v>
      </c>
      <c r="C3543" s="22">
        <v>3</v>
      </c>
      <c r="D3543" s="25">
        <v>192214</v>
      </c>
      <c r="E3543" s="25">
        <v>181332</v>
      </c>
      <c r="F3543" s="25">
        <v>-10882</v>
      </c>
      <c r="G3543" s="26">
        <v>0.94338601766780783</v>
      </c>
      <c r="H3543" s="10">
        <v>2026</v>
      </c>
    </row>
    <row r="3544" spans="1:8" hidden="1" x14ac:dyDescent="0.3">
      <c r="A3544" s="24" t="s">
        <v>67</v>
      </c>
      <c r="B3544" s="24" t="s">
        <v>185</v>
      </c>
      <c r="C3544" s="22">
        <v>4</v>
      </c>
      <c r="D3544" s="25">
        <v>177320</v>
      </c>
      <c r="E3544" s="25">
        <v>217921</v>
      </c>
      <c r="F3544" s="25">
        <v>40601</v>
      </c>
      <c r="G3544" s="26">
        <v>1.2289702233250621</v>
      </c>
      <c r="H3544" s="10">
        <v>2026</v>
      </c>
    </row>
    <row r="3545" spans="1:8" x14ac:dyDescent="0.3">
      <c r="A3545" s="23" t="s">
        <v>75</v>
      </c>
      <c r="B3545" s="23" t="s">
        <v>185</v>
      </c>
      <c r="C3545" s="22">
        <v>1</v>
      </c>
      <c r="D3545" s="25">
        <v>210241</v>
      </c>
      <c r="E3545" s="25">
        <v>194161</v>
      </c>
      <c r="F3545" s="25">
        <v>-16080</v>
      </c>
      <c r="G3545" s="26">
        <v>0.92351634552727579</v>
      </c>
      <c r="H3545" s="10">
        <v>2026</v>
      </c>
    </row>
    <row r="3546" spans="1:8" x14ac:dyDescent="0.3">
      <c r="A3546" s="23" t="s">
        <v>75</v>
      </c>
      <c r="B3546" s="24" t="s">
        <v>185</v>
      </c>
      <c r="C3546" s="22">
        <v>2</v>
      </c>
      <c r="D3546" s="25">
        <v>194632</v>
      </c>
      <c r="E3546" s="25">
        <v>203036</v>
      </c>
      <c r="F3546" s="25">
        <v>8404</v>
      </c>
      <c r="G3546" s="26">
        <v>1.0431789222738297</v>
      </c>
      <c r="H3546" s="10">
        <v>2026</v>
      </c>
    </row>
    <row r="3547" spans="1:8" x14ac:dyDescent="0.3">
      <c r="A3547" s="23" t="s">
        <v>75</v>
      </c>
      <c r="B3547" s="24" t="s">
        <v>185</v>
      </c>
      <c r="C3547" s="22">
        <v>3</v>
      </c>
      <c r="D3547" s="25">
        <v>256812</v>
      </c>
      <c r="E3547" s="25">
        <v>266404</v>
      </c>
      <c r="F3547" s="25">
        <v>9592</v>
      </c>
      <c r="G3547" s="26">
        <v>1.0373502795819511</v>
      </c>
      <c r="H3547" s="10">
        <v>2026</v>
      </c>
    </row>
    <row r="3548" spans="1:8" x14ac:dyDescent="0.3">
      <c r="A3548" s="23" t="s">
        <v>75</v>
      </c>
      <c r="B3548" s="24" t="s">
        <v>185</v>
      </c>
      <c r="C3548" s="22">
        <v>4</v>
      </c>
      <c r="D3548" s="25">
        <v>204763</v>
      </c>
      <c r="E3548" s="25">
        <v>188863</v>
      </c>
      <c r="F3548" s="25">
        <v>-15900</v>
      </c>
      <c r="G3548" s="26">
        <v>0.9223492525505097</v>
      </c>
      <c r="H3548" s="10">
        <v>2026</v>
      </c>
    </row>
    <row r="3549" spans="1:8" hidden="1" x14ac:dyDescent="0.3">
      <c r="A3549" s="23" t="s">
        <v>82</v>
      </c>
      <c r="B3549" s="23" t="s">
        <v>207</v>
      </c>
      <c r="C3549" s="22">
        <v>1</v>
      </c>
      <c r="D3549" s="25">
        <v>0</v>
      </c>
      <c r="E3549" s="25">
        <v>0</v>
      </c>
      <c r="F3549" s="25">
        <v>0</v>
      </c>
      <c r="G3549" s="26">
        <v>0</v>
      </c>
      <c r="H3549" s="10">
        <v>2026</v>
      </c>
    </row>
    <row r="3550" spans="1:8" hidden="1" x14ac:dyDescent="0.3">
      <c r="A3550" s="23" t="s">
        <v>82</v>
      </c>
      <c r="B3550" s="24" t="s">
        <v>207</v>
      </c>
      <c r="C3550" s="22">
        <v>2</v>
      </c>
      <c r="D3550" s="25">
        <v>0</v>
      </c>
      <c r="E3550" s="25">
        <v>0</v>
      </c>
      <c r="F3550" s="25">
        <v>0</v>
      </c>
      <c r="G3550" s="26">
        <v>0</v>
      </c>
      <c r="H3550" s="10">
        <v>2026</v>
      </c>
    </row>
    <row r="3551" spans="1:8" hidden="1" x14ac:dyDescent="0.3">
      <c r="A3551" s="23" t="s">
        <v>82</v>
      </c>
      <c r="B3551" s="24" t="s">
        <v>207</v>
      </c>
      <c r="C3551" s="22">
        <v>3</v>
      </c>
      <c r="D3551" s="25">
        <v>295000</v>
      </c>
      <c r="E3551" s="25">
        <v>400000</v>
      </c>
      <c r="F3551" s="25">
        <v>105000</v>
      </c>
      <c r="G3551" s="26">
        <v>1.3559322033898307</v>
      </c>
      <c r="H3551" s="10">
        <v>2026</v>
      </c>
    </row>
    <row r="3552" spans="1:8" hidden="1" x14ac:dyDescent="0.3">
      <c r="A3552" s="23" t="s">
        <v>82</v>
      </c>
      <c r="B3552" s="24" t="s">
        <v>207</v>
      </c>
      <c r="C3552" s="22">
        <v>4</v>
      </c>
      <c r="D3552" s="25">
        <v>590000</v>
      </c>
      <c r="E3552" s="25">
        <v>400000</v>
      </c>
      <c r="F3552" s="25">
        <v>-190000</v>
      </c>
      <c r="G3552" s="26">
        <v>0.67796610169491534</v>
      </c>
      <c r="H3552" s="10">
        <v>2026</v>
      </c>
    </row>
    <row r="3553" spans="1:8" hidden="1" x14ac:dyDescent="0.3">
      <c r="A3553" s="23" t="s">
        <v>77</v>
      </c>
      <c r="B3553" s="23" t="s">
        <v>207</v>
      </c>
      <c r="C3553" s="22">
        <v>1</v>
      </c>
      <c r="D3553" s="25">
        <v>800000</v>
      </c>
      <c r="E3553" s="25">
        <v>0</v>
      </c>
      <c r="F3553" s="25">
        <v>-800000</v>
      </c>
      <c r="G3553" s="26">
        <v>0</v>
      </c>
      <c r="H3553" s="10">
        <v>2026</v>
      </c>
    </row>
    <row r="3554" spans="1:8" hidden="1" x14ac:dyDescent="0.3">
      <c r="A3554" s="23" t="s">
        <v>77</v>
      </c>
      <c r="B3554" s="24" t="s">
        <v>207</v>
      </c>
      <c r="C3554" s="22">
        <v>2</v>
      </c>
      <c r="D3554" s="25">
        <v>800000</v>
      </c>
      <c r="E3554" s="25">
        <v>1000000</v>
      </c>
      <c r="F3554" s="25">
        <v>200000</v>
      </c>
      <c r="G3554" s="26">
        <v>1.25</v>
      </c>
      <c r="H3554" s="10">
        <v>2026</v>
      </c>
    </row>
    <row r="3555" spans="1:8" hidden="1" x14ac:dyDescent="0.3">
      <c r="A3555" s="23" t="s">
        <v>77</v>
      </c>
      <c r="B3555" s="24" t="s">
        <v>207</v>
      </c>
      <c r="C3555" s="22">
        <v>3</v>
      </c>
      <c r="D3555" s="25">
        <v>800000</v>
      </c>
      <c r="E3555" s="25">
        <v>0</v>
      </c>
      <c r="F3555" s="25">
        <v>-800000</v>
      </c>
      <c r="G3555" s="26">
        <v>0</v>
      </c>
      <c r="H3555" s="10">
        <v>2026</v>
      </c>
    </row>
    <row r="3556" spans="1:8" hidden="1" x14ac:dyDescent="0.3">
      <c r="A3556" s="23" t="s">
        <v>77</v>
      </c>
      <c r="B3556" s="24" t="s">
        <v>207</v>
      </c>
      <c r="C3556" s="22">
        <v>4</v>
      </c>
      <c r="D3556" s="25">
        <v>800000</v>
      </c>
      <c r="E3556" s="25">
        <v>0</v>
      </c>
      <c r="F3556" s="25">
        <v>-800000</v>
      </c>
      <c r="G3556" s="26">
        <v>0</v>
      </c>
      <c r="H3556" s="10">
        <v>2026</v>
      </c>
    </row>
    <row r="3557" spans="1:8" hidden="1" x14ac:dyDescent="0.3">
      <c r="A3557" s="23" t="s">
        <v>253</v>
      </c>
      <c r="B3557" s="23" t="s">
        <v>207</v>
      </c>
      <c r="C3557" s="22">
        <v>2</v>
      </c>
      <c r="D3557" s="25">
        <v>0</v>
      </c>
      <c r="E3557" s="25">
        <v>249096</v>
      </c>
      <c r="F3557" s="25">
        <v>249096</v>
      </c>
      <c r="G3557" s="26">
        <v>0</v>
      </c>
      <c r="H3557" s="10">
        <v>2026</v>
      </c>
    </row>
    <row r="3558" spans="1:8" hidden="1" x14ac:dyDescent="0.3">
      <c r="A3558" s="23" t="s">
        <v>253</v>
      </c>
      <c r="B3558" s="24" t="s">
        <v>207</v>
      </c>
      <c r="C3558" s="22">
        <v>3</v>
      </c>
      <c r="D3558" s="25">
        <v>0</v>
      </c>
      <c r="E3558" s="25">
        <v>0</v>
      </c>
      <c r="F3558" s="25">
        <v>0</v>
      </c>
      <c r="G3558" s="26">
        <v>0</v>
      </c>
      <c r="H3558" s="10">
        <v>2026</v>
      </c>
    </row>
    <row r="3559" spans="1:8" hidden="1" x14ac:dyDescent="0.3">
      <c r="A3559" s="23" t="s">
        <v>253</v>
      </c>
      <c r="B3559" s="24" t="s">
        <v>207</v>
      </c>
      <c r="C3559" s="22">
        <v>4</v>
      </c>
      <c r="D3559" s="25">
        <v>0</v>
      </c>
      <c r="E3559" s="25">
        <v>0</v>
      </c>
      <c r="F3559" s="25">
        <v>0</v>
      </c>
      <c r="G3559" s="26">
        <v>0</v>
      </c>
      <c r="H3559" s="10">
        <v>2026</v>
      </c>
    </row>
    <row r="3560" spans="1:8" hidden="1" x14ac:dyDescent="0.3">
      <c r="A3560" s="23" t="s">
        <v>79</v>
      </c>
      <c r="B3560" s="23" t="s">
        <v>207</v>
      </c>
      <c r="C3560" s="22">
        <v>1</v>
      </c>
      <c r="D3560" s="25">
        <v>0</v>
      </c>
      <c r="E3560" s="25">
        <v>0</v>
      </c>
      <c r="F3560" s="25">
        <v>0</v>
      </c>
      <c r="G3560" s="26">
        <v>0</v>
      </c>
      <c r="H3560" s="10">
        <v>2026</v>
      </c>
    </row>
    <row r="3561" spans="1:8" hidden="1" x14ac:dyDescent="0.3">
      <c r="A3561" s="23" t="s">
        <v>79</v>
      </c>
      <c r="B3561" s="24" t="s">
        <v>207</v>
      </c>
      <c r="C3561" s="22">
        <v>2</v>
      </c>
      <c r="D3561" s="25">
        <v>1200000</v>
      </c>
      <c r="E3561" s="25">
        <v>1300000</v>
      </c>
      <c r="F3561" s="25">
        <v>100000</v>
      </c>
      <c r="G3561" s="26">
        <v>1.0833333333333335</v>
      </c>
      <c r="H3561" s="10">
        <v>2026</v>
      </c>
    </row>
    <row r="3562" spans="1:8" hidden="1" x14ac:dyDescent="0.3">
      <c r="A3562" s="23" t="s">
        <v>79</v>
      </c>
      <c r="B3562" s="24" t="s">
        <v>207</v>
      </c>
      <c r="C3562" s="22">
        <v>3</v>
      </c>
      <c r="D3562" s="25">
        <v>1200000</v>
      </c>
      <c r="E3562" s="25">
        <v>400000</v>
      </c>
      <c r="F3562" s="25">
        <v>-800000</v>
      </c>
      <c r="G3562" s="26">
        <v>0.33333333333333337</v>
      </c>
      <c r="H3562" s="10">
        <v>2026</v>
      </c>
    </row>
    <row r="3563" spans="1:8" hidden="1" x14ac:dyDescent="0.3">
      <c r="A3563" s="23" t="s">
        <v>79</v>
      </c>
      <c r="B3563" s="24" t="s">
        <v>207</v>
      </c>
      <c r="C3563" s="22">
        <v>4</v>
      </c>
      <c r="D3563" s="25">
        <v>1200000</v>
      </c>
      <c r="E3563" s="25">
        <v>400000</v>
      </c>
      <c r="F3563" s="25">
        <v>-800000</v>
      </c>
      <c r="G3563" s="26">
        <v>0.33333333333333337</v>
      </c>
      <c r="H3563" s="10">
        <v>2026</v>
      </c>
    </row>
    <row r="3564" spans="1:8" hidden="1" x14ac:dyDescent="0.3">
      <c r="A3564" s="23" t="s">
        <v>64</v>
      </c>
      <c r="B3564" s="23" t="s">
        <v>207</v>
      </c>
      <c r="C3564" s="22">
        <v>1</v>
      </c>
      <c r="D3564" s="25">
        <v>600000</v>
      </c>
      <c r="E3564" s="25">
        <v>0</v>
      </c>
      <c r="F3564" s="25">
        <v>-600000</v>
      </c>
      <c r="G3564" s="26">
        <v>0</v>
      </c>
      <c r="H3564" s="10">
        <v>2026</v>
      </c>
    </row>
    <row r="3565" spans="1:8" hidden="1" x14ac:dyDescent="0.3">
      <c r="A3565" s="24" t="s">
        <v>64</v>
      </c>
      <c r="B3565" s="24" t="s">
        <v>207</v>
      </c>
      <c r="C3565" s="22">
        <v>2</v>
      </c>
      <c r="D3565" s="25">
        <v>600000</v>
      </c>
      <c r="E3565" s="25">
        <v>0</v>
      </c>
      <c r="F3565" s="25">
        <v>-600000</v>
      </c>
      <c r="G3565" s="26">
        <v>0</v>
      </c>
      <c r="H3565" s="10">
        <v>2026</v>
      </c>
    </row>
    <row r="3566" spans="1:8" hidden="1" x14ac:dyDescent="0.3">
      <c r="A3566" s="24" t="s">
        <v>64</v>
      </c>
      <c r="B3566" s="24" t="s">
        <v>207</v>
      </c>
      <c r="C3566" s="22">
        <v>3</v>
      </c>
      <c r="D3566" s="25">
        <v>600000</v>
      </c>
      <c r="E3566" s="25">
        <v>0</v>
      </c>
      <c r="F3566" s="25">
        <v>-600000</v>
      </c>
      <c r="G3566" s="26">
        <v>0</v>
      </c>
      <c r="H3566" s="10">
        <v>2026</v>
      </c>
    </row>
    <row r="3567" spans="1:8" hidden="1" x14ac:dyDescent="0.3">
      <c r="A3567" s="24" t="s">
        <v>64</v>
      </c>
      <c r="B3567" s="24" t="s">
        <v>207</v>
      </c>
      <c r="C3567" s="22">
        <v>4</v>
      </c>
      <c r="D3567" s="25">
        <v>600000</v>
      </c>
      <c r="E3567" s="25">
        <v>0</v>
      </c>
      <c r="F3567" s="25">
        <v>-600000</v>
      </c>
      <c r="G3567" s="26">
        <v>0</v>
      </c>
      <c r="H3567" s="10">
        <v>2026</v>
      </c>
    </row>
    <row r="3568" spans="1:8" hidden="1" x14ac:dyDescent="0.3">
      <c r="A3568" s="23" t="s">
        <v>67</v>
      </c>
      <c r="B3568" s="23" t="s">
        <v>207</v>
      </c>
      <c r="C3568" s="22">
        <v>2</v>
      </c>
      <c r="D3568" s="25">
        <v>0</v>
      </c>
      <c r="E3568" s="25">
        <v>500000</v>
      </c>
      <c r="F3568" s="25">
        <v>500000</v>
      </c>
      <c r="G3568" s="26">
        <v>0</v>
      </c>
      <c r="H3568" s="10">
        <v>2026</v>
      </c>
    </row>
    <row r="3569" spans="1:8" hidden="1" x14ac:dyDescent="0.3">
      <c r="A3569" s="24" t="s">
        <v>67</v>
      </c>
      <c r="B3569" s="24" t="s">
        <v>207</v>
      </c>
      <c r="C3569" s="22">
        <v>3</v>
      </c>
      <c r="D3569" s="25">
        <v>0</v>
      </c>
      <c r="E3569" s="25">
        <v>0</v>
      </c>
      <c r="F3569" s="25">
        <v>0</v>
      </c>
      <c r="G3569" s="26">
        <v>0</v>
      </c>
      <c r="H3569" s="10">
        <v>2026</v>
      </c>
    </row>
    <row r="3570" spans="1:8" hidden="1" x14ac:dyDescent="0.3">
      <c r="A3570" s="24" t="s">
        <v>67</v>
      </c>
      <c r="B3570" s="24" t="s">
        <v>207</v>
      </c>
      <c r="C3570" s="22">
        <v>4</v>
      </c>
      <c r="D3570" s="25">
        <v>0</v>
      </c>
      <c r="E3570" s="25">
        <v>0</v>
      </c>
      <c r="F3570" s="25">
        <v>0</v>
      </c>
      <c r="G3570" s="26">
        <v>0</v>
      </c>
      <c r="H3570" s="10">
        <v>2026</v>
      </c>
    </row>
    <row r="3571" spans="1:8" hidden="1" x14ac:dyDescent="0.3">
      <c r="A3571" s="23" t="s">
        <v>82</v>
      </c>
      <c r="B3571" s="23" t="s">
        <v>186</v>
      </c>
      <c r="C3571" s="22">
        <v>1</v>
      </c>
      <c r="D3571" s="25">
        <v>0</v>
      </c>
      <c r="E3571" s="25">
        <v>0</v>
      </c>
      <c r="F3571" s="25">
        <v>0</v>
      </c>
      <c r="G3571" s="26">
        <v>0</v>
      </c>
      <c r="H3571" s="10">
        <v>2026</v>
      </c>
    </row>
    <row r="3572" spans="1:8" hidden="1" x14ac:dyDescent="0.3">
      <c r="A3572" s="23" t="s">
        <v>82</v>
      </c>
      <c r="B3572" s="24" t="s">
        <v>186</v>
      </c>
      <c r="C3572" s="22">
        <v>2</v>
      </c>
      <c r="D3572" s="25">
        <v>0</v>
      </c>
      <c r="E3572" s="25">
        <v>0</v>
      </c>
      <c r="F3572" s="25">
        <v>0</v>
      </c>
      <c r="G3572" s="26">
        <v>0</v>
      </c>
      <c r="H3572" s="10">
        <v>2026</v>
      </c>
    </row>
    <row r="3573" spans="1:8" hidden="1" x14ac:dyDescent="0.3">
      <c r="A3573" s="23" t="s">
        <v>82</v>
      </c>
      <c r="B3573" s="24" t="s">
        <v>186</v>
      </c>
      <c r="C3573" s="22">
        <v>3</v>
      </c>
      <c r="D3573" s="25">
        <v>347683</v>
      </c>
      <c r="E3573" s="25">
        <v>347684</v>
      </c>
      <c r="F3573" s="25">
        <v>1</v>
      </c>
      <c r="G3573" s="26">
        <v>1.0000028761831898</v>
      </c>
      <c r="H3573" s="10">
        <v>2026</v>
      </c>
    </row>
    <row r="3574" spans="1:8" hidden="1" x14ac:dyDescent="0.3">
      <c r="A3574" s="23" t="s">
        <v>82</v>
      </c>
      <c r="B3574" s="24" t="s">
        <v>186</v>
      </c>
      <c r="C3574" s="22">
        <v>4</v>
      </c>
      <c r="D3574" s="25">
        <v>331452</v>
      </c>
      <c r="E3574" s="25">
        <v>331452</v>
      </c>
      <c r="F3574" s="25">
        <v>0</v>
      </c>
      <c r="G3574" s="26">
        <v>1</v>
      </c>
      <c r="H3574" s="10">
        <v>2026</v>
      </c>
    </row>
    <row r="3575" spans="1:8" hidden="1" x14ac:dyDescent="0.3">
      <c r="A3575" s="23" t="s">
        <v>77</v>
      </c>
      <c r="B3575" s="23" t="s">
        <v>186</v>
      </c>
      <c r="C3575" s="22">
        <v>1</v>
      </c>
      <c r="D3575" s="25">
        <v>877052</v>
      </c>
      <c r="E3575" s="25">
        <v>896169</v>
      </c>
      <c r="F3575" s="25">
        <v>19117</v>
      </c>
      <c r="G3575" s="26">
        <v>1.0217968831950672</v>
      </c>
      <c r="H3575" s="10">
        <v>2026</v>
      </c>
    </row>
    <row r="3576" spans="1:8" hidden="1" x14ac:dyDescent="0.3">
      <c r="A3576" s="23" t="s">
        <v>77</v>
      </c>
      <c r="B3576" s="24" t="s">
        <v>186</v>
      </c>
      <c r="C3576" s="22">
        <v>2</v>
      </c>
      <c r="D3576" s="25">
        <v>3215000</v>
      </c>
      <c r="E3576" s="25">
        <v>1220000</v>
      </c>
      <c r="F3576" s="25">
        <v>-1995000</v>
      </c>
      <c r="G3576" s="26">
        <v>0.37947122861586313</v>
      </c>
      <c r="H3576" s="10">
        <v>2026</v>
      </c>
    </row>
    <row r="3577" spans="1:8" hidden="1" x14ac:dyDescent="0.3">
      <c r="A3577" s="23" t="s">
        <v>77</v>
      </c>
      <c r="B3577" s="24" t="s">
        <v>186</v>
      </c>
      <c r="C3577" s="22">
        <v>3</v>
      </c>
      <c r="D3577" s="25">
        <v>993298</v>
      </c>
      <c r="E3577" s="25">
        <v>993299</v>
      </c>
      <c r="F3577" s="25">
        <v>1</v>
      </c>
      <c r="G3577" s="26">
        <v>1.0000010067472198</v>
      </c>
      <c r="H3577" s="10">
        <v>2026</v>
      </c>
    </row>
    <row r="3578" spans="1:8" hidden="1" x14ac:dyDescent="0.3">
      <c r="A3578" s="23" t="s">
        <v>77</v>
      </c>
      <c r="B3578" s="24" t="s">
        <v>186</v>
      </c>
      <c r="C3578" s="22">
        <v>4</v>
      </c>
      <c r="D3578" s="25">
        <v>891305</v>
      </c>
      <c r="E3578" s="25">
        <v>891306</v>
      </c>
      <c r="F3578" s="25">
        <v>1</v>
      </c>
      <c r="G3578" s="26">
        <v>1.0000011219503986</v>
      </c>
      <c r="H3578" s="10">
        <v>2026</v>
      </c>
    </row>
    <row r="3579" spans="1:8" hidden="1" x14ac:dyDescent="0.3">
      <c r="A3579" s="23" t="s">
        <v>253</v>
      </c>
      <c r="B3579" s="23" t="s">
        <v>186</v>
      </c>
      <c r="C3579" s="22">
        <v>1</v>
      </c>
      <c r="D3579" s="25">
        <v>2842985</v>
      </c>
      <c r="E3579" s="25">
        <v>2998307</v>
      </c>
      <c r="F3579" s="25">
        <v>155322</v>
      </c>
      <c r="G3579" s="26">
        <v>1.0546334222656821</v>
      </c>
      <c r="H3579" s="10">
        <v>2026</v>
      </c>
    </row>
    <row r="3580" spans="1:8" hidden="1" x14ac:dyDescent="0.3">
      <c r="A3580" s="23" t="s">
        <v>253</v>
      </c>
      <c r="B3580" s="24" t="s">
        <v>186</v>
      </c>
      <c r="C3580" s="22">
        <v>2</v>
      </c>
      <c r="D3580" s="25">
        <v>10421500</v>
      </c>
      <c r="E3580" s="25">
        <v>9771500</v>
      </c>
      <c r="F3580" s="25">
        <v>-650000</v>
      </c>
      <c r="G3580" s="26">
        <v>0.93762894017176035</v>
      </c>
      <c r="H3580" s="10">
        <v>2026</v>
      </c>
    </row>
    <row r="3581" spans="1:8" hidden="1" x14ac:dyDescent="0.3">
      <c r="A3581" s="23" t="s">
        <v>253</v>
      </c>
      <c r="B3581" s="24" t="s">
        <v>186</v>
      </c>
      <c r="C3581" s="22">
        <v>3</v>
      </c>
      <c r="D3581" s="25">
        <v>3299106</v>
      </c>
      <c r="E3581" s="25">
        <v>3301451</v>
      </c>
      <c r="F3581" s="25">
        <v>2345</v>
      </c>
      <c r="G3581" s="26">
        <v>1.0007107986224146</v>
      </c>
      <c r="H3581" s="10">
        <v>2026</v>
      </c>
    </row>
    <row r="3582" spans="1:8" hidden="1" x14ac:dyDescent="0.3">
      <c r="A3582" s="23" t="s">
        <v>253</v>
      </c>
      <c r="B3582" s="24" t="s">
        <v>186</v>
      </c>
      <c r="C3582" s="22">
        <v>4</v>
      </c>
      <c r="D3582" s="25">
        <v>3071046</v>
      </c>
      <c r="E3582" s="25">
        <v>3143475</v>
      </c>
      <c r="F3582" s="25">
        <v>72429</v>
      </c>
      <c r="G3582" s="26">
        <v>1.0235844725217402</v>
      </c>
      <c r="H3582" s="10">
        <v>2026</v>
      </c>
    </row>
    <row r="3583" spans="1:8" hidden="1" x14ac:dyDescent="0.3">
      <c r="A3583" s="23" t="s">
        <v>103</v>
      </c>
      <c r="B3583" s="23" t="s">
        <v>186</v>
      </c>
      <c r="C3583" s="22">
        <v>1</v>
      </c>
      <c r="D3583" s="25">
        <v>2063050</v>
      </c>
      <c r="E3583" s="25">
        <v>2063883</v>
      </c>
      <c r="F3583" s="25">
        <v>833</v>
      </c>
      <c r="G3583" s="26">
        <v>1.0004037711155813</v>
      </c>
      <c r="H3583" s="10">
        <v>2026</v>
      </c>
    </row>
    <row r="3584" spans="1:8" hidden="1" x14ac:dyDescent="0.3">
      <c r="A3584" s="24" t="s">
        <v>103</v>
      </c>
      <c r="B3584" s="24" t="s">
        <v>186</v>
      </c>
      <c r="C3584" s="22">
        <v>2</v>
      </c>
      <c r="D3584" s="25">
        <v>7562500</v>
      </c>
      <c r="E3584" s="25">
        <v>6050000</v>
      </c>
      <c r="F3584" s="25">
        <v>-1512500</v>
      </c>
      <c r="G3584" s="26">
        <v>0.8</v>
      </c>
      <c r="H3584" s="10">
        <v>2026</v>
      </c>
    </row>
    <row r="3585" spans="1:8" hidden="1" x14ac:dyDescent="0.3">
      <c r="A3585" s="24" t="s">
        <v>103</v>
      </c>
      <c r="B3585" s="24" t="s">
        <v>186</v>
      </c>
      <c r="C3585" s="22">
        <v>3</v>
      </c>
      <c r="D3585" s="25">
        <v>2393138</v>
      </c>
      <c r="E3585" s="25">
        <v>2318868</v>
      </c>
      <c r="F3585" s="25">
        <v>-74270</v>
      </c>
      <c r="G3585" s="26">
        <v>0.96896543366909893</v>
      </c>
      <c r="H3585" s="10">
        <v>2026</v>
      </c>
    </row>
    <row r="3586" spans="1:8" hidden="1" x14ac:dyDescent="0.3">
      <c r="A3586" s="24" t="s">
        <v>103</v>
      </c>
      <c r="B3586" s="24" t="s">
        <v>186</v>
      </c>
      <c r="C3586" s="22">
        <v>4</v>
      </c>
      <c r="D3586" s="25">
        <v>2228094</v>
      </c>
      <c r="E3586" s="25">
        <v>2228094</v>
      </c>
      <c r="F3586" s="25">
        <v>0</v>
      </c>
      <c r="G3586" s="26">
        <v>1</v>
      </c>
      <c r="H3586" s="10">
        <v>2026</v>
      </c>
    </row>
    <row r="3587" spans="1:8" hidden="1" x14ac:dyDescent="0.3">
      <c r="A3587" s="23" t="s">
        <v>79</v>
      </c>
      <c r="B3587" s="23" t="s">
        <v>186</v>
      </c>
      <c r="C3587" s="22">
        <v>1</v>
      </c>
      <c r="D3587" s="25">
        <v>1276363</v>
      </c>
      <c r="E3587" s="25">
        <v>1370089</v>
      </c>
      <c r="F3587" s="25">
        <v>93726</v>
      </c>
      <c r="G3587" s="26">
        <v>1.0734320878934911</v>
      </c>
      <c r="H3587" s="10">
        <v>2026</v>
      </c>
    </row>
    <row r="3588" spans="1:8" hidden="1" x14ac:dyDescent="0.3">
      <c r="A3588" s="23" t="s">
        <v>79</v>
      </c>
      <c r="B3588" s="24" t="s">
        <v>186</v>
      </c>
      <c r="C3588" s="22">
        <v>2</v>
      </c>
      <c r="D3588" s="25">
        <v>4678750</v>
      </c>
      <c r="E3588" s="25">
        <v>7314500</v>
      </c>
      <c r="F3588" s="25">
        <v>2635750</v>
      </c>
      <c r="G3588" s="26">
        <v>1.5633449104995993</v>
      </c>
      <c r="H3588" s="10">
        <v>2026</v>
      </c>
    </row>
    <row r="3589" spans="1:8" hidden="1" x14ac:dyDescent="0.3">
      <c r="A3589" s="23" t="s">
        <v>79</v>
      </c>
      <c r="B3589" s="24" t="s">
        <v>186</v>
      </c>
      <c r="C3589" s="22">
        <v>3</v>
      </c>
      <c r="D3589" s="25">
        <v>1974390</v>
      </c>
      <c r="E3589" s="25">
        <v>1974390</v>
      </c>
      <c r="F3589" s="25">
        <v>0</v>
      </c>
      <c r="G3589" s="26">
        <v>1</v>
      </c>
      <c r="H3589" s="10">
        <v>2026</v>
      </c>
    </row>
    <row r="3590" spans="1:8" hidden="1" x14ac:dyDescent="0.3">
      <c r="A3590" s="23" t="s">
        <v>79</v>
      </c>
      <c r="B3590" s="24" t="s">
        <v>186</v>
      </c>
      <c r="C3590" s="22">
        <v>4</v>
      </c>
      <c r="D3590" s="25">
        <v>1683176</v>
      </c>
      <c r="E3590" s="25">
        <v>1683176</v>
      </c>
      <c r="F3590" s="25">
        <v>0</v>
      </c>
      <c r="G3590" s="26">
        <v>1</v>
      </c>
      <c r="H3590" s="10">
        <v>2026</v>
      </c>
    </row>
    <row r="3591" spans="1:8" hidden="1" x14ac:dyDescent="0.3">
      <c r="A3591" s="23" t="s">
        <v>64</v>
      </c>
      <c r="B3591" s="23" t="s">
        <v>186</v>
      </c>
      <c r="C3591" s="22">
        <v>1</v>
      </c>
      <c r="D3591" s="25">
        <v>477646</v>
      </c>
      <c r="E3591" s="25">
        <v>477648</v>
      </c>
      <c r="F3591" s="25">
        <v>2</v>
      </c>
      <c r="G3591" s="26">
        <v>1.0000041872014003</v>
      </c>
      <c r="H3591" s="10">
        <v>2026</v>
      </c>
    </row>
    <row r="3592" spans="1:8" hidden="1" x14ac:dyDescent="0.3">
      <c r="A3592" s="24" t="s">
        <v>64</v>
      </c>
      <c r="B3592" s="24" t="s">
        <v>186</v>
      </c>
      <c r="C3592" s="22">
        <v>2</v>
      </c>
      <c r="D3592" s="25">
        <v>2489500</v>
      </c>
      <c r="E3592" s="25">
        <v>1686000</v>
      </c>
      <c r="F3592" s="25">
        <v>-803500</v>
      </c>
      <c r="G3592" s="26">
        <v>0.67724442659168516</v>
      </c>
      <c r="H3592" s="10">
        <v>2026</v>
      </c>
    </row>
    <row r="3593" spans="1:8" hidden="1" x14ac:dyDescent="0.3">
      <c r="A3593" s="24" t="s">
        <v>64</v>
      </c>
      <c r="B3593" s="24" t="s">
        <v>186</v>
      </c>
      <c r="C3593" s="22">
        <v>3</v>
      </c>
      <c r="D3593" s="25">
        <v>532258</v>
      </c>
      <c r="E3593" s="25">
        <v>571678</v>
      </c>
      <c r="F3593" s="25">
        <v>39420</v>
      </c>
      <c r="G3593" s="26">
        <v>1.0740618271590094</v>
      </c>
      <c r="H3593" s="10">
        <v>2026</v>
      </c>
    </row>
    <row r="3594" spans="1:8" hidden="1" x14ac:dyDescent="0.3">
      <c r="A3594" s="24" t="s">
        <v>64</v>
      </c>
      <c r="B3594" s="24" t="s">
        <v>186</v>
      </c>
      <c r="C3594" s="22">
        <v>4</v>
      </c>
      <c r="D3594" s="25">
        <v>860956</v>
      </c>
      <c r="E3594" s="25">
        <v>842415</v>
      </c>
      <c r="F3594" s="25">
        <v>-18541</v>
      </c>
      <c r="G3594" s="26">
        <v>0.97846463698493302</v>
      </c>
      <c r="H3594" s="10">
        <v>2026</v>
      </c>
    </row>
    <row r="3595" spans="1:8" hidden="1" x14ac:dyDescent="0.3">
      <c r="A3595" s="23" t="s">
        <v>67</v>
      </c>
      <c r="B3595" s="23" t="s">
        <v>186</v>
      </c>
      <c r="C3595" s="22">
        <v>1</v>
      </c>
      <c r="D3595" s="25">
        <v>1537500</v>
      </c>
      <c r="E3595" s="25">
        <v>1537559</v>
      </c>
      <c r="F3595" s="25">
        <v>59</v>
      </c>
      <c r="G3595" s="26">
        <v>1.00003837398374</v>
      </c>
      <c r="H3595" s="10">
        <v>2026</v>
      </c>
    </row>
    <row r="3596" spans="1:8" hidden="1" x14ac:dyDescent="0.3">
      <c r="A3596" s="24" t="s">
        <v>67</v>
      </c>
      <c r="B3596" s="24" t="s">
        <v>186</v>
      </c>
      <c r="C3596" s="22">
        <v>2</v>
      </c>
      <c r="D3596" s="25">
        <v>5636000</v>
      </c>
      <c r="E3596" s="25">
        <v>5636000</v>
      </c>
      <c r="F3596" s="25">
        <v>0</v>
      </c>
      <c r="G3596" s="26">
        <v>1</v>
      </c>
      <c r="H3596" s="10">
        <v>2026</v>
      </c>
    </row>
    <row r="3597" spans="1:8" hidden="1" x14ac:dyDescent="0.3">
      <c r="A3597" s="24" t="s">
        <v>67</v>
      </c>
      <c r="B3597" s="24" t="s">
        <v>186</v>
      </c>
      <c r="C3597" s="22">
        <v>3</v>
      </c>
      <c r="D3597" s="25">
        <v>1779747</v>
      </c>
      <c r="E3597" s="25">
        <v>1779747</v>
      </c>
      <c r="F3597" s="25">
        <v>0</v>
      </c>
      <c r="G3597" s="26">
        <v>1</v>
      </c>
      <c r="H3597" s="10">
        <v>2026</v>
      </c>
    </row>
    <row r="3598" spans="1:8" hidden="1" x14ac:dyDescent="0.3">
      <c r="A3598" s="24" t="s">
        <v>67</v>
      </c>
      <c r="B3598" s="24" t="s">
        <v>186</v>
      </c>
      <c r="C3598" s="22">
        <v>4</v>
      </c>
      <c r="D3598" s="25">
        <v>1658624</v>
      </c>
      <c r="E3598" s="25">
        <v>2145572</v>
      </c>
      <c r="F3598" s="25">
        <v>486948</v>
      </c>
      <c r="G3598" s="26">
        <v>1.2935855263157896</v>
      </c>
      <c r="H3598" s="10">
        <v>2026</v>
      </c>
    </row>
    <row r="3599" spans="1:8" x14ac:dyDescent="0.3">
      <c r="A3599" s="23" t="s">
        <v>75</v>
      </c>
      <c r="B3599" s="23" t="s">
        <v>186</v>
      </c>
      <c r="C3599" s="22">
        <v>1</v>
      </c>
      <c r="D3599" s="25">
        <v>1806754</v>
      </c>
      <c r="E3599" s="25">
        <v>1865718</v>
      </c>
      <c r="F3599" s="25">
        <v>58964</v>
      </c>
      <c r="G3599" s="26">
        <v>1.0326353227943594</v>
      </c>
      <c r="H3599" s="10">
        <v>2026</v>
      </c>
    </row>
    <row r="3600" spans="1:8" x14ac:dyDescent="0.3">
      <c r="A3600" s="23" t="s">
        <v>75</v>
      </c>
      <c r="B3600" s="24" t="s">
        <v>186</v>
      </c>
      <c r="C3600" s="22">
        <v>2</v>
      </c>
      <c r="D3600" s="25">
        <v>6623000</v>
      </c>
      <c r="E3600" s="25">
        <v>6179160</v>
      </c>
      <c r="F3600" s="25">
        <v>-443840</v>
      </c>
      <c r="G3600" s="26">
        <v>0.93298505209119742</v>
      </c>
      <c r="H3600" s="10">
        <v>2026</v>
      </c>
    </row>
    <row r="3601" spans="1:8" x14ac:dyDescent="0.3">
      <c r="A3601" s="23" t="s">
        <v>75</v>
      </c>
      <c r="B3601" s="24" t="s">
        <v>186</v>
      </c>
      <c r="C3601" s="22">
        <v>3</v>
      </c>
      <c r="D3601" s="25">
        <v>2236482</v>
      </c>
      <c r="E3601" s="25">
        <v>2425273</v>
      </c>
      <c r="F3601" s="25">
        <v>188791</v>
      </c>
      <c r="G3601" s="26">
        <v>1.0844142720576335</v>
      </c>
      <c r="H3601" s="10">
        <v>2026</v>
      </c>
    </row>
    <row r="3602" spans="1:8" x14ac:dyDescent="0.3">
      <c r="A3602" s="23" t="s">
        <v>75</v>
      </c>
      <c r="B3602" s="24" t="s">
        <v>186</v>
      </c>
      <c r="C3602" s="22">
        <v>4</v>
      </c>
      <c r="D3602" s="25">
        <v>1817802</v>
      </c>
      <c r="E3602" s="25">
        <v>1644753</v>
      </c>
      <c r="F3602" s="25">
        <v>-173049</v>
      </c>
      <c r="G3602" s="26">
        <v>0.90480316338083033</v>
      </c>
      <c r="H3602" s="10">
        <v>2026</v>
      </c>
    </row>
    <row r="3603" spans="1:8" hidden="1" x14ac:dyDescent="0.3">
      <c r="A3603" s="23" t="s">
        <v>82</v>
      </c>
      <c r="B3603" s="23" t="s">
        <v>187</v>
      </c>
      <c r="C3603" s="22">
        <v>1</v>
      </c>
      <c r="D3603" s="25">
        <v>0</v>
      </c>
      <c r="E3603" s="25">
        <v>0</v>
      </c>
      <c r="F3603" s="25">
        <v>0</v>
      </c>
      <c r="G3603" s="26">
        <v>0</v>
      </c>
      <c r="H3603" s="10">
        <v>2026</v>
      </c>
    </row>
    <row r="3604" spans="1:8" hidden="1" x14ac:dyDescent="0.3">
      <c r="A3604" s="23" t="s">
        <v>82</v>
      </c>
      <c r="B3604" s="24" t="s">
        <v>187</v>
      </c>
      <c r="C3604" s="22">
        <v>2</v>
      </c>
      <c r="D3604" s="25">
        <v>0</v>
      </c>
      <c r="E3604" s="25">
        <v>0</v>
      </c>
      <c r="F3604" s="25">
        <v>0</v>
      </c>
      <c r="G3604" s="26">
        <v>0</v>
      </c>
      <c r="H3604" s="10">
        <v>2026</v>
      </c>
    </row>
    <row r="3605" spans="1:8" hidden="1" x14ac:dyDescent="0.3">
      <c r="A3605" s="23" t="s">
        <v>82</v>
      </c>
      <c r="B3605" s="24" t="s">
        <v>187</v>
      </c>
      <c r="C3605" s="22">
        <v>3</v>
      </c>
      <c r="D3605" s="25">
        <v>106293</v>
      </c>
      <c r="E3605" s="25">
        <v>106293</v>
      </c>
      <c r="F3605" s="25">
        <v>0</v>
      </c>
      <c r="G3605" s="26">
        <v>1</v>
      </c>
      <c r="H3605" s="10">
        <v>2026</v>
      </c>
    </row>
    <row r="3606" spans="1:8" hidden="1" x14ac:dyDescent="0.3">
      <c r="A3606" s="23" t="s">
        <v>82</v>
      </c>
      <c r="B3606" s="24" t="s">
        <v>187</v>
      </c>
      <c r="C3606" s="22">
        <v>4</v>
      </c>
      <c r="D3606" s="25">
        <v>101331</v>
      </c>
      <c r="E3606" s="25">
        <v>101331</v>
      </c>
      <c r="F3606" s="25">
        <v>0</v>
      </c>
      <c r="G3606" s="26">
        <v>1</v>
      </c>
      <c r="H3606" s="10">
        <v>2026</v>
      </c>
    </row>
    <row r="3607" spans="1:8" hidden="1" x14ac:dyDescent="0.3">
      <c r="A3607" s="23" t="s">
        <v>77</v>
      </c>
      <c r="B3607" s="23" t="s">
        <v>187</v>
      </c>
      <c r="C3607" s="22">
        <v>1</v>
      </c>
      <c r="D3607" s="25">
        <v>308163</v>
      </c>
      <c r="E3607" s="25">
        <v>273976</v>
      </c>
      <c r="F3607" s="25">
        <v>-34187</v>
      </c>
      <c r="G3607" s="26">
        <v>0.88906195747055949</v>
      </c>
      <c r="H3607" s="10">
        <v>2026</v>
      </c>
    </row>
    <row r="3608" spans="1:8" hidden="1" x14ac:dyDescent="0.3">
      <c r="A3608" s="23" t="s">
        <v>77</v>
      </c>
      <c r="B3608" s="24" t="s">
        <v>187</v>
      </c>
      <c r="C3608" s="22">
        <v>2</v>
      </c>
      <c r="D3608" s="25">
        <v>308163</v>
      </c>
      <c r="E3608" s="25">
        <v>322702</v>
      </c>
      <c r="F3608" s="25">
        <v>14539</v>
      </c>
      <c r="G3608" s="26">
        <v>1.04717957704202</v>
      </c>
      <c r="H3608" s="10">
        <v>2026</v>
      </c>
    </row>
    <row r="3609" spans="1:8" hidden="1" x14ac:dyDescent="0.3">
      <c r="A3609" s="23" t="s">
        <v>77</v>
      </c>
      <c r="B3609" s="24" t="s">
        <v>187</v>
      </c>
      <c r="C3609" s="22">
        <v>3</v>
      </c>
      <c r="D3609" s="25">
        <v>303669</v>
      </c>
      <c r="E3609" s="25">
        <v>303670</v>
      </c>
      <c r="F3609" s="25">
        <v>1</v>
      </c>
      <c r="G3609" s="26">
        <v>1.0000032930592191</v>
      </c>
      <c r="H3609" s="10">
        <v>2026</v>
      </c>
    </row>
    <row r="3610" spans="1:8" hidden="1" x14ac:dyDescent="0.3">
      <c r="A3610" s="23" t="s">
        <v>77</v>
      </c>
      <c r="B3610" s="24" t="s">
        <v>187</v>
      </c>
      <c r="C3610" s="22">
        <v>4</v>
      </c>
      <c r="D3610" s="25">
        <v>272488</v>
      </c>
      <c r="E3610" s="25">
        <v>272489</v>
      </c>
      <c r="F3610" s="25">
        <v>1</v>
      </c>
      <c r="G3610" s="26">
        <v>1.0000036698863803</v>
      </c>
      <c r="H3610" s="10">
        <v>2026</v>
      </c>
    </row>
    <row r="3611" spans="1:8" hidden="1" x14ac:dyDescent="0.3">
      <c r="A3611" s="23" t="s">
        <v>253</v>
      </c>
      <c r="B3611" s="23" t="s">
        <v>187</v>
      </c>
      <c r="C3611" s="22">
        <v>1</v>
      </c>
      <c r="D3611" s="25">
        <v>869153</v>
      </c>
      <c r="E3611" s="25">
        <v>916638</v>
      </c>
      <c r="F3611" s="25">
        <v>47485</v>
      </c>
      <c r="G3611" s="26">
        <v>1.054633649081347</v>
      </c>
      <c r="H3611" s="10">
        <v>2026</v>
      </c>
    </row>
    <row r="3612" spans="1:8" hidden="1" x14ac:dyDescent="0.3">
      <c r="A3612" s="23" t="s">
        <v>253</v>
      </c>
      <c r="B3612" s="24" t="s">
        <v>187</v>
      </c>
      <c r="C3612" s="22">
        <v>2</v>
      </c>
      <c r="D3612" s="25">
        <v>869153</v>
      </c>
      <c r="E3612" s="25">
        <v>862725</v>
      </c>
      <c r="F3612" s="25">
        <v>-6428</v>
      </c>
      <c r="G3612" s="26">
        <v>0.9926042940656018</v>
      </c>
      <c r="H3612" s="10">
        <v>2026</v>
      </c>
    </row>
    <row r="3613" spans="1:8" hidden="1" x14ac:dyDescent="0.3">
      <c r="A3613" s="23" t="s">
        <v>253</v>
      </c>
      <c r="B3613" s="24" t="s">
        <v>187</v>
      </c>
      <c r="C3613" s="22">
        <v>3</v>
      </c>
      <c r="D3613" s="25">
        <v>1008597</v>
      </c>
      <c r="E3613" s="25">
        <v>1009313</v>
      </c>
      <c r="F3613" s="25">
        <v>716</v>
      </c>
      <c r="G3613" s="26">
        <v>1.000709897015359</v>
      </c>
      <c r="H3613" s="10">
        <v>2026</v>
      </c>
    </row>
    <row r="3614" spans="1:8" hidden="1" x14ac:dyDescent="0.3">
      <c r="A3614" s="23" t="s">
        <v>253</v>
      </c>
      <c r="B3614" s="24" t="s">
        <v>187</v>
      </c>
      <c r="C3614" s="22">
        <v>4</v>
      </c>
      <c r="D3614" s="25">
        <v>938875</v>
      </c>
      <c r="E3614" s="25">
        <v>961019</v>
      </c>
      <c r="F3614" s="25">
        <v>22144</v>
      </c>
      <c r="G3614" s="26">
        <v>1.023585674344295</v>
      </c>
      <c r="H3614" s="10">
        <v>2026</v>
      </c>
    </row>
    <row r="3615" spans="1:8" hidden="1" x14ac:dyDescent="0.3">
      <c r="A3615" s="23" t="s">
        <v>103</v>
      </c>
      <c r="B3615" s="23" t="s">
        <v>187</v>
      </c>
      <c r="C3615" s="22">
        <v>1</v>
      </c>
      <c r="D3615" s="25">
        <v>630712</v>
      </c>
      <c r="E3615" s="25">
        <v>630967</v>
      </c>
      <c r="F3615" s="25">
        <v>255</v>
      </c>
      <c r="G3615" s="26">
        <v>1.0004043049759637</v>
      </c>
      <c r="H3615" s="10">
        <v>2026</v>
      </c>
    </row>
    <row r="3616" spans="1:8" hidden="1" x14ac:dyDescent="0.3">
      <c r="A3616" s="24" t="s">
        <v>103</v>
      </c>
      <c r="B3616" s="24" t="s">
        <v>187</v>
      </c>
      <c r="C3616" s="22">
        <v>2</v>
      </c>
      <c r="D3616" s="25">
        <v>630712</v>
      </c>
      <c r="E3616" s="25">
        <v>652330</v>
      </c>
      <c r="F3616" s="25">
        <v>21618</v>
      </c>
      <c r="G3616" s="26">
        <v>1.0342755489034616</v>
      </c>
      <c r="H3616" s="10">
        <v>2026</v>
      </c>
    </row>
    <row r="3617" spans="1:8" hidden="1" x14ac:dyDescent="0.3">
      <c r="A3617" s="24" t="s">
        <v>103</v>
      </c>
      <c r="B3617" s="24" t="s">
        <v>187</v>
      </c>
      <c r="C3617" s="22">
        <v>3</v>
      </c>
      <c r="D3617" s="25">
        <v>731626</v>
      </c>
      <c r="E3617" s="25">
        <v>708921</v>
      </c>
      <c r="F3617" s="25">
        <v>-22705</v>
      </c>
      <c r="G3617" s="26">
        <v>0.96896638446419348</v>
      </c>
      <c r="H3617" s="10">
        <v>2026</v>
      </c>
    </row>
    <row r="3618" spans="1:8" hidden="1" x14ac:dyDescent="0.3">
      <c r="A3618" s="24" t="s">
        <v>103</v>
      </c>
      <c r="B3618" s="24" t="s">
        <v>187</v>
      </c>
      <c r="C3618" s="22">
        <v>4</v>
      </c>
      <c r="D3618" s="25">
        <v>681169</v>
      </c>
      <c r="E3618" s="25">
        <v>681170</v>
      </c>
      <c r="F3618" s="25">
        <v>1</v>
      </c>
      <c r="G3618" s="26">
        <v>1.0000014680644598</v>
      </c>
      <c r="H3618" s="10">
        <v>2026</v>
      </c>
    </row>
    <row r="3619" spans="1:8" hidden="1" x14ac:dyDescent="0.3">
      <c r="A3619" s="23" t="s">
        <v>79</v>
      </c>
      <c r="B3619" s="23" t="s">
        <v>187</v>
      </c>
      <c r="C3619" s="22">
        <v>1</v>
      </c>
      <c r="D3619" s="25">
        <v>414276</v>
      </c>
      <c r="E3619" s="25">
        <v>418861</v>
      </c>
      <c r="F3619" s="25">
        <v>4585</v>
      </c>
      <c r="G3619" s="26">
        <v>1.0110675008931245</v>
      </c>
      <c r="H3619" s="10">
        <v>2026</v>
      </c>
    </row>
    <row r="3620" spans="1:8" hidden="1" x14ac:dyDescent="0.3">
      <c r="A3620" s="23" t="s">
        <v>79</v>
      </c>
      <c r="B3620" s="24" t="s">
        <v>187</v>
      </c>
      <c r="C3620" s="22">
        <v>2</v>
      </c>
      <c r="D3620" s="25">
        <v>414276</v>
      </c>
      <c r="E3620" s="25">
        <v>409899</v>
      </c>
      <c r="F3620" s="25">
        <v>-4377</v>
      </c>
      <c r="G3620" s="26">
        <v>0.98943457984532057</v>
      </c>
      <c r="H3620" s="10">
        <v>2026</v>
      </c>
    </row>
    <row r="3621" spans="1:8" hidden="1" x14ac:dyDescent="0.3">
      <c r="A3621" s="23" t="s">
        <v>79</v>
      </c>
      <c r="B3621" s="24" t="s">
        <v>187</v>
      </c>
      <c r="C3621" s="22">
        <v>3</v>
      </c>
      <c r="D3621" s="25">
        <v>603607</v>
      </c>
      <c r="E3621" s="25">
        <v>603608</v>
      </c>
      <c r="F3621" s="25">
        <v>1</v>
      </c>
      <c r="G3621" s="26">
        <v>1.000001656707096</v>
      </c>
      <c r="H3621" s="10">
        <v>2026</v>
      </c>
    </row>
    <row r="3622" spans="1:8" hidden="1" x14ac:dyDescent="0.3">
      <c r="A3622" s="23" t="s">
        <v>79</v>
      </c>
      <c r="B3622" s="24" t="s">
        <v>187</v>
      </c>
      <c r="C3622" s="22">
        <v>4</v>
      </c>
      <c r="D3622" s="25">
        <v>514578</v>
      </c>
      <c r="E3622" s="25">
        <v>514578</v>
      </c>
      <c r="F3622" s="25">
        <v>0</v>
      </c>
      <c r="G3622" s="26">
        <v>1</v>
      </c>
      <c r="H3622" s="10">
        <v>2026</v>
      </c>
    </row>
    <row r="3623" spans="1:8" hidden="1" x14ac:dyDescent="0.3">
      <c r="A3623" s="23" t="s">
        <v>64</v>
      </c>
      <c r="B3623" s="23" t="s">
        <v>187</v>
      </c>
      <c r="C3623" s="22">
        <v>1</v>
      </c>
      <c r="D3623" s="25">
        <v>146025</v>
      </c>
      <c r="E3623" s="25">
        <v>146026</v>
      </c>
      <c r="F3623" s="25">
        <v>1</v>
      </c>
      <c r="G3623" s="26">
        <v>1.0000068481424413</v>
      </c>
      <c r="H3623" s="10">
        <v>2026</v>
      </c>
    </row>
    <row r="3624" spans="1:8" hidden="1" x14ac:dyDescent="0.3">
      <c r="A3624" s="24" t="s">
        <v>64</v>
      </c>
      <c r="B3624" s="24" t="s">
        <v>187</v>
      </c>
      <c r="C3624" s="22">
        <v>2</v>
      </c>
      <c r="D3624" s="25">
        <v>146025</v>
      </c>
      <c r="E3624" s="25">
        <v>146026</v>
      </c>
      <c r="F3624" s="25">
        <v>1</v>
      </c>
      <c r="G3624" s="26">
        <v>1.0000068481424413</v>
      </c>
      <c r="H3624" s="10">
        <v>2026</v>
      </c>
    </row>
    <row r="3625" spans="1:8" hidden="1" x14ac:dyDescent="0.3">
      <c r="A3625" s="24" t="s">
        <v>64</v>
      </c>
      <c r="B3625" s="24" t="s">
        <v>187</v>
      </c>
      <c r="C3625" s="22">
        <v>3</v>
      </c>
      <c r="D3625" s="25">
        <v>162721</v>
      </c>
      <c r="E3625" s="25">
        <v>174772</v>
      </c>
      <c r="F3625" s="25">
        <v>12051</v>
      </c>
      <c r="G3625" s="26">
        <v>1.0740592793800432</v>
      </c>
      <c r="H3625" s="10">
        <v>2026</v>
      </c>
    </row>
    <row r="3626" spans="1:8" hidden="1" x14ac:dyDescent="0.3">
      <c r="A3626" s="24" t="s">
        <v>64</v>
      </c>
      <c r="B3626" s="24" t="s">
        <v>187</v>
      </c>
      <c r="C3626" s="22">
        <v>4</v>
      </c>
      <c r="D3626" s="25">
        <v>263210</v>
      </c>
      <c r="E3626" s="25">
        <v>257542</v>
      </c>
      <c r="F3626" s="25">
        <v>-5668</v>
      </c>
      <c r="G3626" s="26">
        <v>0.97846586375897582</v>
      </c>
      <c r="H3626" s="10">
        <v>2026</v>
      </c>
    </row>
    <row r="3627" spans="1:8" hidden="1" x14ac:dyDescent="0.3">
      <c r="A3627" s="23" t="s">
        <v>67</v>
      </c>
      <c r="B3627" s="23" t="s">
        <v>187</v>
      </c>
      <c r="C3627" s="22">
        <v>1</v>
      </c>
      <c r="D3627" s="25">
        <v>470042</v>
      </c>
      <c r="E3627" s="25">
        <v>470062</v>
      </c>
      <c r="F3627" s="25">
        <v>20</v>
      </c>
      <c r="G3627" s="26">
        <v>1.0000425493892036</v>
      </c>
      <c r="H3627" s="10">
        <v>2026</v>
      </c>
    </row>
    <row r="3628" spans="1:8" hidden="1" x14ac:dyDescent="0.3">
      <c r="A3628" s="24" t="s">
        <v>67</v>
      </c>
      <c r="B3628" s="24" t="s">
        <v>187</v>
      </c>
      <c r="C3628" s="22">
        <v>2</v>
      </c>
      <c r="D3628" s="25">
        <v>470042</v>
      </c>
      <c r="E3628" s="25">
        <v>470043</v>
      </c>
      <c r="F3628" s="25">
        <v>1</v>
      </c>
      <c r="G3628" s="26">
        <v>1.0000021274694602</v>
      </c>
      <c r="H3628" s="10">
        <v>2026</v>
      </c>
    </row>
    <row r="3629" spans="1:8" hidden="1" x14ac:dyDescent="0.3">
      <c r="A3629" s="24" t="s">
        <v>67</v>
      </c>
      <c r="B3629" s="24" t="s">
        <v>187</v>
      </c>
      <c r="C3629" s="22">
        <v>3</v>
      </c>
      <c r="D3629" s="25">
        <v>544101</v>
      </c>
      <c r="E3629" s="25">
        <v>544102</v>
      </c>
      <c r="F3629" s="25">
        <v>1</v>
      </c>
      <c r="G3629" s="26">
        <v>1.0000018378940676</v>
      </c>
      <c r="H3629" s="10">
        <v>2026</v>
      </c>
    </row>
    <row r="3630" spans="1:8" hidden="1" x14ac:dyDescent="0.3">
      <c r="A3630" s="24" t="s">
        <v>67</v>
      </c>
      <c r="B3630" s="24" t="s">
        <v>187</v>
      </c>
      <c r="C3630" s="22">
        <v>4</v>
      </c>
      <c r="D3630" s="25">
        <v>507072</v>
      </c>
      <c r="E3630" s="25">
        <v>655941</v>
      </c>
      <c r="F3630" s="25">
        <v>148869</v>
      </c>
      <c r="G3630" s="26">
        <v>1.2935855263157896</v>
      </c>
      <c r="H3630" s="10">
        <v>2026</v>
      </c>
    </row>
    <row r="3631" spans="1:8" x14ac:dyDescent="0.3">
      <c r="A3631" s="23" t="s">
        <v>75</v>
      </c>
      <c r="B3631" s="23" t="s">
        <v>187</v>
      </c>
      <c r="C3631" s="22">
        <v>1</v>
      </c>
      <c r="D3631" s="25">
        <v>552358</v>
      </c>
      <c r="E3631" s="25">
        <v>570384</v>
      </c>
      <c r="F3631" s="25">
        <v>18026</v>
      </c>
      <c r="G3631" s="26">
        <v>1.0326346318872905</v>
      </c>
      <c r="H3631" s="10">
        <v>2026</v>
      </c>
    </row>
    <row r="3632" spans="1:8" x14ac:dyDescent="0.3">
      <c r="A3632" s="23" t="s">
        <v>75</v>
      </c>
      <c r="B3632" s="24" t="s">
        <v>187</v>
      </c>
      <c r="C3632" s="22">
        <v>2</v>
      </c>
      <c r="D3632" s="25">
        <v>552358</v>
      </c>
      <c r="E3632" s="25">
        <v>549876</v>
      </c>
      <c r="F3632" s="25">
        <v>-2482</v>
      </c>
      <c r="G3632" s="26">
        <v>0.99550653742681372</v>
      </c>
      <c r="H3632" s="10">
        <v>2026</v>
      </c>
    </row>
    <row r="3633" spans="1:8" x14ac:dyDescent="0.3">
      <c r="A3633" s="23" t="s">
        <v>75</v>
      </c>
      <c r="B3633" s="24" t="s">
        <v>187</v>
      </c>
      <c r="C3633" s="22">
        <v>3</v>
      </c>
      <c r="D3633" s="25">
        <v>683734</v>
      </c>
      <c r="E3633" s="25">
        <v>741451</v>
      </c>
      <c r="F3633" s="25">
        <v>57717</v>
      </c>
      <c r="G3633" s="26">
        <v>1.0844144067722243</v>
      </c>
      <c r="H3633" s="10">
        <v>2026</v>
      </c>
    </row>
    <row r="3634" spans="1:8" x14ac:dyDescent="0.3">
      <c r="A3634" s="23" t="s">
        <v>75</v>
      </c>
      <c r="B3634" s="24" t="s">
        <v>187</v>
      </c>
      <c r="C3634" s="22">
        <v>4</v>
      </c>
      <c r="D3634" s="25">
        <v>555735</v>
      </c>
      <c r="E3634" s="25">
        <v>502832</v>
      </c>
      <c r="F3634" s="25">
        <v>-52903</v>
      </c>
      <c r="G3634" s="26">
        <v>0.90480534787263722</v>
      </c>
      <c r="H3634" s="10">
        <v>2026</v>
      </c>
    </row>
    <row r="3635" spans="1:8" hidden="1" x14ac:dyDescent="0.3">
      <c r="A3635" s="23" t="s">
        <v>82</v>
      </c>
      <c r="B3635" s="23" t="s">
        <v>188</v>
      </c>
      <c r="C3635" s="22">
        <v>1</v>
      </c>
      <c r="D3635" s="25">
        <v>0</v>
      </c>
      <c r="E3635" s="25">
        <v>0</v>
      </c>
      <c r="F3635" s="25">
        <v>0</v>
      </c>
      <c r="G3635" s="26">
        <v>0</v>
      </c>
      <c r="H3635" s="10">
        <v>2026</v>
      </c>
    </row>
    <row r="3636" spans="1:8" hidden="1" x14ac:dyDescent="0.3">
      <c r="A3636" s="23" t="s">
        <v>82</v>
      </c>
      <c r="B3636" s="24" t="s">
        <v>188</v>
      </c>
      <c r="C3636" s="22">
        <v>2</v>
      </c>
      <c r="D3636" s="25">
        <v>0</v>
      </c>
      <c r="E3636" s="25">
        <v>0</v>
      </c>
      <c r="F3636" s="25">
        <v>0</v>
      </c>
      <c r="G3636" s="26">
        <v>0</v>
      </c>
      <c r="H3636" s="10">
        <v>2026</v>
      </c>
    </row>
    <row r="3637" spans="1:8" hidden="1" x14ac:dyDescent="0.3">
      <c r="A3637" s="23" t="s">
        <v>82</v>
      </c>
      <c r="B3637" s="24" t="s">
        <v>188</v>
      </c>
      <c r="C3637" s="22">
        <v>3</v>
      </c>
      <c r="D3637" s="25">
        <v>0</v>
      </c>
      <c r="E3637" s="25">
        <v>0</v>
      </c>
      <c r="F3637" s="25">
        <v>0</v>
      </c>
      <c r="G3637" s="26">
        <v>0</v>
      </c>
      <c r="H3637" s="10">
        <v>2026</v>
      </c>
    </row>
    <row r="3638" spans="1:8" hidden="1" x14ac:dyDescent="0.3">
      <c r="A3638" s="23" t="s">
        <v>82</v>
      </c>
      <c r="B3638" s="24" t="s">
        <v>188</v>
      </c>
      <c r="C3638" s="22">
        <v>4</v>
      </c>
      <c r="D3638" s="25">
        <v>90000</v>
      </c>
      <c r="E3638" s="25">
        <v>0</v>
      </c>
      <c r="F3638" s="25">
        <v>-90000</v>
      </c>
      <c r="G3638" s="26">
        <v>0</v>
      </c>
      <c r="H3638" s="10">
        <v>2026</v>
      </c>
    </row>
    <row r="3639" spans="1:8" hidden="1" x14ac:dyDescent="0.3">
      <c r="A3639" s="23" t="s">
        <v>77</v>
      </c>
      <c r="B3639" s="23" t="s">
        <v>188</v>
      </c>
      <c r="C3639" s="22">
        <v>1</v>
      </c>
      <c r="D3639" s="25">
        <v>0</v>
      </c>
      <c r="E3639" s="25">
        <v>0</v>
      </c>
      <c r="F3639" s="25">
        <v>0</v>
      </c>
      <c r="G3639" s="26">
        <v>0</v>
      </c>
      <c r="H3639" s="10">
        <v>2026</v>
      </c>
    </row>
    <row r="3640" spans="1:8" hidden="1" x14ac:dyDescent="0.3">
      <c r="A3640" s="23" t="s">
        <v>77</v>
      </c>
      <c r="B3640" s="24" t="s">
        <v>188</v>
      </c>
      <c r="C3640" s="22">
        <v>2</v>
      </c>
      <c r="D3640" s="25">
        <v>0</v>
      </c>
      <c r="E3640" s="25">
        <v>0</v>
      </c>
      <c r="F3640" s="25">
        <v>0</v>
      </c>
      <c r="G3640" s="26">
        <v>0</v>
      </c>
      <c r="H3640" s="10">
        <v>2026</v>
      </c>
    </row>
    <row r="3641" spans="1:8" hidden="1" x14ac:dyDescent="0.3">
      <c r="A3641" s="23" t="s">
        <v>77</v>
      </c>
      <c r="B3641" s="24" t="s">
        <v>188</v>
      </c>
      <c r="C3641" s="22">
        <v>3</v>
      </c>
      <c r="D3641" s="25">
        <v>0</v>
      </c>
      <c r="E3641" s="25">
        <v>127440</v>
      </c>
      <c r="F3641" s="25">
        <v>127440</v>
      </c>
      <c r="G3641" s="26">
        <v>0</v>
      </c>
      <c r="H3641" s="10">
        <v>2026</v>
      </c>
    </row>
    <row r="3642" spans="1:8" hidden="1" x14ac:dyDescent="0.3">
      <c r="A3642" s="23" t="s">
        <v>77</v>
      </c>
      <c r="B3642" s="24" t="s">
        <v>188</v>
      </c>
      <c r="C3642" s="22">
        <v>4</v>
      </c>
      <c r="D3642" s="25">
        <v>794500</v>
      </c>
      <c r="E3642" s="25">
        <v>469500</v>
      </c>
      <c r="F3642" s="25">
        <v>-325000</v>
      </c>
      <c r="G3642" s="26">
        <v>0.59093769666456897</v>
      </c>
      <c r="H3642" s="10">
        <v>2026</v>
      </c>
    </row>
    <row r="3643" spans="1:8" hidden="1" x14ac:dyDescent="0.3">
      <c r="A3643" s="23" t="s">
        <v>253</v>
      </c>
      <c r="B3643" s="23" t="s">
        <v>188</v>
      </c>
      <c r="C3643" s="22">
        <v>1</v>
      </c>
      <c r="D3643" s="25">
        <v>0</v>
      </c>
      <c r="E3643" s="25">
        <v>0</v>
      </c>
      <c r="F3643" s="25">
        <v>0</v>
      </c>
      <c r="G3643" s="26">
        <v>0</v>
      </c>
      <c r="H3643" s="10">
        <v>2026</v>
      </c>
    </row>
    <row r="3644" spans="1:8" hidden="1" x14ac:dyDescent="0.3">
      <c r="A3644" s="23" t="s">
        <v>253</v>
      </c>
      <c r="B3644" s="24" t="s">
        <v>188</v>
      </c>
      <c r="C3644" s="22">
        <v>2</v>
      </c>
      <c r="D3644" s="25">
        <v>0</v>
      </c>
      <c r="E3644" s="25">
        <v>0</v>
      </c>
      <c r="F3644" s="25">
        <v>0</v>
      </c>
      <c r="G3644" s="26">
        <v>0</v>
      </c>
      <c r="H3644" s="10">
        <v>2026</v>
      </c>
    </row>
    <row r="3645" spans="1:8" hidden="1" x14ac:dyDescent="0.3">
      <c r="A3645" s="23" t="s">
        <v>253</v>
      </c>
      <c r="B3645" s="24" t="s">
        <v>188</v>
      </c>
      <c r="C3645" s="22">
        <v>3</v>
      </c>
      <c r="D3645" s="25">
        <v>0</v>
      </c>
      <c r="E3645" s="25">
        <v>0</v>
      </c>
      <c r="F3645" s="25">
        <v>0</v>
      </c>
      <c r="G3645" s="26">
        <v>0</v>
      </c>
      <c r="H3645" s="10">
        <v>2026</v>
      </c>
    </row>
    <row r="3646" spans="1:8" hidden="1" x14ac:dyDescent="0.3">
      <c r="A3646" s="23" t="s">
        <v>253</v>
      </c>
      <c r="B3646" s="24" t="s">
        <v>188</v>
      </c>
      <c r="C3646" s="22">
        <v>4</v>
      </c>
      <c r="D3646" s="25">
        <v>953400</v>
      </c>
      <c r="E3646" s="25">
        <v>887300</v>
      </c>
      <c r="F3646" s="25">
        <v>-66100</v>
      </c>
      <c r="G3646" s="26">
        <v>0.93066918397314879</v>
      </c>
      <c r="H3646" s="10">
        <v>2026</v>
      </c>
    </row>
    <row r="3647" spans="1:8" hidden="1" x14ac:dyDescent="0.3">
      <c r="A3647" s="23" t="s">
        <v>79</v>
      </c>
      <c r="B3647" s="23" t="s">
        <v>188</v>
      </c>
      <c r="C3647" s="22">
        <v>1</v>
      </c>
      <c r="D3647" s="25">
        <v>0</v>
      </c>
      <c r="E3647" s="25">
        <v>0</v>
      </c>
      <c r="F3647" s="25">
        <v>0</v>
      </c>
      <c r="G3647" s="26">
        <v>0</v>
      </c>
      <c r="H3647" s="10">
        <v>2026</v>
      </c>
    </row>
    <row r="3648" spans="1:8" hidden="1" x14ac:dyDescent="0.3">
      <c r="A3648" s="23" t="s">
        <v>79</v>
      </c>
      <c r="B3648" s="24" t="s">
        <v>188</v>
      </c>
      <c r="C3648" s="22">
        <v>2</v>
      </c>
      <c r="D3648" s="25">
        <v>0</v>
      </c>
      <c r="E3648" s="25">
        <v>0</v>
      </c>
      <c r="F3648" s="25">
        <v>0</v>
      </c>
      <c r="G3648" s="26">
        <v>0</v>
      </c>
      <c r="H3648" s="10">
        <v>2026</v>
      </c>
    </row>
    <row r="3649" spans="1:8" hidden="1" x14ac:dyDescent="0.3">
      <c r="A3649" s="23" t="s">
        <v>79</v>
      </c>
      <c r="B3649" s="24" t="s">
        <v>188</v>
      </c>
      <c r="C3649" s="22">
        <v>3</v>
      </c>
      <c r="D3649" s="25">
        <v>0</v>
      </c>
      <c r="E3649" s="25">
        <v>127440</v>
      </c>
      <c r="F3649" s="25">
        <v>127440</v>
      </c>
      <c r="G3649" s="26">
        <v>0</v>
      </c>
      <c r="H3649" s="10">
        <v>2026</v>
      </c>
    </row>
    <row r="3650" spans="1:8" hidden="1" x14ac:dyDescent="0.3">
      <c r="A3650" s="23" t="s">
        <v>79</v>
      </c>
      <c r="B3650" s="24" t="s">
        <v>188</v>
      </c>
      <c r="C3650" s="22">
        <v>4</v>
      </c>
      <c r="D3650" s="25">
        <v>0</v>
      </c>
      <c r="E3650" s="25">
        <v>1729000</v>
      </c>
      <c r="F3650" s="25">
        <v>1729000</v>
      </c>
      <c r="G3650" s="26">
        <v>0</v>
      </c>
      <c r="H3650" s="10">
        <v>2026</v>
      </c>
    </row>
    <row r="3651" spans="1:8" hidden="1" x14ac:dyDescent="0.3">
      <c r="A3651" s="23" t="s">
        <v>64</v>
      </c>
      <c r="B3651" s="23" t="s">
        <v>188</v>
      </c>
      <c r="C3651" s="22">
        <v>1</v>
      </c>
      <c r="D3651" s="25">
        <v>0</v>
      </c>
      <c r="E3651" s="25">
        <v>0</v>
      </c>
      <c r="F3651" s="25">
        <v>0</v>
      </c>
      <c r="G3651" s="26">
        <v>0</v>
      </c>
      <c r="H3651" s="10">
        <v>2026</v>
      </c>
    </row>
    <row r="3652" spans="1:8" hidden="1" x14ac:dyDescent="0.3">
      <c r="A3652" s="24" t="s">
        <v>64</v>
      </c>
      <c r="B3652" s="24" t="s">
        <v>188</v>
      </c>
      <c r="C3652" s="22">
        <v>2</v>
      </c>
      <c r="D3652" s="25">
        <v>0</v>
      </c>
      <c r="E3652" s="25">
        <v>0</v>
      </c>
      <c r="F3652" s="25">
        <v>0</v>
      </c>
      <c r="G3652" s="26">
        <v>0</v>
      </c>
      <c r="H3652" s="10">
        <v>2026</v>
      </c>
    </row>
    <row r="3653" spans="1:8" hidden="1" x14ac:dyDescent="0.3">
      <c r="A3653" s="24" t="s">
        <v>64</v>
      </c>
      <c r="B3653" s="24" t="s">
        <v>188</v>
      </c>
      <c r="C3653" s="22">
        <v>3</v>
      </c>
      <c r="D3653" s="25">
        <v>0</v>
      </c>
      <c r="E3653" s="25">
        <v>0</v>
      </c>
      <c r="F3653" s="25">
        <v>0</v>
      </c>
      <c r="G3653" s="26">
        <v>0</v>
      </c>
      <c r="H3653" s="10">
        <v>2026</v>
      </c>
    </row>
    <row r="3654" spans="1:8" hidden="1" x14ac:dyDescent="0.3">
      <c r="A3654" s="24" t="s">
        <v>64</v>
      </c>
      <c r="B3654" s="24" t="s">
        <v>188</v>
      </c>
      <c r="C3654" s="22">
        <v>4</v>
      </c>
      <c r="D3654" s="25">
        <v>317800</v>
      </c>
      <c r="E3654" s="25">
        <v>281000</v>
      </c>
      <c r="F3654" s="25">
        <v>-36800</v>
      </c>
      <c r="G3654" s="26">
        <v>0.88420390182504727</v>
      </c>
      <c r="H3654" s="10">
        <v>2026</v>
      </c>
    </row>
    <row r="3655" spans="1:8" hidden="1" x14ac:dyDescent="0.3">
      <c r="A3655" s="23" t="s">
        <v>67</v>
      </c>
      <c r="B3655" s="23" t="s">
        <v>188</v>
      </c>
      <c r="C3655" s="22">
        <v>1</v>
      </c>
      <c r="D3655" s="25">
        <v>0</v>
      </c>
      <c r="E3655" s="25">
        <v>0</v>
      </c>
      <c r="F3655" s="25">
        <v>0</v>
      </c>
      <c r="G3655" s="26">
        <v>0</v>
      </c>
      <c r="H3655" s="10">
        <v>2026</v>
      </c>
    </row>
    <row r="3656" spans="1:8" hidden="1" x14ac:dyDescent="0.3">
      <c r="A3656" s="24" t="s">
        <v>67</v>
      </c>
      <c r="B3656" s="24" t="s">
        <v>188</v>
      </c>
      <c r="C3656" s="22">
        <v>2</v>
      </c>
      <c r="D3656" s="25">
        <v>0</v>
      </c>
      <c r="E3656" s="25">
        <v>0</v>
      </c>
      <c r="F3656" s="25">
        <v>0</v>
      </c>
      <c r="G3656" s="26">
        <v>0</v>
      </c>
      <c r="H3656" s="10">
        <v>2026</v>
      </c>
    </row>
    <row r="3657" spans="1:8" hidden="1" x14ac:dyDescent="0.3">
      <c r="A3657" s="24" t="s">
        <v>67</v>
      </c>
      <c r="B3657" s="24" t="s">
        <v>188</v>
      </c>
      <c r="C3657" s="22">
        <v>3</v>
      </c>
      <c r="D3657" s="25">
        <v>0</v>
      </c>
      <c r="E3657" s="25">
        <v>339840</v>
      </c>
      <c r="F3657" s="25">
        <v>339840</v>
      </c>
      <c r="G3657" s="26">
        <v>0</v>
      </c>
      <c r="H3657" s="10">
        <v>2026</v>
      </c>
    </row>
    <row r="3658" spans="1:8" hidden="1" x14ac:dyDescent="0.3">
      <c r="A3658" s="24" t="s">
        <v>67</v>
      </c>
      <c r="B3658" s="24" t="s">
        <v>188</v>
      </c>
      <c r="C3658" s="22">
        <v>4</v>
      </c>
      <c r="D3658" s="25">
        <v>1430100</v>
      </c>
      <c r="E3658" s="25">
        <v>1404500</v>
      </c>
      <c r="F3658" s="25">
        <v>-25600</v>
      </c>
      <c r="G3658" s="26">
        <v>0.98209915390532132</v>
      </c>
      <c r="H3658" s="10">
        <v>2026</v>
      </c>
    </row>
    <row r="3659" spans="1:8" x14ac:dyDescent="0.3">
      <c r="A3659" s="23" t="s">
        <v>75</v>
      </c>
      <c r="B3659" s="23" t="s">
        <v>188</v>
      </c>
      <c r="C3659" s="22">
        <v>1</v>
      </c>
      <c r="D3659" s="25">
        <v>0</v>
      </c>
      <c r="E3659" s="25">
        <v>84034</v>
      </c>
      <c r="F3659" s="25">
        <v>84034</v>
      </c>
      <c r="G3659" s="26">
        <v>0</v>
      </c>
      <c r="H3659" s="10">
        <v>2026</v>
      </c>
    </row>
    <row r="3660" spans="1:8" x14ac:dyDescent="0.3">
      <c r="A3660" s="23" t="s">
        <v>75</v>
      </c>
      <c r="B3660" s="24" t="s">
        <v>188</v>
      </c>
      <c r="C3660" s="22">
        <v>2</v>
      </c>
      <c r="D3660" s="25">
        <v>0</v>
      </c>
      <c r="E3660" s="25">
        <v>0</v>
      </c>
      <c r="F3660" s="25">
        <v>0</v>
      </c>
      <c r="G3660" s="26">
        <v>0</v>
      </c>
      <c r="H3660" s="10">
        <v>2026</v>
      </c>
    </row>
    <row r="3661" spans="1:8" x14ac:dyDescent="0.3">
      <c r="A3661" s="23" t="s">
        <v>75</v>
      </c>
      <c r="B3661" s="24" t="s">
        <v>188</v>
      </c>
      <c r="C3661" s="22">
        <v>3</v>
      </c>
      <c r="D3661" s="25">
        <v>0</v>
      </c>
      <c r="E3661" s="25">
        <v>254880</v>
      </c>
      <c r="F3661" s="25">
        <v>254880</v>
      </c>
      <c r="G3661" s="26">
        <v>0</v>
      </c>
      <c r="H3661" s="10">
        <v>2026</v>
      </c>
    </row>
    <row r="3662" spans="1:8" x14ac:dyDescent="0.3">
      <c r="A3662" s="23" t="s">
        <v>75</v>
      </c>
      <c r="B3662" s="24" t="s">
        <v>188</v>
      </c>
      <c r="C3662" s="22">
        <v>4</v>
      </c>
      <c r="D3662" s="25">
        <v>1271200</v>
      </c>
      <c r="E3662" s="25">
        <v>886500</v>
      </c>
      <c r="F3662" s="25">
        <v>-384700</v>
      </c>
      <c r="G3662" s="26">
        <v>0.69737256135934556</v>
      </c>
      <c r="H3662" s="10">
        <v>2026</v>
      </c>
    </row>
    <row r="3663" spans="1:8" hidden="1" x14ac:dyDescent="0.3">
      <c r="A3663" s="23" t="s">
        <v>82</v>
      </c>
      <c r="B3663" s="23" t="s">
        <v>189</v>
      </c>
      <c r="C3663" s="22">
        <v>1</v>
      </c>
      <c r="D3663" s="25">
        <v>34000</v>
      </c>
      <c r="E3663" s="25">
        <v>0</v>
      </c>
      <c r="F3663" s="25">
        <v>-34000</v>
      </c>
      <c r="G3663" s="26">
        <v>0</v>
      </c>
      <c r="H3663" s="10">
        <v>2026</v>
      </c>
    </row>
    <row r="3664" spans="1:8" hidden="1" x14ac:dyDescent="0.3">
      <c r="A3664" s="23" t="s">
        <v>82</v>
      </c>
      <c r="B3664" s="24" t="s">
        <v>189</v>
      </c>
      <c r="C3664" s="22">
        <v>2</v>
      </c>
      <c r="D3664" s="25">
        <v>34000</v>
      </c>
      <c r="E3664" s="25">
        <v>0</v>
      </c>
      <c r="F3664" s="25">
        <v>-34000</v>
      </c>
      <c r="G3664" s="26">
        <v>0</v>
      </c>
      <c r="H3664" s="10">
        <v>2026</v>
      </c>
    </row>
    <row r="3665" spans="1:8" hidden="1" x14ac:dyDescent="0.3">
      <c r="A3665" s="23" t="s">
        <v>82</v>
      </c>
      <c r="B3665" s="24" t="s">
        <v>189</v>
      </c>
      <c r="C3665" s="22">
        <v>3</v>
      </c>
      <c r="D3665" s="25">
        <v>34000</v>
      </c>
      <c r="E3665" s="25">
        <v>0</v>
      </c>
      <c r="F3665" s="25">
        <v>-34000</v>
      </c>
      <c r="G3665" s="26">
        <v>0</v>
      </c>
      <c r="H3665" s="10">
        <v>2026</v>
      </c>
    </row>
    <row r="3666" spans="1:8" hidden="1" x14ac:dyDescent="0.3">
      <c r="A3666" s="23" t="s">
        <v>82</v>
      </c>
      <c r="B3666" s="24" t="s">
        <v>189</v>
      </c>
      <c r="C3666" s="22">
        <v>4</v>
      </c>
      <c r="D3666" s="25">
        <v>34000</v>
      </c>
      <c r="E3666" s="25">
        <v>0</v>
      </c>
      <c r="F3666" s="25">
        <v>-34000</v>
      </c>
      <c r="G3666" s="26">
        <v>0</v>
      </c>
      <c r="H3666" s="10">
        <v>2026</v>
      </c>
    </row>
    <row r="3667" spans="1:8" hidden="1" x14ac:dyDescent="0.3">
      <c r="A3667" s="23" t="s">
        <v>77</v>
      </c>
      <c r="B3667" s="23" t="s">
        <v>189</v>
      </c>
      <c r="C3667" s="22">
        <v>1</v>
      </c>
      <c r="D3667" s="25">
        <v>217500</v>
      </c>
      <c r="E3667" s="25">
        <v>0</v>
      </c>
      <c r="F3667" s="25">
        <v>-217500</v>
      </c>
      <c r="G3667" s="26">
        <v>0</v>
      </c>
      <c r="H3667" s="10">
        <v>2026</v>
      </c>
    </row>
    <row r="3668" spans="1:8" hidden="1" x14ac:dyDescent="0.3">
      <c r="A3668" s="23" t="s">
        <v>77</v>
      </c>
      <c r="B3668" s="24" t="s">
        <v>189</v>
      </c>
      <c r="C3668" s="22">
        <v>2</v>
      </c>
      <c r="D3668" s="25">
        <v>217500</v>
      </c>
      <c r="E3668" s="25">
        <v>0</v>
      </c>
      <c r="F3668" s="25">
        <v>-217500</v>
      </c>
      <c r="G3668" s="26">
        <v>0</v>
      </c>
      <c r="H3668" s="10">
        <v>2026</v>
      </c>
    </row>
    <row r="3669" spans="1:8" hidden="1" x14ac:dyDescent="0.3">
      <c r="A3669" s="23" t="s">
        <v>77</v>
      </c>
      <c r="B3669" s="24" t="s">
        <v>189</v>
      </c>
      <c r="C3669" s="22">
        <v>3</v>
      </c>
      <c r="D3669" s="25">
        <v>217500</v>
      </c>
      <c r="E3669" s="25">
        <v>0</v>
      </c>
      <c r="F3669" s="25">
        <v>-217500</v>
      </c>
      <c r="G3669" s="26">
        <v>0</v>
      </c>
      <c r="H3669" s="10">
        <v>2026</v>
      </c>
    </row>
    <row r="3670" spans="1:8" hidden="1" x14ac:dyDescent="0.3">
      <c r="A3670" s="23" t="s">
        <v>77</v>
      </c>
      <c r="B3670" s="24" t="s">
        <v>189</v>
      </c>
      <c r="C3670" s="22">
        <v>4</v>
      </c>
      <c r="D3670" s="25">
        <v>217500</v>
      </c>
      <c r="E3670" s="25">
        <v>0</v>
      </c>
      <c r="F3670" s="25">
        <v>-217500</v>
      </c>
      <c r="G3670" s="26">
        <v>0</v>
      </c>
      <c r="H3670" s="10">
        <v>2026</v>
      </c>
    </row>
    <row r="3671" spans="1:8" hidden="1" x14ac:dyDescent="0.3">
      <c r="A3671" s="23" t="s">
        <v>253</v>
      </c>
      <c r="B3671" s="23" t="s">
        <v>189</v>
      </c>
      <c r="C3671" s="22">
        <v>1</v>
      </c>
      <c r="D3671" s="25">
        <v>79601</v>
      </c>
      <c r="E3671" s="25">
        <v>0</v>
      </c>
      <c r="F3671" s="25">
        <v>-79601</v>
      </c>
      <c r="G3671" s="26">
        <v>0</v>
      </c>
      <c r="H3671" s="10">
        <v>2026</v>
      </c>
    </row>
    <row r="3672" spans="1:8" hidden="1" x14ac:dyDescent="0.3">
      <c r="A3672" s="23" t="s">
        <v>253</v>
      </c>
      <c r="B3672" s="24" t="s">
        <v>189</v>
      </c>
      <c r="C3672" s="22">
        <v>2</v>
      </c>
      <c r="D3672" s="25">
        <v>79601</v>
      </c>
      <c r="E3672" s="25">
        <v>0</v>
      </c>
      <c r="F3672" s="25">
        <v>-79601</v>
      </c>
      <c r="G3672" s="26">
        <v>0</v>
      </c>
      <c r="H3672" s="10">
        <v>2026</v>
      </c>
    </row>
    <row r="3673" spans="1:8" hidden="1" x14ac:dyDescent="0.3">
      <c r="A3673" s="23" t="s">
        <v>253</v>
      </c>
      <c r="B3673" s="24" t="s">
        <v>189</v>
      </c>
      <c r="C3673" s="22">
        <v>3</v>
      </c>
      <c r="D3673" s="25">
        <v>79601</v>
      </c>
      <c r="E3673" s="25">
        <v>0</v>
      </c>
      <c r="F3673" s="25">
        <v>-79601</v>
      </c>
      <c r="G3673" s="26">
        <v>0</v>
      </c>
      <c r="H3673" s="10">
        <v>2026</v>
      </c>
    </row>
    <row r="3674" spans="1:8" hidden="1" x14ac:dyDescent="0.3">
      <c r="A3674" s="23" t="s">
        <v>253</v>
      </c>
      <c r="B3674" s="24" t="s">
        <v>189</v>
      </c>
      <c r="C3674" s="22">
        <v>4</v>
      </c>
      <c r="D3674" s="25">
        <v>79601</v>
      </c>
      <c r="E3674" s="25">
        <v>0</v>
      </c>
      <c r="F3674" s="25">
        <v>-79601</v>
      </c>
      <c r="G3674" s="26">
        <v>0</v>
      </c>
      <c r="H3674" s="10">
        <v>2026</v>
      </c>
    </row>
    <row r="3675" spans="1:8" hidden="1" x14ac:dyDescent="0.3">
      <c r="A3675" s="23" t="s">
        <v>79</v>
      </c>
      <c r="B3675" s="23" t="s">
        <v>189</v>
      </c>
      <c r="C3675" s="22">
        <v>1</v>
      </c>
      <c r="D3675" s="25">
        <v>241666</v>
      </c>
      <c r="E3675" s="25">
        <v>0</v>
      </c>
      <c r="F3675" s="25">
        <v>-241666</v>
      </c>
      <c r="G3675" s="26">
        <v>0</v>
      </c>
      <c r="H3675" s="10">
        <v>2026</v>
      </c>
    </row>
    <row r="3676" spans="1:8" hidden="1" x14ac:dyDescent="0.3">
      <c r="A3676" s="23" t="s">
        <v>79</v>
      </c>
      <c r="B3676" s="24" t="s">
        <v>189</v>
      </c>
      <c r="C3676" s="22">
        <v>2</v>
      </c>
      <c r="D3676" s="25">
        <v>241666</v>
      </c>
      <c r="E3676" s="25">
        <v>0</v>
      </c>
      <c r="F3676" s="25">
        <v>-241666</v>
      </c>
      <c r="G3676" s="26">
        <v>0</v>
      </c>
      <c r="H3676" s="10">
        <v>2026</v>
      </c>
    </row>
    <row r="3677" spans="1:8" hidden="1" x14ac:dyDescent="0.3">
      <c r="A3677" s="23" t="s">
        <v>79</v>
      </c>
      <c r="B3677" s="24" t="s">
        <v>189</v>
      </c>
      <c r="C3677" s="22">
        <v>3</v>
      </c>
      <c r="D3677" s="25">
        <v>241666</v>
      </c>
      <c r="E3677" s="25">
        <v>0</v>
      </c>
      <c r="F3677" s="25">
        <v>-241666</v>
      </c>
      <c r="G3677" s="26">
        <v>0</v>
      </c>
      <c r="H3677" s="10">
        <v>2026</v>
      </c>
    </row>
    <row r="3678" spans="1:8" hidden="1" x14ac:dyDescent="0.3">
      <c r="A3678" s="23" t="s">
        <v>79</v>
      </c>
      <c r="B3678" s="24" t="s">
        <v>189</v>
      </c>
      <c r="C3678" s="22">
        <v>4</v>
      </c>
      <c r="D3678" s="25">
        <v>241666</v>
      </c>
      <c r="E3678" s="25">
        <v>0</v>
      </c>
      <c r="F3678" s="25">
        <v>-241666</v>
      </c>
      <c r="G3678" s="26">
        <v>0</v>
      </c>
      <c r="H3678" s="10">
        <v>2026</v>
      </c>
    </row>
    <row r="3679" spans="1:8" hidden="1" x14ac:dyDescent="0.3">
      <c r="A3679" s="23" t="s">
        <v>64</v>
      </c>
      <c r="B3679" s="23" t="s">
        <v>189</v>
      </c>
      <c r="C3679" s="22">
        <v>1</v>
      </c>
      <c r="D3679" s="25">
        <v>33542</v>
      </c>
      <c r="E3679" s="25">
        <v>0</v>
      </c>
      <c r="F3679" s="25">
        <v>-33542</v>
      </c>
      <c r="G3679" s="26">
        <v>0</v>
      </c>
      <c r="H3679" s="10">
        <v>2026</v>
      </c>
    </row>
    <row r="3680" spans="1:8" hidden="1" x14ac:dyDescent="0.3">
      <c r="A3680" s="24" t="s">
        <v>64</v>
      </c>
      <c r="B3680" s="24" t="s">
        <v>189</v>
      </c>
      <c r="C3680" s="22">
        <v>2</v>
      </c>
      <c r="D3680" s="25">
        <v>33542</v>
      </c>
      <c r="E3680" s="25">
        <v>0</v>
      </c>
      <c r="F3680" s="25">
        <v>-33542</v>
      </c>
      <c r="G3680" s="26">
        <v>0</v>
      </c>
      <c r="H3680" s="10">
        <v>2026</v>
      </c>
    </row>
    <row r="3681" spans="1:8" hidden="1" x14ac:dyDescent="0.3">
      <c r="A3681" s="24" t="s">
        <v>64</v>
      </c>
      <c r="B3681" s="24" t="s">
        <v>189</v>
      </c>
      <c r="C3681" s="22">
        <v>3</v>
      </c>
      <c r="D3681" s="25">
        <v>33542</v>
      </c>
      <c r="E3681" s="25">
        <v>0</v>
      </c>
      <c r="F3681" s="25">
        <v>-33542</v>
      </c>
      <c r="G3681" s="26">
        <v>0</v>
      </c>
      <c r="H3681" s="10">
        <v>2026</v>
      </c>
    </row>
    <row r="3682" spans="1:8" hidden="1" x14ac:dyDescent="0.3">
      <c r="A3682" s="24" t="s">
        <v>64</v>
      </c>
      <c r="B3682" s="24" t="s">
        <v>189</v>
      </c>
      <c r="C3682" s="22">
        <v>4</v>
      </c>
      <c r="D3682" s="25">
        <v>33542</v>
      </c>
      <c r="E3682" s="25">
        <v>0</v>
      </c>
      <c r="F3682" s="25">
        <v>-33542</v>
      </c>
      <c r="G3682" s="26">
        <v>0</v>
      </c>
      <c r="H3682" s="10">
        <v>2026</v>
      </c>
    </row>
    <row r="3683" spans="1:8" hidden="1" x14ac:dyDescent="0.3">
      <c r="A3683" s="23" t="s">
        <v>67</v>
      </c>
      <c r="B3683" s="23" t="s">
        <v>189</v>
      </c>
      <c r="C3683" s="22">
        <v>1</v>
      </c>
      <c r="D3683" s="25">
        <v>580000</v>
      </c>
      <c r="E3683" s="25">
        <v>126148</v>
      </c>
      <c r="F3683" s="25">
        <v>-453852</v>
      </c>
      <c r="G3683" s="26">
        <v>0.21749655172413793</v>
      </c>
      <c r="H3683" s="10">
        <v>2026</v>
      </c>
    </row>
    <row r="3684" spans="1:8" hidden="1" x14ac:dyDescent="0.3">
      <c r="A3684" s="24" t="s">
        <v>67</v>
      </c>
      <c r="B3684" s="24" t="s">
        <v>189</v>
      </c>
      <c r="C3684" s="22">
        <v>2</v>
      </c>
      <c r="D3684" s="25">
        <v>580000</v>
      </c>
      <c r="E3684" s="25">
        <v>201319</v>
      </c>
      <c r="F3684" s="25">
        <v>-378681</v>
      </c>
      <c r="G3684" s="26">
        <v>0.34710172413793106</v>
      </c>
      <c r="H3684" s="10">
        <v>2026</v>
      </c>
    </row>
    <row r="3685" spans="1:8" hidden="1" x14ac:dyDescent="0.3">
      <c r="A3685" s="24" t="s">
        <v>67</v>
      </c>
      <c r="B3685" s="24" t="s">
        <v>189</v>
      </c>
      <c r="C3685" s="22">
        <v>3</v>
      </c>
      <c r="D3685" s="25">
        <v>580000</v>
      </c>
      <c r="E3685" s="25">
        <v>224358</v>
      </c>
      <c r="F3685" s="25">
        <v>-355642</v>
      </c>
      <c r="G3685" s="26">
        <v>0.38682413793103448</v>
      </c>
      <c r="H3685" s="10">
        <v>2026</v>
      </c>
    </row>
    <row r="3686" spans="1:8" hidden="1" x14ac:dyDescent="0.3">
      <c r="A3686" s="24" t="s">
        <v>67</v>
      </c>
      <c r="B3686" s="24" t="s">
        <v>189</v>
      </c>
      <c r="C3686" s="22">
        <v>4</v>
      </c>
      <c r="D3686" s="25">
        <v>874560</v>
      </c>
      <c r="E3686" s="25">
        <v>219917</v>
      </c>
      <c r="F3686" s="25">
        <v>-654643</v>
      </c>
      <c r="G3686" s="26">
        <v>0.25146016282473471</v>
      </c>
      <c r="H3686" s="10">
        <v>2026</v>
      </c>
    </row>
    <row r="3687" spans="1:8" x14ac:dyDescent="0.3">
      <c r="A3687" s="23" t="s">
        <v>75</v>
      </c>
      <c r="B3687" s="23" t="s">
        <v>189</v>
      </c>
      <c r="C3687" s="22">
        <v>1</v>
      </c>
      <c r="D3687" s="25">
        <v>496250</v>
      </c>
      <c r="E3687" s="25">
        <v>188840</v>
      </c>
      <c r="F3687" s="25">
        <v>-307410</v>
      </c>
      <c r="G3687" s="26">
        <v>0.3805340050377834</v>
      </c>
      <c r="H3687" s="10">
        <v>2026</v>
      </c>
    </row>
    <row r="3688" spans="1:8" x14ac:dyDescent="0.3">
      <c r="A3688" s="23" t="s">
        <v>75</v>
      </c>
      <c r="B3688" s="24" t="s">
        <v>189</v>
      </c>
      <c r="C3688" s="22">
        <v>2</v>
      </c>
      <c r="D3688" s="25">
        <v>496250</v>
      </c>
      <c r="E3688" s="25">
        <v>478112</v>
      </c>
      <c r="F3688" s="25">
        <v>-18138</v>
      </c>
      <c r="G3688" s="26">
        <v>0.96344987405541571</v>
      </c>
      <c r="H3688" s="10">
        <v>2026</v>
      </c>
    </row>
    <row r="3689" spans="1:8" x14ac:dyDescent="0.3">
      <c r="A3689" s="23" t="s">
        <v>75</v>
      </c>
      <c r="B3689" s="24" t="s">
        <v>189</v>
      </c>
      <c r="C3689" s="22">
        <v>3</v>
      </c>
      <c r="D3689" s="25">
        <v>496250</v>
      </c>
      <c r="E3689" s="25">
        <v>537408</v>
      </c>
      <c r="F3689" s="25">
        <v>41158</v>
      </c>
      <c r="G3689" s="26">
        <v>1.0829380352644837</v>
      </c>
      <c r="H3689" s="10">
        <v>2026</v>
      </c>
    </row>
    <row r="3690" spans="1:8" x14ac:dyDescent="0.3">
      <c r="A3690" s="23" t="s">
        <v>75</v>
      </c>
      <c r="B3690" s="24" t="s">
        <v>189</v>
      </c>
      <c r="C3690" s="22">
        <v>4</v>
      </c>
      <c r="D3690" s="25">
        <v>496250</v>
      </c>
      <c r="E3690" s="25">
        <v>533600</v>
      </c>
      <c r="F3690" s="25">
        <v>37350</v>
      </c>
      <c r="G3690" s="26">
        <v>1.0752644836272041</v>
      </c>
      <c r="H3690" s="10">
        <v>2026</v>
      </c>
    </row>
    <row r="3691" spans="1:8" x14ac:dyDescent="0.3">
      <c r="A3691" s="23" t="s">
        <v>75</v>
      </c>
      <c r="B3691" s="23" t="s">
        <v>190</v>
      </c>
      <c r="C3691" s="22">
        <v>3</v>
      </c>
      <c r="D3691" s="25">
        <v>0</v>
      </c>
      <c r="E3691" s="25">
        <v>2877583</v>
      </c>
      <c r="F3691" s="25">
        <v>2877583</v>
      </c>
      <c r="G3691" s="26">
        <v>0</v>
      </c>
      <c r="H3691" s="10">
        <v>2026</v>
      </c>
    </row>
    <row r="3692" spans="1:8" x14ac:dyDescent="0.3">
      <c r="A3692" s="23" t="s">
        <v>75</v>
      </c>
      <c r="B3692" s="24" t="s">
        <v>190</v>
      </c>
      <c r="C3692" s="22">
        <v>4</v>
      </c>
      <c r="D3692" s="25">
        <v>0</v>
      </c>
      <c r="E3692" s="25">
        <v>0</v>
      </c>
      <c r="F3692" s="25">
        <v>0</v>
      </c>
      <c r="G3692" s="26">
        <v>0</v>
      </c>
      <c r="H3692" s="10">
        <v>2026</v>
      </c>
    </row>
    <row r="3693" spans="1:8" hidden="1" x14ac:dyDescent="0.3">
      <c r="A3693" s="23" t="s">
        <v>82</v>
      </c>
      <c r="B3693" s="23" t="s">
        <v>191</v>
      </c>
      <c r="C3693" s="22">
        <v>1</v>
      </c>
      <c r="D3693" s="25">
        <v>0</v>
      </c>
      <c r="E3693" s="25">
        <v>0</v>
      </c>
      <c r="F3693" s="25">
        <v>0</v>
      </c>
      <c r="G3693" s="26">
        <v>0</v>
      </c>
      <c r="H3693" s="10">
        <v>2026</v>
      </c>
    </row>
    <row r="3694" spans="1:8" hidden="1" x14ac:dyDescent="0.3">
      <c r="A3694" s="23" t="s">
        <v>82</v>
      </c>
      <c r="B3694" s="24" t="s">
        <v>191</v>
      </c>
      <c r="C3694" s="22">
        <v>2</v>
      </c>
      <c r="D3694" s="25">
        <v>0</v>
      </c>
      <c r="E3694" s="25">
        <v>0</v>
      </c>
      <c r="F3694" s="25">
        <v>0</v>
      </c>
      <c r="G3694" s="26">
        <v>0</v>
      </c>
      <c r="H3694" s="10">
        <v>2026</v>
      </c>
    </row>
    <row r="3695" spans="1:8" hidden="1" x14ac:dyDescent="0.3">
      <c r="A3695" s="23" t="s">
        <v>82</v>
      </c>
      <c r="B3695" s="24" t="s">
        <v>191</v>
      </c>
      <c r="C3695" s="22">
        <v>3</v>
      </c>
      <c r="D3695" s="25">
        <v>0</v>
      </c>
      <c r="E3695" s="25">
        <v>0</v>
      </c>
      <c r="F3695" s="25">
        <v>0</v>
      </c>
      <c r="G3695" s="26">
        <v>0</v>
      </c>
      <c r="H3695" s="10">
        <v>2026</v>
      </c>
    </row>
    <row r="3696" spans="1:8" hidden="1" x14ac:dyDescent="0.3">
      <c r="A3696" s="23" t="s">
        <v>82</v>
      </c>
      <c r="B3696" s="24" t="s">
        <v>191</v>
      </c>
      <c r="C3696" s="22">
        <v>4</v>
      </c>
      <c r="D3696" s="25">
        <v>150000</v>
      </c>
      <c r="E3696" s="25">
        <v>0</v>
      </c>
      <c r="F3696" s="25">
        <v>-150000</v>
      </c>
      <c r="G3696" s="26">
        <v>0</v>
      </c>
      <c r="H3696" s="10">
        <v>2026</v>
      </c>
    </row>
    <row r="3697" spans="1:8" hidden="1" x14ac:dyDescent="0.3">
      <c r="A3697" s="23" t="s">
        <v>77</v>
      </c>
      <c r="B3697" s="23" t="s">
        <v>191</v>
      </c>
      <c r="C3697" s="22">
        <v>1</v>
      </c>
      <c r="D3697" s="25">
        <v>0</v>
      </c>
      <c r="E3697" s="25">
        <v>0</v>
      </c>
      <c r="F3697" s="25">
        <v>0</v>
      </c>
      <c r="G3697" s="26">
        <v>0</v>
      </c>
      <c r="H3697" s="10">
        <v>2026</v>
      </c>
    </row>
    <row r="3698" spans="1:8" hidden="1" x14ac:dyDescent="0.3">
      <c r="A3698" s="23" t="s">
        <v>77</v>
      </c>
      <c r="B3698" s="24" t="s">
        <v>191</v>
      </c>
      <c r="C3698" s="22">
        <v>2</v>
      </c>
      <c r="D3698" s="25">
        <v>0</v>
      </c>
      <c r="E3698" s="25">
        <v>0</v>
      </c>
      <c r="F3698" s="25">
        <v>0</v>
      </c>
      <c r="G3698" s="26">
        <v>0</v>
      </c>
      <c r="H3698" s="10">
        <v>2026</v>
      </c>
    </row>
    <row r="3699" spans="1:8" hidden="1" x14ac:dyDescent="0.3">
      <c r="A3699" s="23" t="s">
        <v>77</v>
      </c>
      <c r="B3699" s="24" t="s">
        <v>191</v>
      </c>
      <c r="C3699" s="22">
        <v>3</v>
      </c>
      <c r="D3699" s="25">
        <v>2400000</v>
      </c>
      <c r="E3699" s="25">
        <v>0</v>
      </c>
      <c r="F3699" s="25">
        <v>-2400000</v>
      </c>
      <c r="G3699" s="26">
        <v>0</v>
      </c>
      <c r="H3699" s="10">
        <v>2026</v>
      </c>
    </row>
    <row r="3700" spans="1:8" hidden="1" x14ac:dyDescent="0.3">
      <c r="A3700" s="23" t="s">
        <v>77</v>
      </c>
      <c r="B3700" s="24" t="s">
        <v>191</v>
      </c>
      <c r="C3700" s="22">
        <v>4</v>
      </c>
      <c r="D3700" s="25">
        <v>3000000</v>
      </c>
      <c r="E3700" s="25">
        <v>63400</v>
      </c>
      <c r="F3700" s="25">
        <v>-2936600</v>
      </c>
      <c r="G3700" s="26">
        <v>2.1133333333333334E-2</v>
      </c>
      <c r="H3700" s="10">
        <v>2026</v>
      </c>
    </row>
    <row r="3701" spans="1:8" hidden="1" x14ac:dyDescent="0.3">
      <c r="A3701" s="23" t="s">
        <v>253</v>
      </c>
      <c r="B3701" s="23" t="s">
        <v>191</v>
      </c>
      <c r="C3701" s="22">
        <v>1</v>
      </c>
      <c r="D3701" s="25">
        <v>113636</v>
      </c>
      <c r="E3701" s="25">
        <v>0</v>
      </c>
      <c r="F3701" s="25">
        <v>-113636</v>
      </c>
      <c r="G3701" s="26">
        <v>0</v>
      </c>
      <c r="H3701" s="10">
        <v>2026</v>
      </c>
    </row>
    <row r="3702" spans="1:8" hidden="1" x14ac:dyDescent="0.3">
      <c r="A3702" s="23" t="s">
        <v>253</v>
      </c>
      <c r="B3702" s="24" t="s">
        <v>191</v>
      </c>
      <c r="C3702" s="22">
        <v>2</v>
      </c>
      <c r="D3702" s="25">
        <v>113636</v>
      </c>
      <c r="E3702" s="25">
        <v>0</v>
      </c>
      <c r="F3702" s="25">
        <v>-113636</v>
      </c>
      <c r="G3702" s="26">
        <v>0</v>
      </c>
      <c r="H3702" s="10">
        <v>2026</v>
      </c>
    </row>
    <row r="3703" spans="1:8" hidden="1" x14ac:dyDescent="0.3">
      <c r="A3703" s="23" t="s">
        <v>253</v>
      </c>
      <c r="B3703" s="24" t="s">
        <v>191</v>
      </c>
      <c r="C3703" s="22">
        <v>3</v>
      </c>
      <c r="D3703" s="25">
        <v>113636</v>
      </c>
      <c r="E3703" s="25">
        <v>0</v>
      </c>
      <c r="F3703" s="25">
        <v>-113636</v>
      </c>
      <c r="G3703" s="26">
        <v>0</v>
      </c>
      <c r="H3703" s="10">
        <v>2026</v>
      </c>
    </row>
    <row r="3704" spans="1:8" hidden="1" x14ac:dyDescent="0.3">
      <c r="A3704" s="23" t="s">
        <v>253</v>
      </c>
      <c r="B3704" s="24" t="s">
        <v>191</v>
      </c>
      <c r="C3704" s="22">
        <v>4</v>
      </c>
      <c r="D3704" s="25">
        <v>113636</v>
      </c>
      <c r="E3704" s="25">
        <v>0</v>
      </c>
      <c r="F3704" s="25">
        <v>-113636</v>
      </c>
      <c r="G3704" s="26">
        <v>0</v>
      </c>
      <c r="H3704" s="10">
        <v>2026</v>
      </c>
    </row>
    <row r="3705" spans="1:8" hidden="1" x14ac:dyDescent="0.3">
      <c r="A3705" s="23" t="s">
        <v>79</v>
      </c>
      <c r="B3705" s="23" t="s">
        <v>191</v>
      </c>
      <c r="C3705" s="22">
        <v>1</v>
      </c>
      <c r="D3705" s="25">
        <v>6000000</v>
      </c>
      <c r="E3705" s="25">
        <v>5504120</v>
      </c>
      <c r="F3705" s="25">
        <v>-495880</v>
      </c>
      <c r="G3705" s="26">
        <v>0.91735333333333335</v>
      </c>
      <c r="H3705" s="10">
        <v>2026</v>
      </c>
    </row>
    <row r="3706" spans="1:8" hidden="1" x14ac:dyDescent="0.3">
      <c r="A3706" s="23" t="s">
        <v>79</v>
      </c>
      <c r="B3706" s="24" t="s">
        <v>191</v>
      </c>
      <c r="C3706" s="22">
        <v>2</v>
      </c>
      <c r="D3706" s="25">
        <v>1600000</v>
      </c>
      <c r="E3706" s="25">
        <v>0</v>
      </c>
      <c r="F3706" s="25">
        <v>-1600000</v>
      </c>
      <c r="G3706" s="26">
        <v>0</v>
      </c>
      <c r="H3706" s="10">
        <v>2026</v>
      </c>
    </row>
    <row r="3707" spans="1:8" hidden="1" x14ac:dyDescent="0.3">
      <c r="A3707" s="23" t="s">
        <v>79</v>
      </c>
      <c r="B3707" s="24" t="s">
        <v>191</v>
      </c>
      <c r="C3707" s="22">
        <v>3</v>
      </c>
      <c r="D3707" s="25">
        <v>0</v>
      </c>
      <c r="E3707" s="25">
        <v>0</v>
      </c>
      <c r="F3707" s="25">
        <v>0</v>
      </c>
      <c r="G3707" s="26">
        <v>0</v>
      </c>
      <c r="H3707" s="10">
        <v>2026</v>
      </c>
    </row>
    <row r="3708" spans="1:8" hidden="1" x14ac:dyDescent="0.3">
      <c r="A3708" s="23" t="s">
        <v>79</v>
      </c>
      <c r="B3708" s="24" t="s">
        <v>191</v>
      </c>
      <c r="C3708" s="22">
        <v>4</v>
      </c>
      <c r="D3708" s="25">
        <v>1600000</v>
      </c>
      <c r="E3708" s="25">
        <v>0</v>
      </c>
      <c r="F3708" s="25">
        <v>-1600000</v>
      </c>
      <c r="G3708" s="26">
        <v>0</v>
      </c>
      <c r="H3708" s="10">
        <v>2026</v>
      </c>
    </row>
    <row r="3709" spans="1:8" hidden="1" x14ac:dyDescent="0.3">
      <c r="A3709" s="23" t="s">
        <v>64</v>
      </c>
      <c r="B3709" s="23" t="s">
        <v>191</v>
      </c>
      <c r="C3709" s="22">
        <v>1</v>
      </c>
      <c r="D3709" s="25">
        <v>113636</v>
      </c>
      <c r="E3709" s="25">
        <v>0</v>
      </c>
      <c r="F3709" s="25">
        <v>-113636</v>
      </c>
      <c r="G3709" s="26">
        <v>0</v>
      </c>
      <c r="H3709" s="10">
        <v>2026</v>
      </c>
    </row>
    <row r="3710" spans="1:8" hidden="1" x14ac:dyDescent="0.3">
      <c r="A3710" s="24" t="s">
        <v>64</v>
      </c>
      <c r="B3710" s="24" t="s">
        <v>191</v>
      </c>
      <c r="C3710" s="22">
        <v>2</v>
      </c>
      <c r="D3710" s="25">
        <v>113636</v>
      </c>
      <c r="E3710" s="25">
        <v>0</v>
      </c>
      <c r="F3710" s="25">
        <v>-113636</v>
      </c>
      <c r="G3710" s="26">
        <v>0</v>
      </c>
      <c r="H3710" s="10">
        <v>2026</v>
      </c>
    </row>
    <row r="3711" spans="1:8" hidden="1" x14ac:dyDescent="0.3">
      <c r="A3711" s="24" t="s">
        <v>64</v>
      </c>
      <c r="B3711" s="24" t="s">
        <v>191</v>
      </c>
      <c r="C3711" s="22">
        <v>3</v>
      </c>
      <c r="D3711" s="25">
        <v>113636</v>
      </c>
      <c r="E3711" s="25">
        <v>0</v>
      </c>
      <c r="F3711" s="25">
        <v>-113636</v>
      </c>
      <c r="G3711" s="26">
        <v>0</v>
      </c>
      <c r="H3711" s="10">
        <v>2026</v>
      </c>
    </row>
    <row r="3712" spans="1:8" hidden="1" x14ac:dyDescent="0.3">
      <c r="A3712" s="24" t="s">
        <v>64</v>
      </c>
      <c r="B3712" s="24" t="s">
        <v>191</v>
      </c>
      <c r="C3712" s="22">
        <v>4</v>
      </c>
      <c r="D3712" s="25">
        <v>113636</v>
      </c>
      <c r="E3712" s="25">
        <v>0</v>
      </c>
      <c r="F3712" s="25">
        <v>-113636</v>
      </c>
      <c r="G3712" s="26">
        <v>0</v>
      </c>
      <c r="H3712" s="10">
        <v>2026</v>
      </c>
    </row>
    <row r="3713" spans="1:8" hidden="1" x14ac:dyDescent="0.3">
      <c r="A3713" s="23" t="s">
        <v>67</v>
      </c>
      <c r="B3713" s="23" t="s">
        <v>191</v>
      </c>
      <c r="C3713" s="22">
        <v>1</v>
      </c>
      <c r="D3713" s="25">
        <v>0</v>
      </c>
      <c r="E3713" s="25">
        <v>0</v>
      </c>
      <c r="F3713" s="25">
        <v>0</v>
      </c>
      <c r="G3713" s="26">
        <v>0</v>
      </c>
      <c r="H3713" s="10">
        <v>2026</v>
      </c>
    </row>
    <row r="3714" spans="1:8" hidden="1" x14ac:dyDescent="0.3">
      <c r="A3714" s="24" t="s">
        <v>67</v>
      </c>
      <c r="B3714" s="24" t="s">
        <v>191</v>
      </c>
      <c r="C3714" s="22">
        <v>2</v>
      </c>
      <c r="D3714" s="25">
        <v>0</v>
      </c>
      <c r="E3714" s="25">
        <v>0</v>
      </c>
      <c r="F3714" s="25">
        <v>0</v>
      </c>
      <c r="G3714" s="26">
        <v>0</v>
      </c>
      <c r="H3714" s="10">
        <v>2026</v>
      </c>
    </row>
    <row r="3715" spans="1:8" hidden="1" x14ac:dyDescent="0.3">
      <c r="A3715" s="24" t="s">
        <v>67</v>
      </c>
      <c r="B3715" s="24" t="s">
        <v>191</v>
      </c>
      <c r="C3715" s="22">
        <v>3</v>
      </c>
      <c r="D3715" s="25">
        <v>2000000</v>
      </c>
      <c r="E3715" s="25">
        <v>2000000</v>
      </c>
      <c r="F3715" s="25">
        <v>0</v>
      </c>
      <c r="G3715" s="26">
        <v>1</v>
      </c>
      <c r="H3715" s="10">
        <v>2026</v>
      </c>
    </row>
    <row r="3716" spans="1:8" hidden="1" x14ac:dyDescent="0.3">
      <c r="A3716" s="24" t="s">
        <v>67</v>
      </c>
      <c r="B3716" s="24" t="s">
        <v>191</v>
      </c>
      <c r="C3716" s="22">
        <v>4</v>
      </c>
      <c r="D3716" s="25">
        <v>0</v>
      </c>
      <c r="E3716" s="25">
        <v>0</v>
      </c>
      <c r="F3716" s="25">
        <v>0</v>
      </c>
      <c r="G3716" s="26">
        <v>0</v>
      </c>
      <c r="H3716" s="10">
        <v>2026</v>
      </c>
    </row>
    <row r="3717" spans="1:8" x14ac:dyDescent="0.3">
      <c r="A3717" s="23" t="s">
        <v>75</v>
      </c>
      <c r="B3717" s="23" t="s">
        <v>191</v>
      </c>
      <c r="C3717" s="22">
        <v>1</v>
      </c>
      <c r="D3717" s="25">
        <v>113636</v>
      </c>
      <c r="E3717" s="25">
        <v>0</v>
      </c>
      <c r="F3717" s="25">
        <v>-113636</v>
      </c>
      <c r="G3717" s="26">
        <v>0</v>
      </c>
      <c r="H3717" s="10">
        <v>2026</v>
      </c>
    </row>
    <row r="3718" spans="1:8" x14ac:dyDescent="0.3">
      <c r="A3718" s="23" t="s">
        <v>75</v>
      </c>
      <c r="B3718" s="24" t="s">
        <v>191</v>
      </c>
      <c r="C3718" s="22">
        <v>2</v>
      </c>
      <c r="D3718" s="25">
        <v>113636</v>
      </c>
      <c r="E3718" s="25">
        <v>0</v>
      </c>
      <c r="F3718" s="25">
        <v>-113636</v>
      </c>
      <c r="G3718" s="26">
        <v>0</v>
      </c>
      <c r="H3718" s="10">
        <v>2026</v>
      </c>
    </row>
    <row r="3719" spans="1:8" x14ac:dyDescent="0.3">
      <c r="A3719" s="23" t="s">
        <v>75</v>
      </c>
      <c r="B3719" s="24" t="s">
        <v>191</v>
      </c>
      <c r="C3719" s="22">
        <v>3</v>
      </c>
      <c r="D3719" s="25">
        <v>113636</v>
      </c>
      <c r="E3719" s="25">
        <v>0</v>
      </c>
      <c r="F3719" s="25">
        <v>-113636</v>
      </c>
      <c r="G3719" s="26">
        <v>0</v>
      </c>
      <c r="H3719" s="10">
        <v>2026</v>
      </c>
    </row>
    <row r="3720" spans="1:8" x14ac:dyDescent="0.3">
      <c r="A3720" s="23" t="s">
        <v>75</v>
      </c>
      <c r="B3720" s="24" t="s">
        <v>191</v>
      </c>
      <c r="C3720" s="22">
        <v>4</v>
      </c>
      <c r="D3720" s="25">
        <v>113636</v>
      </c>
      <c r="E3720" s="25">
        <v>108000</v>
      </c>
      <c r="F3720" s="25">
        <v>-5636</v>
      </c>
      <c r="G3720" s="26">
        <v>0.95040304128973208</v>
      </c>
      <c r="H3720" s="10">
        <v>2026</v>
      </c>
    </row>
    <row r="3721" spans="1:8" hidden="1" x14ac:dyDescent="0.3">
      <c r="A3721" s="23" t="s">
        <v>82</v>
      </c>
      <c r="B3721" s="23" t="s">
        <v>192</v>
      </c>
      <c r="C3721" s="22">
        <v>1</v>
      </c>
      <c r="D3721" s="25">
        <v>0</v>
      </c>
      <c r="E3721" s="25">
        <v>0</v>
      </c>
      <c r="F3721" s="25">
        <v>0</v>
      </c>
      <c r="G3721" s="26">
        <v>0</v>
      </c>
      <c r="H3721" s="10">
        <v>2026</v>
      </c>
    </row>
    <row r="3722" spans="1:8" hidden="1" x14ac:dyDescent="0.3">
      <c r="A3722" s="23" t="s">
        <v>82</v>
      </c>
      <c r="B3722" s="24" t="s">
        <v>192</v>
      </c>
      <c r="C3722" s="22">
        <v>2</v>
      </c>
      <c r="D3722" s="25">
        <v>0</v>
      </c>
      <c r="E3722" s="25">
        <v>0</v>
      </c>
      <c r="F3722" s="25">
        <v>0</v>
      </c>
      <c r="G3722" s="26">
        <v>0</v>
      </c>
      <c r="H3722" s="10">
        <v>2026</v>
      </c>
    </row>
    <row r="3723" spans="1:8" hidden="1" x14ac:dyDescent="0.3">
      <c r="A3723" s="23" t="s">
        <v>82</v>
      </c>
      <c r="B3723" s="24" t="s">
        <v>192</v>
      </c>
      <c r="C3723" s="22">
        <v>3</v>
      </c>
      <c r="D3723" s="25">
        <v>62450</v>
      </c>
      <c r="E3723" s="25">
        <v>62100</v>
      </c>
      <c r="F3723" s="25">
        <v>-350</v>
      </c>
      <c r="G3723" s="26">
        <v>0.99439551641313051</v>
      </c>
      <c r="H3723" s="10">
        <v>2026</v>
      </c>
    </row>
    <row r="3724" spans="1:8" hidden="1" x14ac:dyDescent="0.3">
      <c r="A3724" s="23" t="s">
        <v>82</v>
      </c>
      <c r="B3724" s="24" t="s">
        <v>192</v>
      </c>
      <c r="C3724" s="22">
        <v>4</v>
      </c>
      <c r="D3724" s="25">
        <v>61943</v>
      </c>
      <c r="E3724" s="25">
        <v>59200</v>
      </c>
      <c r="F3724" s="25">
        <v>-2743</v>
      </c>
      <c r="G3724" s="26">
        <v>0.95571735305038508</v>
      </c>
      <c r="H3724" s="10">
        <v>2026</v>
      </c>
    </row>
    <row r="3725" spans="1:8" hidden="1" x14ac:dyDescent="0.3">
      <c r="A3725" s="23" t="s">
        <v>77</v>
      </c>
      <c r="B3725" s="23" t="s">
        <v>192</v>
      </c>
      <c r="C3725" s="22">
        <v>1</v>
      </c>
      <c r="D3725" s="25">
        <v>168930</v>
      </c>
      <c r="E3725" s="25">
        <v>143400</v>
      </c>
      <c r="F3725" s="25">
        <v>-25530</v>
      </c>
      <c r="G3725" s="26">
        <v>0.84887231397620322</v>
      </c>
      <c r="H3725" s="10">
        <v>2026</v>
      </c>
    </row>
    <row r="3726" spans="1:8" hidden="1" x14ac:dyDescent="0.3">
      <c r="A3726" s="23" t="s">
        <v>77</v>
      </c>
      <c r="B3726" s="24" t="s">
        <v>192</v>
      </c>
      <c r="C3726" s="22">
        <v>2</v>
      </c>
      <c r="D3726" s="25">
        <v>186225</v>
      </c>
      <c r="E3726" s="25">
        <v>195700</v>
      </c>
      <c r="F3726" s="25">
        <v>9475</v>
      </c>
      <c r="G3726" s="26">
        <v>1.0508793126594174</v>
      </c>
      <c r="H3726" s="10">
        <v>2026</v>
      </c>
    </row>
    <row r="3727" spans="1:8" hidden="1" x14ac:dyDescent="0.3">
      <c r="A3727" s="23" t="s">
        <v>77</v>
      </c>
      <c r="B3727" s="24" t="s">
        <v>192</v>
      </c>
      <c r="C3727" s="22">
        <v>3</v>
      </c>
      <c r="D3727" s="25">
        <v>218939</v>
      </c>
      <c r="E3727" s="25">
        <v>177600</v>
      </c>
      <c r="F3727" s="25">
        <v>-41339</v>
      </c>
      <c r="G3727" s="26">
        <v>0.81118485057481771</v>
      </c>
      <c r="H3727" s="10">
        <v>2026</v>
      </c>
    </row>
    <row r="3728" spans="1:8" hidden="1" x14ac:dyDescent="0.3">
      <c r="A3728" s="23" t="s">
        <v>77</v>
      </c>
      <c r="B3728" s="24" t="s">
        <v>192</v>
      </c>
      <c r="C3728" s="22">
        <v>4</v>
      </c>
      <c r="D3728" s="25">
        <v>166570</v>
      </c>
      <c r="E3728" s="25">
        <v>159400</v>
      </c>
      <c r="F3728" s="25">
        <v>-7170</v>
      </c>
      <c r="G3728" s="26">
        <v>0.9569550339196734</v>
      </c>
      <c r="H3728" s="10">
        <v>2026</v>
      </c>
    </row>
    <row r="3729" spans="1:8" hidden="1" x14ac:dyDescent="0.3">
      <c r="A3729" s="23" t="s">
        <v>253</v>
      </c>
      <c r="B3729" s="23" t="s">
        <v>192</v>
      </c>
      <c r="C3729" s="22">
        <v>1</v>
      </c>
      <c r="D3729" s="25">
        <v>580613</v>
      </c>
      <c r="E3729" s="25">
        <v>571300</v>
      </c>
      <c r="F3729" s="25">
        <v>-9313</v>
      </c>
      <c r="G3729" s="26">
        <v>0.98396005600976899</v>
      </c>
      <c r="H3729" s="10">
        <v>2026</v>
      </c>
    </row>
    <row r="3730" spans="1:8" hidden="1" x14ac:dyDescent="0.3">
      <c r="A3730" s="23" t="s">
        <v>253</v>
      </c>
      <c r="B3730" s="24" t="s">
        <v>192</v>
      </c>
      <c r="C3730" s="22">
        <v>2</v>
      </c>
      <c r="D3730" s="25">
        <v>604422</v>
      </c>
      <c r="E3730" s="25">
        <v>557800</v>
      </c>
      <c r="F3730" s="25">
        <v>-46622</v>
      </c>
      <c r="G3730" s="26">
        <v>0.92286515050742701</v>
      </c>
      <c r="H3730" s="10">
        <v>2026</v>
      </c>
    </row>
    <row r="3731" spans="1:8" hidden="1" x14ac:dyDescent="0.3">
      <c r="A3731" s="23" t="s">
        <v>253</v>
      </c>
      <c r="B3731" s="24" t="s">
        <v>192</v>
      </c>
      <c r="C3731" s="22">
        <v>3</v>
      </c>
      <c r="D3731" s="25">
        <v>731623</v>
      </c>
      <c r="E3731" s="25">
        <v>719500</v>
      </c>
      <c r="F3731" s="25">
        <v>-12123</v>
      </c>
      <c r="G3731" s="26">
        <v>0.98342999058258151</v>
      </c>
      <c r="H3731" s="10">
        <v>2026</v>
      </c>
    </row>
    <row r="3732" spans="1:8" hidden="1" x14ac:dyDescent="0.3">
      <c r="A3732" s="23" t="s">
        <v>253</v>
      </c>
      <c r="B3732" s="24" t="s">
        <v>192</v>
      </c>
      <c r="C3732" s="22">
        <v>4</v>
      </c>
      <c r="D3732" s="25">
        <v>689723</v>
      </c>
      <c r="E3732" s="25">
        <v>720600</v>
      </c>
      <c r="F3732" s="25">
        <v>30877</v>
      </c>
      <c r="G3732" s="26">
        <v>1.0447672471412437</v>
      </c>
      <c r="H3732" s="10">
        <v>2026</v>
      </c>
    </row>
    <row r="3733" spans="1:8" hidden="1" x14ac:dyDescent="0.3">
      <c r="A3733" s="23" t="s">
        <v>103</v>
      </c>
      <c r="B3733" s="23" t="s">
        <v>192</v>
      </c>
      <c r="C3733" s="22">
        <v>1</v>
      </c>
      <c r="D3733" s="25">
        <v>369050</v>
      </c>
      <c r="E3733" s="25">
        <v>331700</v>
      </c>
      <c r="F3733" s="25">
        <v>-37350</v>
      </c>
      <c r="G3733" s="26">
        <v>0.89879420132773336</v>
      </c>
      <c r="H3733" s="10">
        <v>2026</v>
      </c>
    </row>
    <row r="3734" spans="1:8" hidden="1" x14ac:dyDescent="0.3">
      <c r="A3734" s="24" t="s">
        <v>103</v>
      </c>
      <c r="B3734" s="24" t="s">
        <v>192</v>
      </c>
      <c r="C3734" s="22">
        <v>2</v>
      </c>
      <c r="D3734" s="25">
        <v>369050</v>
      </c>
      <c r="E3734" s="25">
        <v>294900</v>
      </c>
      <c r="F3734" s="25">
        <v>-74150</v>
      </c>
      <c r="G3734" s="26">
        <v>0.79907871562118959</v>
      </c>
      <c r="H3734" s="10">
        <v>2026</v>
      </c>
    </row>
    <row r="3735" spans="1:8" hidden="1" x14ac:dyDescent="0.3">
      <c r="A3735" s="24" t="s">
        <v>103</v>
      </c>
      <c r="B3735" s="24" t="s">
        <v>192</v>
      </c>
      <c r="C3735" s="22">
        <v>3</v>
      </c>
      <c r="D3735" s="25">
        <v>428098</v>
      </c>
      <c r="E3735" s="25">
        <v>407300</v>
      </c>
      <c r="F3735" s="25">
        <v>-20798</v>
      </c>
      <c r="G3735" s="26">
        <v>0.95141766604842826</v>
      </c>
      <c r="H3735" s="10">
        <v>2026</v>
      </c>
    </row>
    <row r="3736" spans="1:8" hidden="1" x14ac:dyDescent="0.3">
      <c r="A3736" s="24" t="s">
        <v>103</v>
      </c>
      <c r="B3736" s="24" t="s">
        <v>192</v>
      </c>
      <c r="C3736" s="22">
        <v>4</v>
      </c>
      <c r="D3736" s="25">
        <v>398574</v>
      </c>
      <c r="E3736" s="25">
        <v>398000</v>
      </c>
      <c r="F3736" s="25">
        <v>-574</v>
      </c>
      <c r="G3736" s="26">
        <v>0.99855986592201207</v>
      </c>
      <c r="H3736" s="10">
        <v>2026</v>
      </c>
    </row>
    <row r="3737" spans="1:8" hidden="1" x14ac:dyDescent="0.3">
      <c r="A3737" s="23" t="s">
        <v>79</v>
      </c>
      <c r="B3737" s="23" t="s">
        <v>192</v>
      </c>
      <c r="C3737" s="22">
        <v>1</v>
      </c>
      <c r="D3737" s="25">
        <v>229258</v>
      </c>
      <c r="E3737" s="25">
        <v>206600</v>
      </c>
      <c r="F3737" s="25">
        <v>-22658</v>
      </c>
      <c r="G3737" s="26">
        <v>0.90116811627075177</v>
      </c>
      <c r="H3737" s="10">
        <v>2026</v>
      </c>
    </row>
    <row r="3738" spans="1:8" hidden="1" x14ac:dyDescent="0.3">
      <c r="A3738" s="23" t="s">
        <v>79</v>
      </c>
      <c r="B3738" s="24" t="s">
        <v>192</v>
      </c>
      <c r="C3738" s="22">
        <v>2</v>
      </c>
      <c r="D3738" s="25">
        <v>243400</v>
      </c>
      <c r="E3738" s="25">
        <v>254700</v>
      </c>
      <c r="F3738" s="25">
        <v>11300</v>
      </c>
      <c r="G3738" s="26">
        <v>1.0464256368118323</v>
      </c>
      <c r="H3738" s="10">
        <v>2026</v>
      </c>
    </row>
    <row r="3739" spans="1:8" hidden="1" x14ac:dyDescent="0.3">
      <c r="A3739" s="23" t="s">
        <v>79</v>
      </c>
      <c r="B3739" s="24" t="s">
        <v>192</v>
      </c>
      <c r="C3739" s="22">
        <v>3</v>
      </c>
      <c r="D3739" s="25">
        <v>354637</v>
      </c>
      <c r="E3739" s="25">
        <v>352800</v>
      </c>
      <c r="F3739" s="25">
        <v>-1837</v>
      </c>
      <c r="G3739" s="26">
        <v>0.99482005543696794</v>
      </c>
      <c r="H3739" s="10">
        <v>2026</v>
      </c>
    </row>
    <row r="3740" spans="1:8" hidden="1" x14ac:dyDescent="0.3">
      <c r="A3740" s="23" t="s">
        <v>79</v>
      </c>
      <c r="B3740" s="24" t="s">
        <v>192</v>
      </c>
      <c r="C3740" s="22">
        <v>4</v>
      </c>
      <c r="D3740" s="25">
        <v>302330</v>
      </c>
      <c r="E3740" s="25">
        <v>300800</v>
      </c>
      <c r="F3740" s="25">
        <v>-1530</v>
      </c>
      <c r="G3740" s="26">
        <v>0.99493930473323855</v>
      </c>
      <c r="H3740" s="10">
        <v>2026</v>
      </c>
    </row>
    <row r="3741" spans="1:8" hidden="1" x14ac:dyDescent="0.3">
      <c r="A3741" s="23" t="s">
        <v>64</v>
      </c>
      <c r="B3741" s="23" t="s">
        <v>192</v>
      </c>
      <c r="C3741" s="22">
        <v>1</v>
      </c>
      <c r="D3741" s="25">
        <v>90370</v>
      </c>
      <c r="E3741" s="25">
        <v>91800</v>
      </c>
      <c r="F3741" s="25">
        <v>1430</v>
      </c>
      <c r="G3741" s="26">
        <v>1.0158238353435876</v>
      </c>
      <c r="H3741" s="10">
        <v>2026</v>
      </c>
    </row>
    <row r="3742" spans="1:8" hidden="1" x14ac:dyDescent="0.3">
      <c r="A3742" s="24" t="s">
        <v>64</v>
      </c>
      <c r="B3742" s="24" t="s">
        <v>192</v>
      </c>
      <c r="C3742" s="22">
        <v>2</v>
      </c>
      <c r="D3742" s="25">
        <v>94370</v>
      </c>
      <c r="E3742" s="25">
        <v>96600</v>
      </c>
      <c r="F3742" s="25">
        <v>2230</v>
      </c>
      <c r="G3742" s="26">
        <v>1.0236303910140936</v>
      </c>
      <c r="H3742" s="10">
        <v>2026</v>
      </c>
    </row>
    <row r="3743" spans="1:8" hidden="1" x14ac:dyDescent="0.3">
      <c r="A3743" s="24" t="s">
        <v>64</v>
      </c>
      <c r="B3743" s="24" t="s">
        <v>192</v>
      </c>
      <c r="C3743" s="22">
        <v>3</v>
      </c>
      <c r="D3743" s="25">
        <v>111143</v>
      </c>
      <c r="E3743" s="25">
        <v>114100</v>
      </c>
      <c r="F3743" s="25">
        <v>2957</v>
      </c>
      <c r="G3743" s="26">
        <v>1.0266053642604573</v>
      </c>
      <c r="H3743" s="10">
        <v>2026</v>
      </c>
    </row>
    <row r="3744" spans="1:8" hidden="1" x14ac:dyDescent="0.3">
      <c r="A3744" s="24" t="s">
        <v>64</v>
      </c>
      <c r="B3744" s="24" t="s">
        <v>192</v>
      </c>
      <c r="C3744" s="22">
        <v>4</v>
      </c>
      <c r="D3744" s="25">
        <v>181384</v>
      </c>
      <c r="E3744" s="25">
        <v>145600</v>
      </c>
      <c r="F3744" s="25">
        <v>-35784</v>
      </c>
      <c r="G3744" s="26">
        <v>0.80271688792837304</v>
      </c>
      <c r="H3744" s="10">
        <v>2026</v>
      </c>
    </row>
    <row r="3745" spans="1:8" hidden="1" x14ac:dyDescent="0.3">
      <c r="A3745" s="23" t="s">
        <v>67</v>
      </c>
      <c r="B3745" s="23" t="s">
        <v>192</v>
      </c>
      <c r="C3745" s="22">
        <v>1</v>
      </c>
      <c r="D3745" s="25">
        <v>295200</v>
      </c>
      <c r="E3745" s="25">
        <v>249400</v>
      </c>
      <c r="F3745" s="25">
        <v>-45800</v>
      </c>
      <c r="G3745" s="26">
        <v>0.84485094850948517</v>
      </c>
      <c r="H3745" s="10">
        <v>2026</v>
      </c>
    </row>
    <row r="3746" spans="1:8" hidden="1" x14ac:dyDescent="0.3">
      <c r="A3746" s="24" t="s">
        <v>67</v>
      </c>
      <c r="B3746" s="24" t="s">
        <v>192</v>
      </c>
      <c r="C3746" s="22">
        <v>2</v>
      </c>
      <c r="D3746" s="25">
        <v>283476</v>
      </c>
      <c r="E3746" s="25">
        <v>272950</v>
      </c>
      <c r="F3746" s="25">
        <v>-10526</v>
      </c>
      <c r="G3746" s="26">
        <v>0.96286810876405771</v>
      </c>
      <c r="H3746" s="10">
        <v>2026</v>
      </c>
    </row>
    <row r="3747" spans="1:8" hidden="1" x14ac:dyDescent="0.3">
      <c r="A3747" s="24" t="s">
        <v>67</v>
      </c>
      <c r="B3747" s="24" t="s">
        <v>192</v>
      </c>
      <c r="C3747" s="22">
        <v>3</v>
      </c>
      <c r="D3747" s="25">
        <v>339300</v>
      </c>
      <c r="E3747" s="25">
        <v>320400</v>
      </c>
      <c r="F3747" s="25">
        <v>-18900</v>
      </c>
      <c r="G3747" s="26">
        <v>0.9442970822281167</v>
      </c>
      <c r="H3747" s="10">
        <v>2026</v>
      </c>
    </row>
    <row r="3748" spans="1:8" hidden="1" x14ac:dyDescent="0.3">
      <c r="A3748" s="24" t="s">
        <v>67</v>
      </c>
      <c r="B3748" s="24" t="s">
        <v>192</v>
      </c>
      <c r="C3748" s="22">
        <v>4</v>
      </c>
      <c r="D3748" s="25">
        <v>313009</v>
      </c>
      <c r="E3748" s="25">
        <v>275850</v>
      </c>
      <c r="F3748" s="25">
        <v>-37159</v>
      </c>
      <c r="G3748" s="26">
        <v>0.88128456370264119</v>
      </c>
      <c r="H3748" s="10">
        <v>2026</v>
      </c>
    </row>
    <row r="3749" spans="1:8" x14ac:dyDescent="0.3">
      <c r="A3749" s="23" t="s">
        <v>75</v>
      </c>
      <c r="B3749" s="23" t="s">
        <v>192</v>
      </c>
      <c r="C3749" s="22">
        <v>1</v>
      </c>
      <c r="D3749" s="25">
        <v>371121</v>
      </c>
      <c r="E3749" s="25">
        <v>297400</v>
      </c>
      <c r="F3749" s="25">
        <v>-73721</v>
      </c>
      <c r="G3749" s="26">
        <v>0.80135589201365598</v>
      </c>
      <c r="H3749" s="10">
        <v>2026</v>
      </c>
    </row>
    <row r="3750" spans="1:8" x14ac:dyDescent="0.3">
      <c r="A3750" s="23" t="s">
        <v>75</v>
      </c>
      <c r="B3750" s="24" t="s">
        <v>192</v>
      </c>
      <c r="C3750" s="22">
        <v>2</v>
      </c>
      <c r="D3750" s="25">
        <v>343568</v>
      </c>
      <c r="E3750" s="25">
        <v>356000</v>
      </c>
      <c r="F3750" s="25">
        <v>12432</v>
      </c>
      <c r="G3750" s="26">
        <v>1.0361849764820938</v>
      </c>
      <c r="H3750" s="10">
        <v>2026</v>
      </c>
    </row>
    <row r="3751" spans="1:8" x14ac:dyDescent="0.3">
      <c r="A3751" s="23" t="s">
        <v>75</v>
      </c>
      <c r="B3751" s="24" t="s">
        <v>192</v>
      </c>
      <c r="C3751" s="22">
        <v>3</v>
      </c>
      <c r="D3751" s="25">
        <v>453330</v>
      </c>
      <c r="E3751" s="25">
        <v>396100</v>
      </c>
      <c r="F3751" s="25">
        <v>-57230</v>
      </c>
      <c r="G3751" s="26">
        <v>0.87375642467959325</v>
      </c>
      <c r="H3751" s="10">
        <v>2026</v>
      </c>
    </row>
    <row r="3752" spans="1:8" x14ac:dyDescent="0.3">
      <c r="A3752" s="23" t="s">
        <v>75</v>
      </c>
      <c r="B3752" s="24" t="s">
        <v>192</v>
      </c>
      <c r="C3752" s="22">
        <v>4</v>
      </c>
      <c r="D3752" s="25">
        <v>361451</v>
      </c>
      <c r="E3752" s="25">
        <v>288400</v>
      </c>
      <c r="F3752" s="25">
        <v>-73051</v>
      </c>
      <c r="G3752" s="26">
        <v>0.79789515037999625</v>
      </c>
      <c r="H3752" s="10">
        <v>2026</v>
      </c>
    </row>
    <row r="3753" spans="1:8" hidden="1" x14ac:dyDescent="0.3">
      <c r="A3753" s="23" t="s">
        <v>103</v>
      </c>
      <c r="B3753" s="23" t="s">
        <v>193</v>
      </c>
      <c r="C3753" s="22">
        <v>1</v>
      </c>
      <c r="D3753" s="25">
        <v>1285625</v>
      </c>
      <c r="E3753" s="25">
        <v>0</v>
      </c>
      <c r="F3753" s="25">
        <v>-1285625</v>
      </c>
      <c r="G3753" s="26">
        <v>0</v>
      </c>
      <c r="H3753" s="10">
        <v>2026</v>
      </c>
    </row>
    <row r="3754" spans="1:8" hidden="1" x14ac:dyDescent="0.3">
      <c r="A3754" s="24" t="s">
        <v>103</v>
      </c>
      <c r="B3754" s="24" t="s">
        <v>193</v>
      </c>
      <c r="C3754" s="22">
        <v>2</v>
      </c>
      <c r="D3754" s="25">
        <v>1285625</v>
      </c>
      <c r="E3754" s="25">
        <v>0</v>
      </c>
      <c r="F3754" s="25">
        <v>-1285625</v>
      </c>
      <c r="G3754" s="26">
        <v>0</v>
      </c>
      <c r="H3754" s="10">
        <v>2026</v>
      </c>
    </row>
    <row r="3755" spans="1:8" hidden="1" x14ac:dyDescent="0.3">
      <c r="A3755" s="24" t="s">
        <v>103</v>
      </c>
      <c r="B3755" s="24" t="s">
        <v>193</v>
      </c>
      <c r="C3755" s="22">
        <v>3</v>
      </c>
      <c r="D3755" s="25">
        <v>1491325</v>
      </c>
      <c r="E3755" s="25">
        <v>0</v>
      </c>
      <c r="F3755" s="25">
        <v>-1491325</v>
      </c>
      <c r="G3755" s="26">
        <v>0</v>
      </c>
      <c r="H3755" s="10">
        <v>2026</v>
      </c>
    </row>
    <row r="3756" spans="1:8" hidden="1" x14ac:dyDescent="0.3">
      <c r="A3756" s="24" t="s">
        <v>103</v>
      </c>
      <c r="B3756" s="24" t="s">
        <v>193</v>
      </c>
      <c r="C3756" s="22">
        <v>4</v>
      </c>
      <c r="D3756" s="25">
        <v>1388475</v>
      </c>
      <c r="E3756" s="25">
        <v>0</v>
      </c>
      <c r="F3756" s="25">
        <v>-1388475</v>
      </c>
      <c r="G3756" s="26">
        <v>0</v>
      </c>
      <c r="H3756" s="10">
        <v>2026</v>
      </c>
    </row>
    <row r="3757" spans="1:8" hidden="1" x14ac:dyDescent="0.3">
      <c r="A3757" s="21" t="s">
        <v>64</v>
      </c>
      <c r="B3757" s="21" t="s">
        <v>193</v>
      </c>
      <c r="C3757" s="22">
        <v>4</v>
      </c>
      <c r="D3757" s="25">
        <v>0</v>
      </c>
      <c r="E3757" s="25">
        <v>-400</v>
      </c>
      <c r="F3757" s="25">
        <v>-400</v>
      </c>
      <c r="G3757" s="26">
        <v>0</v>
      </c>
      <c r="H3757" s="10">
        <v>2026</v>
      </c>
    </row>
    <row r="3758" spans="1:8" x14ac:dyDescent="0.3">
      <c r="A3758" s="23" t="s">
        <v>75</v>
      </c>
      <c r="B3758" s="23" t="s">
        <v>193</v>
      </c>
      <c r="C3758" s="22">
        <v>1</v>
      </c>
      <c r="D3758" s="25">
        <v>0</v>
      </c>
      <c r="E3758" s="25">
        <v>-400</v>
      </c>
      <c r="F3758" s="25">
        <v>-400</v>
      </c>
      <c r="G3758" s="26">
        <v>0</v>
      </c>
      <c r="H3758" s="10">
        <v>2026</v>
      </c>
    </row>
    <row r="3759" spans="1:8" x14ac:dyDescent="0.3">
      <c r="A3759" s="23" t="s">
        <v>75</v>
      </c>
      <c r="B3759" s="24" t="s">
        <v>193</v>
      </c>
      <c r="C3759" s="22">
        <v>2</v>
      </c>
      <c r="D3759" s="25">
        <v>0</v>
      </c>
      <c r="E3759" s="25">
        <v>0</v>
      </c>
      <c r="F3759" s="25">
        <v>0</v>
      </c>
      <c r="G3759" s="26">
        <v>0</v>
      </c>
      <c r="H3759" s="10">
        <v>2026</v>
      </c>
    </row>
    <row r="3760" spans="1:8" x14ac:dyDescent="0.3">
      <c r="A3760" s="23" t="s">
        <v>75</v>
      </c>
      <c r="B3760" s="24" t="s">
        <v>193</v>
      </c>
      <c r="C3760" s="22">
        <v>3</v>
      </c>
      <c r="D3760" s="25">
        <v>0</v>
      </c>
      <c r="E3760" s="25">
        <v>0</v>
      </c>
      <c r="F3760" s="25">
        <v>0</v>
      </c>
      <c r="G3760" s="26">
        <v>0</v>
      </c>
      <c r="H3760" s="10">
        <v>2026</v>
      </c>
    </row>
    <row r="3761" spans="1:8" x14ac:dyDescent="0.3">
      <c r="A3761" s="23" t="s">
        <v>75</v>
      </c>
      <c r="B3761" s="24" t="s">
        <v>193</v>
      </c>
      <c r="C3761" s="22">
        <v>4</v>
      </c>
      <c r="D3761" s="25">
        <v>0</v>
      </c>
      <c r="E3761" s="25">
        <v>0</v>
      </c>
      <c r="F3761" s="25">
        <v>0</v>
      </c>
      <c r="G3761" s="26">
        <v>0</v>
      </c>
      <c r="H3761" s="10">
        <v>2026</v>
      </c>
    </row>
    <row r="3762" spans="1:8" hidden="1" x14ac:dyDescent="0.3">
      <c r="A3762" s="23" t="s">
        <v>82</v>
      </c>
      <c r="B3762" s="23" t="s">
        <v>194</v>
      </c>
      <c r="C3762" s="22">
        <v>1</v>
      </c>
      <c r="D3762" s="25">
        <v>0</v>
      </c>
      <c r="E3762" s="25">
        <v>0</v>
      </c>
      <c r="F3762" s="25">
        <v>0</v>
      </c>
      <c r="G3762" s="26">
        <v>0</v>
      </c>
      <c r="H3762" s="10">
        <v>2026</v>
      </c>
    </row>
    <row r="3763" spans="1:8" hidden="1" x14ac:dyDescent="0.3">
      <c r="A3763" s="23" t="s">
        <v>82</v>
      </c>
      <c r="B3763" s="24" t="s">
        <v>194</v>
      </c>
      <c r="C3763" s="22">
        <v>2</v>
      </c>
      <c r="D3763" s="25">
        <v>0</v>
      </c>
      <c r="E3763" s="25">
        <v>0</v>
      </c>
      <c r="F3763" s="25">
        <v>0</v>
      </c>
      <c r="G3763" s="26">
        <v>0</v>
      </c>
      <c r="H3763" s="10">
        <v>2026</v>
      </c>
    </row>
    <row r="3764" spans="1:8" hidden="1" x14ac:dyDescent="0.3">
      <c r="A3764" s="23" t="s">
        <v>82</v>
      </c>
      <c r="B3764" s="24" t="s">
        <v>194</v>
      </c>
      <c r="C3764" s="22">
        <v>3</v>
      </c>
      <c r="D3764" s="25">
        <v>305880</v>
      </c>
      <c r="E3764" s="25">
        <v>305900</v>
      </c>
      <c r="F3764" s="25">
        <v>20</v>
      </c>
      <c r="G3764" s="26">
        <v>1.0000653851183472</v>
      </c>
      <c r="H3764" s="10">
        <v>2026</v>
      </c>
    </row>
    <row r="3765" spans="1:8" hidden="1" x14ac:dyDescent="0.3">
      <c r="A3765" s="23" t="s">
        <v>82</v>
      </c>
      <c r="B3765" s="24" t="s">
        <v>194</v>
      </c>
      <c r="C3765" s="22">
        <v>4</v>
      </c>
      <c r="D3765" s="25">
        <v>303394</v>
      </c>
      <c r="E3765" s="25">
        <v>291600</v>
      </c>
      <c r="F3765" s="25">
        <v>-11794</v>
      </c>
      <c r="G3765" s="26">
        <v>0.96112645602747582</v>
      </c>
      <c r="H3765" s="10">
        <v>2026</v>
      </c>
    </row>
    <row r="3766" spans="1:8" hidden="1" x14ac:dyDescent="0.3">
      <c r="A3766" s="23" t="s">
        <v>77</v>
      </c>
      <c r="B3766" s="23" t="s">
        <v>194</v>
      </c>
      <c r="C3766" s="22">
        <v>1</v>
      </c>
      <c r="D3766" s="25">
        <v>827412</v>
      </c>
      <c r="E3766" s="25">
        <v>841500</v>
      </c>
      <c r="F3766" s="25">
        <v>14088</v>
      </c>
      <c r="G3766" s="26">
        <v>1.0170265840959523</v>
      </c>
      <c r="H3766" s="10">
        <v>2026</v>
      </c>
    </row>
    <row r="3767" spans="1:8" hidden="1" x14ac:dyDescent="0.3">
      <c r="A3767" s="23" t="s">
        <v>77</v>
      </c>
      <c r="B3767" s="24" t="s">
        <v>194</v>
      </c>
      <c r="C3767" s="22">
        <v>2</v>
      </c>
      <c r="D3767" s="25">
        <v>912124</v>
      </c>
      <c r="E3767" s="25">
        <v>962400</v>
      </c>
      <c r="F3767" s="25">
        <v>50276</v>
      </c>
      <c r="G3767" s="26">
        <v>1.055119698637466</v>
      </c>
      <c r="H3767" s="10">
        <v>2026</v>
      </c>
    </row>
    <row r="3768" spans="1:8" hidden="1" x14ac:dyDescent="0.3">
      <c r="A3768" s="23" t="s">
        <v>77</v>
      </c>
      <c r="B3768" s="24" t="s">
        <v>194</v>
      </c>
      <c r="C3768" s="22">
        <v>3</v>
      </c>
      <c r="D3768" s="25">
        <v>1072355</v>
      </c>
      <c r="E3768" s="25">
        <v>873900</v>
      </c>
      <c r="F3768" s="25">
        <v>-198455</v>
      </c>
      <c r="G3768" s="26">
        <v>0.81493535256514871</v>
      </c>
      <c r="H3768" s="10">
        <v>2026</v>
      </c>
    </row>
    <row r="3769" spans="1:8" hidden="1" x14ac:dyDescent="0.3">
      <c r="A3769" s="23" t="s">
        <v>77</v>
      </c>
      <c r="B3769" s="24" t="s">
        <v>194</v>
      </c>
      <c r="C3769" s="22">
        <v>4</v>
      </c>
      <c r="D3769" s="25">
        <v>815857</v>
      </c>
      <c r="E3769" s="25">
        <v>784200</v>
      </c>
      <c r="F3769" s="25">
        <v>-31657</v>
      </c>
      <c r="G3769" s="26">
        <v>0.96119785697738702</v>
      </c>
      <c r="H3769" s="10">
        <v>2026</v>
      </c>
    </row>
    <row r="3770" spans="1:8" hidden="1" x14ac:dyDescent="0.3">
      <c r="A3770" s="23" t="s">
        <v>253</v>
      </c>
      <c r="B3770" s="23" t="s">
        <v>194</v>
      </c>
      <c r="C3770" s="22">
        <v>1</v>
      </c>
      <c r="D3770" s="25">
        <v>2645365</v>
      </c>
      <c r="E3770" s="25">
        <v>2926100</v>
      </c>
      <c r="F3770" s="25">
        <v>280735</v>
      </c>
      <c r="G3770" s="26">
        <v>1.1061233515979836</v>
      </c>
      <c r="H3770" s="10">
        <v>2026</v>
      </c>
    </row>
    <row r="3771" spans="1:8" hidden="1" x14ac:dyDescent="0.3">
      <c r="A3771" s="23" t="s">
        <v>253</v>
      </c>
      <c r="B3771" s="24" t="s">
        <v>194</v>
      </c>
      <c r="C3771" s="22">
        <v>2</v>
      </c>
      <c r="D3771" s="25">
        <v>2762461</v>
      </c>
      <c r="E3771" s="25">
        <v>2773400</v>
      </c>
      <c r="F3771" s="25">
        <v>10939</v>
      </c>
      <c r="G3771" s="26">
        <v>1.0039598749086414</v>
      </c>
      <c r="H3771" s="10">
        <v>2026</v>
      </c>
    </row>
    <row r="3772" spans="1:8" hidden="1" x14ac:dyDescent="0.3">
      <c r="A3772" s="23" t="s">
        <v>253</v>
      </c>
      <c r="B3772" s="24" t="s">
        <v>194</v>
      </c>
      <c r="C3772" s="22">
        <v>3</v>
      </c>
      <c r="D3772" s="25">
        <v>3388040</v>
      </c>
      <c r="E3772" s="25">
        <v>3079100</v>
      </c>
      <c r="F3772" s="25">
        <v>-308940</v>
      </c>
      <c r="G3772" s="26">
        <v>0.90881453583782956</v>
      </c>
      <c r="H3772" s="10">
        <v>2026</v>
      </c>
    </row>
    <row r="3773" spans="1:8" hidden="1" x14ac:dyDescent="0.3">
      <c r="A3773" s="23" t="s">
        <v>253</v>
      </c>
      <c r="B3773" s="24" t="s">
        <v>194</v>
      </c>
      <c r="C3773" s="22">
        <v>4</v>
      </c>
      <c r="D3773" s="25">
        <v>3181971</v>
      </c>
      <c r="E3773" s="25">
        <v>3521600</v>
      </c>
      <c r="F3773" s="25">
        <v>339629</v>
      </c>
      <c r="G3773" s="26">
        <v>1.1067354165075671</v>
      </c>
      <c r="H3773" s="10">
        <v>2026</v>
      </c>
    </row>
    <row r="3774" spans="1:8" hidden="1" x14ac:dyDescent="0.3">
      <c r="A3774" s="23" t="s">
        <v>103</v>
      </c>
      <c r="B3774" s="23" t="s">
        <v>194</v>
      </c>
      <c r="C3774" s="22">
        <v>1</v>
      </c>
      <c r="D3774" s="25">
        <v>1815000</v>
      </c>
      <c r="E3774" s="25">
        <v>1815000</v>
      </c>
      <c r="F3774" s="25">
        <v>0</v>
      </c>
      <c r="G3774" s="26">
        <v>1</v>
      </c>
      <c r="H3774" s="10">
        <v>2026</v>
      </c>
    </row>
    <row r="3775" spans="1:8" hidden="1" x14ac:dyDescent="0.3">
      <c r="A3775" s="24" t="s">
        <v>103</v>
      </c>
      <c r="B3775" s="24" t="s">
        <v>194</v>
      </c>
      <c r="C3775" s="22">
        <v>2</v>
      </c>
      <c r="D3775" s="25">
        <v>1815000</v>
      </c>
      <c r="E3775" s="25">
        <v>1875500</v>
      </c>
      <c r="F3775" s="25">
        <v>60500</v>
      </c>
      <c r="G3775" s="26">
        <v>1.0333333333333334</v>
      </c>
      <c r="H3775" s="10">
        <v>2026</v>
      </c>
    </row>
    <row r="3776" spans="1:8" hidden="1" x14ac:dyDescent="0.3">
      <c r="A3776" s="24" t="s">
        <v>103</v>
      </c>
      <c r="B3776" s="24" t="s">
        <v>194</v>
      </c>
      <c r="C3776" s="22">
        <v>3</v>
      </c>
      <c r="D3776" s="25">
        <v>2105400</v>
      </c>
      <c r="E3776" s="25">
        <v>2037200</v>
      </c>
      <c r="F3776" s="25">
        <v>-68200</v>
      </c>
      <c r="G3776" s="26">
        <v>0.96760710553814011</v>
      </c>
      <c r="H3776" s="10">
        <v>2026</v>
      </c>
    </row>
    <row r="3777" spans="1:8" hidden="1" x14ac:dyDescent="0.3">
      <c r="A3777" s="24" t="s">
        <v>103</v>
      </c>
      <c r="B3777" s="24" t="s">
        <v>194</v>
      </c>
      <c r="C3777" s="22">
        <v>4</v>
      </c>
      <c r="D3777" s="25">
        <v>1960200</v>
      </c>
      <c r="E3777" s="25">
        <v>1960200</v>
      </c>
      <c r="F3777" s="25">
        <v>0</v>
      </c>
      <c r="G3777" s="26">
        <v>1</v>
      </c>
      <c r="H3777" s="10">
        <v>2026</v>
      </c>
    </row>
    <row r="3778" spans="1:8" hidden="1" x14ac:dyDescent="0.3">
      <c r="A3778" s="23" t="s">
        <v>79</v>
      </c>
      <c r="B3778" s="23" t="s">
        <v>194</v>
      </c>
      <c r="C3778" s="22">
        <v>1</v>
      </c>
      <c r="D3778" s="25">
        <v>1122900</v>
      </c>
      <c r="E3778" s="25">
        <v>1204200</v>
      </c>
      <c r="F3778" s="25">
        <v>81300</v>
      </c>
      <c r="G3778" s="26">
        <v>1.0724018167245526</v>
      </c>
      <c r="H3778" s="10">
        <v>2026</v>
      </c>
    </row>
    <row r="3779" spans="1:8" hidden="1" x14ac:dyDescent="0.3">
      <c r="A3779" s="23" t="s">
        <v>79</v>
      </c>
      <c r="B3779" s="24" t="s">
        <v>194</v>
      </c>
      <c r="C3779" s="22">
        <v>2</v>
      </c>
      <c r="D3779" s="25">
        <v>1192164</v>
      </c>
      <c r="E3779" s="25">
        <v>1252700</v>
      </c>
      <c r="F3779" s="25">
        <v>60536</v>
      </c>
      <c r="G3779" s="26">
        <v>1.050778248630222</v>
      </c>
      <c r="H3779" s="10">
        <v>2026</v>
      </c>
    </row>
    <row r="3780" spans="1:8" hidden="1" x14ac:dyDescent="0.3">
      <c r="A3780" s="23" t="s">
        <v>79</v>
      </c>
      <c r="B3780" s="24" t="s">
        <v>194</v>
      </c>
      <c r="C3780" s="22">
        <v>3</v>
      </c>
      <c r="D3780" s="25">
        <v>1737000</v>
      </c>
      <c r="E3780" s="25">
        <v>1737100</v>
      </c>
      <c r="F3780" s="25">
        <v>100</v>
      </c>
      <c r="G3780" s="26">
        <v>1.0000575705238919</v>
      </c>
      <c r="H3780" s="10">
        <v>2026</v>
      </c>
    </row>
    <row r="3781" spans="1:8" hidden="1" x14ac:dyDescent="0.3">
      <c r="A3781" s="23" t="s">
        <v>79</v>
      </c>
      <c r="B3781" s="24" t="s">
        <v>194</v>
      </c>
      <c r="C3781" s="22">
        <v>4</v>
      </c>
      <c r="D3781" s="25">
        <v>1480800</v>
      </c>
      <c r="E3781" s="25">
        <v>1480800</v>
      </c>
      <c r="F3781" s="25">
        <v>0</v>
      </c>
      <c r="G3781" s="26">
        <v>1</v>
      </c>
      <c r="H3781" s="10">
        <v>2026</v>
      </c>
    </row>
    <row r="3782" spans="1:8" hidden="1" x14ac:dyDescent="0.3">
      <c r="A3782" s="23" t="s">
        <v>64</v>
      </c>
      <c r="B3782" s="23" t="s">
        <v>194</v>
      </c>
      <c r="C3782" s="22">
        <v>1</v>
      </c>
      <c r="D3782" s="25">
        <v>444444</v>
      </c>
      <c r="E3782" s="25">
        <v>451600</v>
      </c>
      <c r="F3782" s="25">
        <v>7156</v>
      </c>
      <c r="G3782" s="26">
        <v>1.0161010161010162</v>
      </c>
      <c r="H3782" s="10">
        <v>2026</v>
      </c>
    </row>
    <row r="3783" spans="1:8" hidden="1" x14ac:dyDescent="0.3">
      <c r="A3783" s="24" t="s">
        <v>64</v>
      </c>
      <c r="B3783" s="24" t="s">
        <v>194</v>
      </c>
      <c r="C3783" s="22">
        <v>2</v>
      </c>
      <c r="D3783" s="25">
        <v>464118</v>
      </c>
      <c r="E3783" s="25">
        <v>474900</v>
      </c>
      <c r="F3783" s="25">
        <v>10782</v>
      </c>
      <c r="G3783" s="26">
        <v>1.0232311610409421</v>
      </c>
      <c r="H3783" s="10">
        <v>2026</v>
      </c>
    </row>
    <row r="3784" spans="1:8" hidden="1" x14ac:dyDescent="0.3">
      <c r="A3784" s="24" t="s">
        <v>64</v>
      </c>
      <c r="B3784" s="24" t="s">
        <v>194</v>
      </c>
      <c r="C3784" s="22">
        <v>3</v>
      </c>
      <c r="D3784" s="25">
        <v>546606</v>
      </c>
      <c r="E3784" s="25">
        <v>560900</v>
      </c>
      <c r="F3784" s="25">
        <v>14294</v>
      </c>
      <c r="G3784" s="26">
        <v>1.0261504630391909</v>
      </c>
      <c r="H3784" s="10">
        <v>2026</v>
      </c>
    </row>
    <row r="3785" spans="1:8" hidden="1" x14ac:dyDescent="0.3">
      <c r="A3785" s="24" t="s">
        <v>64</v>
      </c>
      <c r="B3785" s="24" t="s">
        <v>194</v>
      </c>
      <c r="C3785" s="22">
        <v>4</v>
      </c>
      <c r="D3785" s="25">
        <v>892054</v>
      </c>
      <c r="E3785" s="25">
        <v>898900</v>
      </c>
      <c r="F3785" s="25">
        <v>6846</v>
      </c>
      <c r="G3785" s="26">
        <v>1.0076744232972443</v>
      </c>
      <c r="H3785" s="10">
        <v>2026</v>
      </c>
    </row>
    <row r="3786" spans="1:8" hidden="1" x14ac:dyDescent="0.3">
      <c r="A3786" s="23" t="s">
        <v>67</v>
      </c>
      <c r="B3786" s="23" t="s">
        <v>194</v>
      </c>
      <c r="C3786" s="22">
        <v>1</v>
      </c>
      <c r="D3786" s="25">
        <v>1454189</v>
      </c>
      <c r="E3786" s="25">
        <v>1362600</v>
      </c>
      <c r="F3786" s="25">
        <v>-91589</v>
      </c>
      <c r="G3786" s="26">
        <v>0.93701712775987167</v>
      </c>
      <c r="H3786" s="10">
        <v>2026</v>
      </c>
    </row>
    <row r="3787" spans="1:8" hidden="1" x14ac:dyDescent="0.3">
      <c r="A3787" s="24" t="s">
        <v>67</v>
      </c>
      <c r="B3787" s="24" t="s">
        <v>194</v>
      </c>
      <c r="C3787" s="22">
        <v>2</v>
      </c>
      <c r="D3787" s="25">
        <v>1396437</v>
      </c>
      <c r="E3787" s="25">
        <v>1369600</v>
      </c>
      <c r="F3787" s="25">
        <v>-26837</v>
      </c>
      <c r="G3787" s="26">
        <v>0.98078180397683534</v>
      </c>
      <c r="H3787" s="10">
        <v>2026</v>
      </c>
    </row>
    <row r="3788" spans="1:8" hidden="1" x14ac:dyDescent="0.3">
      <c r="A3788" s="24" t="s">
        <v>67</v>
      </c>
      <c r="B3788" s="24" t="s">
        <v>194</v>
      </c>
      <c r="C3788" s="22">
        <v>3</v>
      </c>
      <c r="D3788" s="25">
        <v>1671429</v>
      </c>
      <c r="E3788" s="25">
        <v>1576900</v>
      </c>
      <c r="F3788" s="25">
        <v>-94529</v>
      </c>
      <c r="G3788" s="26">
        <v>0.94344420253567463</v>
      </c>
      <c r="H3788" s="10">
        <v>2026</v>
      </c>
    </row>
    <row r="3789" spans="1:8" hidden="1" x14ac:dyDescent="0.3">
      <c r="A3789" s="24" t="s">
        <v>67</v>
      </c>
      <c r="B3789" s="24" t="s">
        <v>194</v>
      </c>
      <c r="C3789" s="22">
        <v>4</v>
      </c>
      <c r="D3789" s="25">
        <v>1541916</v>
      </c>
      <c r="E3789" s="25">
        <v>1926250</v>
      </c>
      <c r="F3789" s="25">
        <v>384334</v>
      </c>
      <c r="G3789" s="26">
        <v>1.2492574173949813</v>
      </c>
      <c r="H3789" s="10">
        <v>2026</v>
      </c>
    </row>
    <row r="3790" spans="1:8" x14ac:dyDescent="0.3">
      <c r="A3790" s="23" t="s">
        <v>75</v>
      </c>
      <c r="B3790" s="23" t="s">
        <v>194</v>
      </c>
      <c r="C3790" s="22">
        <v>1</v>
      </c>
      <c r="D3790" s="25">
        <v>1828186</v>
      </c>
      <c r="E3790" s="25">
        <v>1635100</v>
      </c>
      <c r="F3790" s="25">
        <v>-193086</v>
      </c>
      <c r="G3790" s="26">
        <v>0.8943838318420555</v>
      </c>
      <c r="H3790" s="10">
        <v>2026</v>
      </c>
    </row>
    <row r="3791" spans="1:8" x14ac:dyDescent="0.3">
      <c r="A3791" s="23" t="s">
        <v>75</v>
      </c>
      <c r="B3791" s="24" t="s">
        <v>194</v>
      </c>
      <c r="C3791" s="22">
        <v>2</v>
      </c>
      <c r="D3791" s="25">
        <v>1692454</v>
      </c>
      <c r="E3791" s="25">
        <v>1765800</v>
      </c>
      <c r="F3791" s="25">
        <v>73346</v>
      </c>
      <c r="G3791" s="26">
        <v>1.0433370714950008</v>
      </c>
      <c r="H3791" s="10">
        <v>2026</v>
      </c>
    </row>
    <row r="3792" spans="1:8" x14ac:dyDescent="0.3">
      <c r="A3792" s="23" t="s">
        <v>75</v>
      </c>
      <c r="B3792" s="24" t="s">
        <v>194</v>
      </c>
      <c r="C3792" s="22">
        <v>3</v>
      </c>
      <c r="D3792" s="25">
        <v>2233155</v>
      </c>
      <c r="E3792" s="25">
        <v>2280400</v>
      </c>
      <c r="F3792" s="25">
        <v>47245</v>
      </c>
      <c r="G3792" s="26">
        <v>1.0211561669476592</v>
      </c>
      <c r="H3792" s="10">
        <v>2026</v>
      </c>
    </row>
    <row r="3793" spans="1:8" x14ac:dyDescent="0.3">
      <c r="A3793" s="23" t="s">
        <v>75</v>
      </c>
      <c r="B3793" s="24" t="s">
        <v>194</v>
      </c>
      <c r="C3793" s="22">
        <v>4</v>
      </c>
      <c r="D3793" s="25">
        <v>1780550</v>
      </c>
      <c r="E3793" s="25">
        <v>1646500</v>
      </c>
      <c r="F3793" s="25">
        <v>-134050</v>
      </c>
      <c r="G3793" s="26">
        <v>0.92471427367948111</v>
      </c>
      <c r="H3793" s="10">
        <v>2026</v>
      </c>
    </row>
    <row r="3794" spans="1:8" hidden="1" x14ac:dyDescent="0.3">
      <c r="A3794" s="23" t="s">
        <v>82</v>
      </c>
      <c r="B3794" s="23" t="s">
        <v>195</v>
      </c>
      <c r="C3794" s="22">
        <v>1</v>
      </c>
      <c r="D3794" s="25">
        <v>0</v>
      </c>
      <c r="E3794" s="25">
        <v>0</v>
      </c>
      <c r="F3794" s="25">
        <v>0</v>
      </c>
      <c r="G3794" s="26">
        <v>0</v>
      </c>
      <c r="H3794" s="10">
        <v>2026</v>
      </c>
    </row>
    <row r="3795" spans="1:8" hidden="1" x14ac:dyDescent="0.3">
      <c r="A3795" s="23" t="s">
        <v>82</v>
      </c>
      <c r="B3795" s="24" t="s">
        <v>195</v>
      </c>
      <c r="C3795" s="22">
        <v>2</v>
      </c>
      <c r="D3795" s="25">
        <v>0</v>
      </c>
      <c r="E3795" s="25">
        <v>0</v>
      </c>
      <c r="F3795" s="25">
        <v>0</v>
      </c>
      <c r="G3795" s="26">
        <v>0</v>
      </c>
      <c r="H3795" s="10">
        <v>2026</v>
      </c>
    </row>
    <row r="3796" spans="1:8" hidden="1" x14ac:dyDescent="0.3">
      <c r="A3796" s="23" t="s">
        <v>82</v>
      </c>
      <c r="B3796" s="24" t="s">
        <v>195</v>
      </c>
      <c r="C3796" s="22">
        <v>3</v>
      </c>
      <c r="D3796" s="25">
        <v>101960</v>
      </c>
      <c r="E3796" s="25">
        <v>102000</v>
      </c>
      <c r="F3796" s="25">
        <v>40</v>
      </c>
      <c r="G3796" s="26">
        <v>1.0003923107100825</v>
      </c>
      <c r="H3796" s="10">
        <v>2026</v>
      </c>
    </row>
    <row r="3797" spans="1:8" hidden="1" x14ac:dyDescent="0.3">
      <c r="A3797" s="23" t="s">
        <v>82</v>
      </c>
      <c r="B3797" s="24" t="s">
        <v>195</v>
      </c>
      <c r="C3797" s="22">
        <v>4</v>
      </c>
      <c r="D3797" s="25">
        <v>101131</v>
      </c>
      <c r="E3797" s="25">
        <v>97200</v>
      </c>
      <c r="F3797" s="25">
        <v>-3931</v>
      </c>
      <c r="G3797" s="26">
        <v>0.96112962395309054</v>
      </c>
      <c r="H3797" s="10">
        <v>2026</v>
      </c>
    </row>
    <row r="3798" spans="1:8" hidden="1" x14ac:dyDescent="0.3">
      <c r="A3798" s="23" t="s">
        <v>77</v>
      </c>
      <c r="B3798" s="23" t="s">
        <v>195</v>
      </c>
      <c r="C3798" s="22">
        <v>1</v>
      </c>
      <c r="D3798" s="25">
        <v>275804</v>
      </c>
      <c r="E3798" s="25">
        <v>281350</v>
      </c>
      <c r="F3798" s="25">
        <v>5546</v>
      </c>
      <c r="G3798" s="26">
        <v>1.020108482835637</v>
      </c>
      <c r="H3798" s="10">
        <v>2026</v>
      </c>
    </row>
    <row r="3799" spans="1:8" hidden="1" x14ac:dyDescent="0.3">
      <c r="A3799" s="23" t="s">
        <v>77</v>
      </c>
      <c r="B3799" s="24" t="s">
        <v>195</v>
      </c>
      <c r="C3799" s="22">
        <v>2</v>
      </c>
      <c r="D3799" s="25">
        <v>304041</v>
      </c>
      <c r="E3799" s="25">
        <v>320800</v>
      </c>
      <c r="F3799" s="25">
        <v>16759</v>
      </c>
      <c r="G3799" s="26">
        <v>1.0551208554109479</v>
      </c>
      <c r="H3799" s="10">
        <v>2026</v>
      </c>
    </row>
    <row r="3800" spans="1:8" hidden="1" x14ac:dyDescent="0.3">
      <c r="A3800" s="23" t="s">
        <v>77</v>
      </c>
      <c r="B3800" s="24" t="s">
        <v>195</v>
      </c>
      <c r="C3800" s="22">
        <v>3</v>
      </c>
      <c r="D3800" s="25">
        <v>357451</v>
      </c>
      <c r="E3800" s="25">
        <v>291300</v>
      </c>
      <c r="F3800" s="25">
        <v>-66151</v>
      </c>
      <c r="G3800" s="26">
        <v>0.81493687246643598</v>
      </c>
      <c r="H3800" s="10">
        <v>2026</v>
      </c>
    </row>
    <row r="3801" spans="1:8" hidden="1" x14ac:dyDescent="0.3">
      <c r="A3801" s="23" t="s">
        <v>77</v>
      </c>
      <c r="B3801" s="24" t="s">
        <v>195</v>
      </c>
      <c r="C3801" s="22">
        <v>4</v>
      </c>
      <c r="D3801" s="25">
        <v>271952</v>
      </c>
      <c r="E3801" s="25">
        <v>261400</v>
      </c>
      <c r="F3801" s="25">
        <v>-10552</v>
      </c>
      <c r="G3801" s="26">
        <v>0.96119903512384541</v>
      </c>
      <c r="H3801" s="10">
        <v>2026</v>
      </c>
    </row>
    <row r="3802" spans="1:8" hidden="1" x14ac:dyDescent="0.3">
      <c r="A3802" s="23" t="s">
        <v>253</v>
      </c>
      <c r="B3802" s="23" t="s">
        <v>195</v>
      </c>
      <c r="C3802" s="22">
        <v>1</v>
      </c>
      <c r="D3802" s="25">
        <v>881788</v>
      </c>
      <c r="E3802" s="25">
        <v>953100</v>
      </c>
      <c r="F3802" s="25">
        <v>71312</v>
      </c>
      <c r="G3802" s="26">
        <v>1.0808720463422048</v>
      </c>
      <c r="H3802" s="10">
        <v>2026</v>
      </c>
    </row>
    <row r="3803" spans="1:8" hidden="1" x14ac:dyDescent="0.3">
      <c r="A3803" s="23" t="s">
        <v>253</v>
      </c>
      <c r="B3803" s="24" t="s">
        <v>195</v>
      </c>
      <c r="C3803" s="22">
        <v>2</v>
      </c>
      <c r="D3803" s="25">
        <v>920820</v>
      </c>
      <c r="E3803" s="25">
        <v>937200</v>
      </c>
      <c r="F3803" s="25">
        <v>16380</v>
      </c>
      <c r="G3803" s="26">
        <v>1.0177884928650551</v>
      </c>
      <c r="H3803" s="10">
        <v>2026</v>
      </c>
    </row>
    <row r="3804" spans="1:8" hidden="1" x14ac:dyDescent="0.3">
      <c r="A3804" s="23" t="s">
        <v>253</v>
      </c>
      <c r="B3804" s="24" t="s">
        <v>195</v>
      </c>
      <c r="C3804" s="22">
        <v>3</v>
      </c>
      <c r="D3804" s="25">
        <v>1129346</v>
      </c>
      <c r="E3804" s="25">
        <v>1110300</v>
      </c>
      <c r="F3804" s="25">
        <v>-19046</v>
      </c>
      <c r="G3804" s="26">
        <v>0.98313537215344105</v>
      </c>
      <c r="H3804" s="10">
        <v>2026</v>
      </c>
    </row>
    <row r="3805" spans="1:8" hidden="1" x14ac:dyDescent="0.3">
      <c r="A3805" s="23" t="s">
        <v>253</v>
      </c>
      <c r="B3805" s="24" t="s">
        <v>195</v>
      </c>
      <c r="C3805" s="22">
        <v>4</v>
      </c>
      <c r="D3805" s="25">
        <v>1060657</v>
      </c>
      <c r="E3805" s="25">
        <v>1161100</v>
      </c>
      <c r="F3805" s="25">
        <v>100443</v>
      </c>
      <c r="G3805" s="26">
        <v>1.0946988517494345</v>
      </c>
      <c r="H3805" s="10">
        <v>2026</v>
      </c>
    </row>
    <row r="3806" spans="1:8" hidden="1" x14ac:dyDescent="0.3">
      <c r="A3806" s="23" t="s">
        <v>103</v>
      </c>
      <c r="B3806" s="23" t="s">
        <v>195</v>
      </c>
      <c r="C3806" s="22">
        <v>1</v>
      </c>
      <c r="D3806" s="25">
        <v>605000</v>
      </c>
      <c r="E3806" s="25">
        <v>613700</v>
      </c>
      <c r="F3806" s="25">
        <v>8700</v>
      </c>
      <c r="G3806" s="26">
        <v>1.0143801652892561</v>
      </c>
      <c r="H3806" s="10">
        <v>2026</v>
      </c>
    </row>
    <row r="3807" spans="1:8" hidden="1" x14ac:dyDescent="0.3">
      <c r="A3807" s="24" t="s">
        <v>103</v>
      </c>
      <c r="B3807" s="24" t="s">
        <v>195</v>
      </c>
      <c r="C3807" s="22">
        <v>2</v>
      </c>
      <c r="D3807" s="25">
        <v>605000</v>
      </c>
      <c r="E3807" s="25">
        <v>625800</v>
      </c>
      <c r="F3807" s="25">
        <v>20800</v>
      </c>
      <c r="G3807" s="26">
        <v>1.0343801652892561</v>
      </c>
      <c r="H3807" s="10">
        <v>2026</v>
      </c>
    </row>
    <row r="3808" spans="1:8" hidden="1" x14ac:dyDescent="0.3">
      <c r="A3808" s="24" t="s">
        <v>103</v>
      </c>
      <c r="B3808" s="24" t="s">
        <v>195</v>
      </c>
      <c r="C3808" s="22">
        <v>3</v>
      </c>
      <c r="D3808" s="25">
        <v>701800</v>
      </c>
      <c r="E3808" s="25">
        <v>680100</v>
      </c>
      <c r="F3808" s="25">
        <v>-21700</v>
      </c>
      <c r="G3808" s="26">
        <v>0.96907950983186097</v>
      </c>
      <c r="H3808" s="10">
        <v>2026</v>
      </c>
    </row>
    <row r="3809" spans="1:8" hidden="1" x14ac:dyDescent="0.3">
      <c r="A3809" s="24" t="s">
        <v>103</v>
      </c>
      <c r="B3809" s="24" t="s">
        <v>195</v>
      </c>
      <c r="C3809" s="22">
        <v>4</v>
      </c>
      <c r="D3809" s="25">
        <v>653400</v>
      </c>
      <c r="E3809" s="25">
        <v>653400</v>
      </c>
      <c r="F3809" s="25">
        <v>0</v>
      </c>
      <c r="G3809" s="26">
        <v>1</v>
      </c>
      <c r="H3809" s="10">
        <v>2026</v>
      </c>
    </row>
    <row r="3810" spans="1:8" hidden="1" x14ac:dyDescent="0.3">
      <c r="A3810" s="23" t="s">
        <v>79</v>
      </c>
      <c r="B3810" s="23" t="s">
        <v>195</v>
      </c>
      <c r="C3810" s="22">
        <v>1</v>
      </c>
      <c r="D3810" s="25">
        <v>374300</v>
      </c>
      <c r="E3810" s="25">
        <v>402150</v>
      </c>
      <c r="F3810" s="25">
        <v>27850</v>
      </c>
      <c r="G3810" s="26">
        <v>1.0744055570398077</v>
      </c>
      <c r="H3810" s="10">
        <v>2026</v>
      </c>
    </row>
    <row r="3811" spans="1:8" hidden="1" x14ac:dyDescent="0.3">
      <c r="A3811" s="23" t="s">
        <v>79</v>
      </c>
      <c r="B3811" s="24" t="s">
        <v>195</v>
      </c>
      <c r="C3811" s="22">
        <v>2</v>
      </c>
      <c r="D3811" s="25">
        <v>397388</v>
      </c>
      <c r="E3811" s="25">
        <v>409600</v>
      </c>
      <c r="F3811" s="25">
        <v>12212</v>
      </c>
      <c r="G3811" s="26">
        <v>1.0307306712834812</v>
      </c>
      <c r="H3811" s="10">
        <v>2026</v>
      </c>
    </row>
    <row r="3812" spans="1:8" hidden="1" x14ac:dyDescent="0.3">
      <c r="A3812" s="23" t="s">
        <v>79</v>
      </c>
      <c r="B3812" s="24" t="s">
        <v>195</v>
      </c>
      <c r="C3812" s="22">
        <v>3</v>
      </c>
      <c r="D3812" s="25">
        <v>579000</v>
      </c>
      <c r="E3812" s="25">
        <v>579100</v>
      </c>
      <c r="F3812" s="25">
        <v>100</v>
      </c>
      <c r="G3812" s="26">
        <v>1.0001727115716754</v>
      </c>
      <c r="H3812" s="10">
        <v>2026</v>
      </c>
    </row>
    <row r="3813" spans="1:8" hidden="1" x14ac:dyDescent="0.3">
      <c r="A3813" s="23" t="s">
        <v>79</v>
      </c>
      <c r="B3813" s="24" t="s">
        <v>195</v>
      </c>
      <c r="C3813" s="22">
        <v>4</v>
      </c>
      <c r="D3813" s="25">
        <v>493600</v>
      </c>
      <c r="E3813" s="25">
        <v>493600</v>
      </c>
      <c r="F3813" s="25">
        <v>0</v>
      </c>
      <c r="G3813" s="26">
        <v>1</v>
      </c>
      <c r="H3813" s="10">
        <v>2026</v>
      </c>
    </row>
    <row r="3814" spans="1:8" hidden="1" x14ac:dyDescent="0.3">
      <c r="A3814" s="23" t="s">
        <v>64</v>
      </c>
      <c r="B3814" s="23" t="s">
        <v>195</v>
      </c>
      <c r="C3814" s="22">
        <v>1</v>
      </c>
      <c r="D3814" s="25">
        <v>148148</v>
      </c>
      <c r="E3814" s="25">
        <v>150600</v>
      </c>
      <c r="F3814" s="25">
        <v>2452</v>
      </c>
      <c r="G3814" s="26">
        <v>1.0165510165510165</v>
      </c>
      <c r="H3814" s="10">
        <v>2026</v>
      </c>
    </row>
    <row r="3815" spans="1:8" hidden="1" x14ac:dyDescent="0.3">
      <c r="A3815" s="24" t="s">
        <v>64</v>
      </c>
      <c r="B3815" s="24" t="s">
        <v>195</v>
      </c>
      <c r="C3815" s="22">
        <v>2</v>
      </c>
      <c r="D3815" s="25">
        <v>154706</v>
      </c>
      <c r="E3815" s="25">
        <v>158400</v>
      </c>
      <c r="F3815" s="25">
        <v>3694</v>
      </c>
      <c r="G3815" s="26">
        <v>1.0238775483820926</v>
      </c>
      <c r="H3815" s="10">
        <v>2026</v>
      </c>
    </row>
    <row r="3816" spans="1:8" hidden="1" x14ac:dyDescent="0.3">
      <c r="A3816" s="24" t="s">
        <v>64</v>
      </c>
      <c r="B3816" s="24" t="s">
        <v>195</v>
      </c>
      <c r="C3816" s="22">
        <v>3</v>
      </c>
      <c r="D3816" s="25">
        <v>182202</v>
      </c>
      <c r="E3816" s="25">
        <v>187000</v>
      </c>
      <c r="F3816" s="25">
        <v>4798</v>
      </c>
      <c r="G3816" s="26">
        <v>1.0263334101711288</v>
      </c>
      <c r="H3816" s="10">
        <v>2026</v>
      </c>
    </row>
    <row r="3817" spans="1:8" hidden="1" x14ac:dyDescent="0.3">
      <c r="A3817" s="24" t="s">
        <v>64</v>
      </c>
      <c r="B3817" s="24" t="s">
        <v>195</v>
      </c>
      <c r="C3817" s="22">
        <v>4</v>
      </c>
      <c r="D3817" s="25">
        <v>297351</v>
      </c>
      <c r="E3817" s="25">
        <v>290900</v>
      </c>
      <c r="F3817" s="25">
        <v>-6451</v>
      </c>
      <c r="G3817" s="26">
        <v>0.97830510070589982</v>
      </c>
      <c r="H3817" s="10">
        <v>2026</v>
      </c>
    </row>
    <row r="3818" spans="1:8" hidden="1" x14ac:dyDescent="0.3">
      <c r="A3818" s="23" t="s">
        <v>67</v>
      </c>
      <c r="B3818" s="23" t="s">
        <v>195</v>
      </c>
      <c r="C3818" s="22">
        <v>1</v>
      </c>
      <c r="D3818" s="25">
        <v>484729</v>
      </c>
      <c r="E3818" s="25">
        <v>454400</v>
      </c>
      <c r="F3818" s="25">
        <v>-30329</v>
      </c>
      <c r="G3818" s="26">
        <v>0.93743101815653695</v>
      </c>
      <c r="H3818" s="10">
        <v>2026</v>
      </c>
    </row>
    <row r="3819" spans="1:8" hidden="1" x14ac:dyDescent="0.3">
      <c r="A3819" s="24" t="s">
        <v>67</v>
      </c>
      <c r="B3819" s="24" t="s">
        <v>195</v>
      </c>
      <c r="C3819" s="22">
        <v>2</v>
      </c>
      <c r="D3819" s="25">
        <v>465479</v>
      </c>
      <c r="E3819" s="25">
        <v>456450</v>
      </c>
      <c r="F3819" s="25">
        <v>-9029</v>
      </c>
      <c r="G3819" s="26">
        <v>0.98060277692441544</v>
      </c>
      <c r="H3819" s="10">
        <v>2026</v>
      </c>
    </row>
    <row r="3820" spans="1:8" hidden="1" x14ac:dyDescent="0.3">
      <c r="A3820" s="24" t="s">
        <v>67</v>
      </c>
      <c r="B3820" s="24" t="s">
        <v>195</v>
      </c>
      <c r="C3820" s="22">
        <v>3</v>
      </c>
      <c r="D3820" s="25">
        <v>557143</v>
      </c>
      <c r="E3820" s="25">
        <v>525700</v>
      </c>
      <c r="F3820" s="25">
        <v>-31443</v>
      </c>
      <c r="G3820" s="26">
        <v>0.94356386062465114</v>
      </c>
      <c r="H3820" s="10">
        <v>2026</v>
      </c>
    </row>
    <row r="3821" spans="1:8" hidden="1" x14ac:dyDescent="0.3">
      <c r="A3821" s="24" t="s">
        <v>67</v>
      </c>
      <c r="B3821" s="24" t="s">
        <v>195</v>
      </c>
      <c r="C3821" s="22">
        <v>4</v>
      </c>
      <c r="D3821" s="25">
        <v>513972</v>
      </c>
      <c r="E3821" s="25">
        <v>631850</v>
      </c>
      <c r="F3821" s="25">
        <v>117878</v>
      </c>
      <c r="G3821" s="26">
        <v>1.2293471239678426</v>
      </c>
      <c r="H3821" s="10">
        <v>2026</v>
      </c>
    </row>
    <row r="3822" spans="1:8" x14ac:dyDescent="0.3">
      <c r="A3822" s="23" t="s">
        <v>75</v>
      </c>
      <c r="B3822" s="23" t="s">
        <v>195</v>
      </c>
      <c r="C3822" s="22">
        <v>1</v>
      </c>
      <c r="D3822" s="25">
        <v>609395</v>
      </c>
      <c r="E3822" s="25">
        <v>551600</v>
      </c>
      <c r="F3822" s="25">
        <v>-57795</v>
      </c>
      <c r="G3822" s="26">
        <v>0.90516003577318493</v>
      </c>
      <c r="H3822" s="10">
        <v>2026</v>
      </c>
    </row>
    <row r="3823" spans="1:8" x14ac:dyDescent="0.3">
      <c r="A3823" s="23" t="s">
        <v>75</v>
      </c>
      <c r="B3823" s="24" t="s">
        <v>195</v>
      </c>
      <c r="C3823" s="22">
        <v>2</v>
      </c>
      <c r="D3823" s="25">
        <v>564151</v>
      </c>
      <c r="E3823" s="25">
        <v>584000</v>
      </c>
      <c r="F3823" s="25">
        <v>19849</v>
      </c>
      <c r="G3823" s="26">
        <v>1.0351838426236948</v>
      </c>
      <c r="H3823" s="10">
        <v>2026</v>
      </c>
    </row>
    <row r="3824" spans="1:8" x14ac:dyDescent="0.3">
      <c r="A3824" s="23" t="s">
        <v>75</v>
      </c>
      <c r="B3824" s="24" t="s">
        <v>195</v>
      </c>
      <c r="C3824" s="22">
        <v>3</v>
      </c>
      <c r="D3824" s="25">
        <v>744385</v>
      </c>
      <c r="E3824" s="25">
        <v>733500</v>
      </c>
      <c r="F3824" s="25">
        <v>-10885</v>
      </c>
      <c r="G3824" s="26">
        <v>0.98537719056670947</v>
      </c>
      <c r="H3824" s="10">
        <v>2026</v>
      </c>
    </row>
    <row r="3825" spans="1:8" x14ac:dyDescent="0.3">
      <c r="A3825" s="23" t="s">
        <v>75</v>
      </c>
      <c r="B3825" s="24" t="s">
        <v>195</v>
      </c>
      <c r="C3825" s="22">
        <v>4</v>
      </c>
      <c r="D3825" s="25">
        <v>593516</v>
      </c>
      <c r="E3825" s="25">
        <v>531400</v>
      </c>
      <c r="F3825" s="25">
        <v>-62116</v>
      </c>
      <c r="G3825" s="26">
        <v>0.89534233280989906</v>
      </c>
      <c r="H3825" s="10">
        <v>2026</v>
      </c>
    </row>
    <row r="3826" spans="1:8" hidden="1" x14ac:dyDescent="0.3">
      <c r="A3826" s="23" t="s">
        <v>103</v>
      </c>
      <c r="B3826" s="23" t="s">
        <v>196</v>
      </c>
      <c r="C3826" s="22">
        <v>1</v>
      </c>
      <c r="D3826" s="25">
        <v>453750</v>
      </c>
      <c r="E3826" s="25">
        <v>100</v>
      </c>
      <c r="F3826" s="25">
        <v>-453650</v>
      </c>
      <c r="G3826" s="26">
        <v>2.2038567493112948E-4</v>
      </c>
      <c r="H3826" s="10">
        <v>2026</v>
      </c>
    </row>
    <row r="3827" spans="1:8" hidden="1" x14ac:dyDescent="0.3">
      <c r="A3827" s="24" t="s">
        <v>103</v>
      </c>
      <c r="B3827" s="24" t="s">
        <v>196</v>
      </c>
      <c r="C3827" s="22">
        <v>2</v>
      </c>
      <c r="D3827" s="25">
        <v>453750</v>
      </c>
      <c r="E3827" s="25">
        <v>0</v>
      </c>
      <c r="F3827" s="25">
        <v>-453750</v>
      </c>
      <c r="G3827" s="26">
        <v>0</v>
      </c>
      <c r="H3827" s="10">
        <v>2026</v>
      </c>
    </row>
    <row r="3828" spans="1:8" hidden="1" x14ac:dyDescent="0.3">
      <c r="A3828" s="24" t="s">
        <v>103</v>
      </c>
      <c r="B3828" s="24" t="s">
        <v>196</v>
      </c>
      <c r="C3828" s="22">
        <v>3</v>
      </c>
      <c r="D3828" s="25">
        <v>526350</v>
      </c>
      <c r="E3828" s="25">
        <v>0</v>
      </c>
      <c r="F3828" s="25">
        <v>-526350</v>
      </c>
      <c r="G3828" s="26">
        <v>0</v>
      </c>
      <c r="H3828" s="10">
        <v>2026</v>
      </c>
    </row>
    <row r="3829" spans="1:8" hidden="1" x14ac:dyDescent="0.3">
      <c r="A3829" s="24" t="s">
        <v>103</v>
      </c>
      <c r="B3829" s="24" t="s">
        <v>196</v>
      </c>
      <c r="C3829" s="22">
        <v>4</v>
      </c>
      <c r="D3829" s="25">
        <v>490050</v>
      </c>
      <c r="E3829" s="25">
        <v>0</v>
      </c>
      <c r="F3829" s="25">
        <v>-490050</v>
      </c>
      <c r="G3829" s="26">
        <v>0</v>
      </c>
      <c r="H3829" s="10">
        <v>2026</v>
      </c>
    </row>
    <row r="3830" spans="1:8" hidden="1" x14ac:dyDescent="0.3">
      <c r="A3830" s="23" t="s">
        <v>103</v>
      </c>
      <c r="B3830" s="23" t="s">
        <v>197</v>
      </c>
      <c r="C3830" s="22">
        <v>1</v>
      </c>
      <c r="D3830" s="25">
        <v>302500</v>
      </c>
      <c r="E3830" s="25">
        <v>100</v>
      </c>
      <c r="F3830" s="25">
        <v>-302400</v>
      </c>
      <c r="G3830" s="26">
        <v>3.3057851239669424E-4</v>
      </c>
      <c r="H3830" s="10">
        <v>2026</v>
      </c>
    </row>
    <row r="3831" spans="1:8" hidden="1" x14ac:dyDescent="0.3">
      <c r="A3831" s="24" t="s">
        <v>103</v>
      </c>
      <c r="B3831" s="24" t="s">
        <v>197</v>
      </c>
      <c r="C3831" s="22">
        <v>2</v>
      </c>
      <c r="D3831" s="25">
        <v>302500</v>
      </c>
      <c r="E3831" s="25">
        <v>0</v>
      </c>
      <c r="F3831" s="25">
        <v>-302500</v>
      </c>
      <c r="G3831" s="26">
        <v>0</v>
      </c>
      <c r="H3831" s="10">
        <v>2026</v>
      </c>
    </row>
    <row r="3832" spans="1:8" hidden="1" x14ac:dyDescent="0.3">
      <c r="A3832" s="24" t="s">
        <v>103</v>
      </c>
      <c r="B3832" s="24" t="s">
        <v>197</v>
      </c>
      <c r="C3832" s="22">
        <v>3</v>
      </c>
      <c r="D3832" s="25">
        <v>350900</v>
      </c>
      <c r="E3832" s="25">
        <v>0</v>
      </c>
      <c r="F3832" s="25">
        <v>-350900</v>
      </c>
      <c r="G3832" s="26">
        <v>0</v>
      </c>
      <c r="H3832" s="10">
        <v>2026</v>
      </c>
    </row>
    <row r="3833" spans="1:8" hidden="1" x14ac:dyDescent="0.3">
      <c r="A3833" s="24" t="s">
        <v>103</v>
      </c>
      <c r="B3833" s="24" t="s">
        <v>197</v>
      </c>
      <c r="C3833" s="22">
        <v>4</v>
      </c>
      <c r="D3833" s="25">
        <v>326700</v>
      </c>
      <c r="E3833" s="25">
        <v>0</v>
      </c>
      <c r="F3833" s="25">
        <v>-326700</v>
      </c>
      <c r="G3833" s="26">
        <v>0</v>
      </c>
      <c r="H3833" s="10">
        <v>2026</v>
      </c>
    </row>
    <row r="3834" spans="1:8" hidden="1" x14ac:dyDescent="0.3">
      <c r="A3834" s="23" t="s">
        <v>253</v>
      </c>
      <c r="B3834" s="23" t="s">
        <v>198</v>
      </c>
      <c r="C3834" s="22">
        <v>2</v>
      </c>
      <c r="D3834" s="25">
        <v>0</v>
      </c>
      <c r="E3834" s="25">
        <v>229310</v>
      </c>
      <c r="F3834" s="25">
        <v>229310</v>
      </c>
      <c r="G3834" s="26">
        <v>0</v>
      </c>
      <c r="H3834" s="10">
        <v>2026</v>
      </c>
    </row>
    <row r="3835" spans="1:8" hidden="1" x14ac:dyDescent="0.3">
      <c r="A3835" s="23" t="s">
        <v>253</v>
      </c>
      <c r="B3835" s="24" t="s">
        <v>198</v>
      </c>
      <c r="C3835" s="22">
        <v>3</v>
      </c>
      <c r="D3835" s="25">
        <v>0</v>
      </c>
      <c r="E3835" s="25">
        <v>0</v>
      </c>
      <c r="F3835" s="25">
        <v>0</v>
      </c>
      <c r="G3835" s="26">
        <v>0</v>
      </c>
      <c r="H3835" s="10">
        <v>2026</v>
      </c>
    </row>
    <row r="3836" spans="1:8" hidden="1" x14ac:dyDescent="0.3">
      <c r="A3836" s="23" t="s">
        <v>253</v>
      </c>
      <c r="B3836" s="24" t="s">
        <v>198</v>
      </c>
      <c r="C3836" s="22">
        <v>4</v>
      </c>
      <c r="D3836" s="25">
        <v>0</v>
      </c>
      <c r="E3836" s="25">
        <v>0</v>
      </c>
      <c r="F3836" s="25">
        <v>0</v>
      </c>
      <c r="G3836" s="26">
        <v>0</v>
      </c>
      <c r="H3836" s="10">
        <v>2026</v>
      </c>
    </row>
    <row r="3837" spans="1:8" hidden="1" x14ac:dyDescent="0.3">
      <c r="A3837" s="23" t="s">
        <v>82</v>
      </c>
      <c r="B3837" s="23" t="s">
        <v>200</v>
      </c>
      <c r="C3837" s="22">
        <v>1</v>
      </c>
      <c r="D3837" s="25">
        <v>4030150</v>
      </c>
      <c r="E3837" s="25">
        <v>3587834</v>
      </c>
      <c r="F3837" s="25">
        <v>-442316</v>
      </c>
      <c r="G3837" s="26">
        <v>0.89024825378707995</v>
      </c>
      <c r="H3837" s="10">
        <v>2026</v>
      </c>
    </row>
    <row r="3838" spans="1:8" hidden="1" x14ac:dyDescent="0.3">
      <c r="A3838" s="23" t="s">
        <v>82</v>
      </c>
      <c r="B3838" s="24" t="s">
        <v>200</v>
      </c>
      <c r="C3838" s="22">
        <v>2</v>
      </c>
      <c r="D3838" s="25">
        <v>4030150</v>
      </c>
      <c r="E3838" s="25">
        <v>4079238</v>
      </c>
      <c r="F3838" s="25">
        <v>49088</v>
      </c>
      <c r="G3838" s="26">
        <v>1.0121801918042752</v>
      </c>
      <c r="H3838" s="10">
        <v>2026</v>
      </c>
    </row>
    <row r="3839" spans="1:8" hidden="1" x14ac:dyDescent="0.3">
      <c r="A3839" s="23" t="s">
        <v>82</v>
      </c>
      <c r="B3839" s="24" t="s">
        <v>200</v>
      </c>
      <c r="C3839" s="22">
        <v>3</v>
      </c>
      <c r="D3839" s="25">
        <v>2015075</v>
      </c>
      <c r="E3839" s="25">
        <v>1753605</v>
      </c>
      <c r="F3839" s="25">
        <v>-261470</v>
      </c>
      <c r="G3839" s="26">
        <v>0.87024304306291334</v>
      </c>
      <c r="H3839" s="10">
        <v>2026</v>
      </c>
    </row>
    <row r="3840" spans="1:8" hidden="1" x14ac:dyDescent="0.3">
      <c r="A3840" s="23" t="s">
        <v>82</v>
      </c>
      <c r="B3840" s="24" t="s">
        <v>200</v>
      </c>
      <c r="C3840" s="22">
        <v>4</v>
      </c>
      <c r="D3840" s="25">
        <v>0</v>
      </c>
      <c r="E3840" s="25">
        <v>0</v>
      </c>
      <c r="F3840" s="25">
        <v>0</v>
      </c>
      <c r="G3840" s="26">
        <v>0</v>
      </c>
      <c r="H3840" s="10">
        <v>2026</v>
      </c>
    </row>
    <row r="3841" spans="1:8" hidden="1" x14ac:dyDescent="0.3">
      <c r="A3841" s="23" t="s">
        <v>77</v>
      </c>
      <c r="B3841" s="23" t="s">
        <v>200</v>
      </c>
      <c r="C3841" s="22">
        <v>1</v>
      </c>
      <c r="D3841" s="25">
        <v>7117057</v>
      </c>
      <c r="E3841" s="25">
        <v>6615025</v>
      </c>
      <c r="F3841" s="25">
        <v>-502032</v>
      </c>
      <c r="G3841" s="26">
        <v>0.92946073074867885</v>
      </c>
      <c r="H3841" s="10">
        <v>2026</v>
      </c>
    </row>
    <row r="3842" spans="1:8" hidden="1" x14ac:dyDescent="0.3">
      <c r="A3842" s="23" t="s">
        <v>77</v>
      </c>
      <c r="B3842" s="24" t="s">
        <v>200</v>
      </c>
      <c r="C3842" s="22">
        <v>2</v>
      </c>
      <c r="D3842" s="25">
        <v>9549404</v>
      </c>
      <c r="E3842" s="25">
        <v>10696032</v>
      </c>
      <c r="F3842" s="25">
        <v>1146628</v>
      </c>
      <c r="G3842" s="26">
        <v>1.1200732527391239</v>
      </c>
      <c r="H3842" s="10">
        <v>2026</v>
      </c>
    </row>
    <row r="3843" spans="1:8" hidden="1" x14ac:dyDescent="0.3">
      <c r="A3843" s="23" t="s">
        <v>77</v>
      </c>
      <c r="B3843" s="24" t="s">
        <v>200</v>
      </c>
      <c r="C3843" s="22">
        <v>3</v>
      </c>
      <c r="D3843" s="25">
        <v>18816331</v>
      </c>
      <c r="E3843" s="25">
        <v>17805223</v>
      </c>
      <c r="F3843" s="25">
        <v>-1011108</v>
      </c>
      <c r="G3843" s="26">
        <v>0.94626433814328637</v>
      </c>
      <c r="H3843" s="10">
        <v>2026</v>
      </c>
    </row>
    <row r="3844" spans="1:8" hidden="1" x14ac:dyDescent="0.3">
      <c r="A3844" s="23" t="s">
        <v>77</v>
      </c>
      <c r="B3844" s="24" t="s">
        <v>200</v>
      </c>
      <c r="C3844" s="22">
        <v>4</v>
      </c>
      <c r="D3844" s="25">
        <v>14802773</v>
      </c>
      <c r="E3844" s="25">
        <v>17253076</v>
      </c>
      <c r="F3844" s="25">
        <v>2450303</v>
      </c>
      <c r="G3844" s="26">
        <v>1.1655299990076184</v>
      </c>
      <c r="H3844" s="10">
        <v>2026</v>
      </c>
    </row>
    <row r="3845" spans="1:8" hidden="1" x14ac:dyDescent="0.3">
      <c r="A3845" s="23" t="s">
        <v>253</v>
      </c>
      <c r="B3845" s="23" t="s">
        <v>200</v>
      </c>
      <c r="C3845" s="22">
        <v>1</v>
      </c>
      <c r="D3845" s="25">
        <v>3319306</v>
      </c>
      <c r="E3845" s="25">
        <v>3181608</v>
      </c>
      <c r="F3845" s="25">
        <v>-137698</v>
      </c>
      <c r="G3845" s="26">
        <v>0.95851602714543349</v>
      </c>
      <c r="H3845" s="10">
        <v>2026</v>
      </c>
    </row>
    <row r="3846" spans="1:8" hidden="1" x14ac:dyDescent="0.3">
      <c r="A3846" s="23" t="s">
        <v>253</v>
      </c>
      <c r="B3846" s="24" t="s">
        <v>200</v>
      </c>
      <c r="C3846" s="22">
        <v>2</v>
      </c>
      <c r="D3846" s="25">
        <v>3452029</v>
      </c>
      <c r="E3846" s="25">
        <v>3676658</v>
      </c>
      <c r="F3846" s="25">
        <v>224629</v>
      </c>
      <c r="G3846" s="26">
        <v>1.065071585435696</v>
      </c>
      <c r="H3846" s="10">
        <v>2026</v>
      </c>
    </row>
    <row r="3847" spans="1:8" hidden="1" x14ac:dyDescent="0.3">
      <c r="A3847" s="23" t="s">
        <v>253</v>
      </c>
      <c r="B3847" s="24" t="s">
        <v>200</v>
      </c>
      <c r="C3847" s="22">
        <v>3</v>
      </c>
      <c r="D3847" s="25">
        <v>4163083</v>
      </c>
      <c r="E3847" s="25">
        <v>3652460</v>
      </c>
      <c r="F3847" s="25">
        <v>-510623</v>
      </c>
      <c r="G3847" s="26">
        <v>0.87734498687631257</v>
      </c>
      <c r="H3847" s="10">
        <v>2026</v>
      </c>
    </row>
    <row r="3848" spans="1:8" hidden="1" x14ac:dyDescent="0.3">
      <c r="A3848" s="23" t="s">
        <v>253</v>
      </c>
      <c r="B3848" s="23" t="s">
        <v>200</v>
      </c>
      <c r="C3848" s="22">
        <v>4</v>
      </c>
      <c r="D3848" s="25">
        <v>3928528</v>
      </c>
      <c r="E3848" s="25">
        <v>5051144</v>
      </c>
      <c r="F3848" s="25">
        <v>1122616</v>
      </c>
      <c r="G3848" s="26">
        <v>1.2857599589464552</v>
      </c>
      <c r="H3848" s="10">
        <v>2026</v>
      </c>
    </row>
    <row r="3849" spans="1:8" hidden="1" x14ac:dyDescent="0.3">
      <c r="A3849" s="23" t="s">
        <v>79</v>
      </c>
      <c r="B3849" s="24" t="s">
        <v>200</v>
      </c>
      <c r="C3849" s="22">
        <v>1</v>
      </c>
      <c r="D3849" s="25">
        <v>9725779</v>
      </c>
      <c r="E3849" s="25">
        <v>9530329</v>
      </c>
      <c r="F3849" s="25">
        <v>-195450</v>
      </c>
      <c r="G3849" s="26">
        <v>0.97990392337724319</v>
      </c>
      <c r="H3849" s="10">
        <v>2026</v>
      </c>
    </row>
    <row r="3850" spans="1:8" hidden="1" x14ac:dyDescent="0.3">
      <c r="A3850" s="23" t="s">
        <v>79</v>
      </c>
      <c r="B3850" s="24" t="s">
        <v>200</v>
      </c>
      <c r="C3850" s="22">
        <v>2</v>
      </c>
      <c r="D3850" s="25">
        <v>9424384</v>
      </c>
      <c r="E3850" s="25">
        <v>9037441</v>
      </c>
      <c r="F3850" s="25">
        <v>-386943</v>
      </c>
      <c r="G3850" s="26">
        <v>0.95894235633862124</v>
      </c>
      <c r="H3850" s="10">
        <v>2026</v>
      </c>
    </row>
    <row r="3851" spans="1:8" hidden="1" x14ac:dyDescent="0.3">
      <c r="A3851" s="23" t="s">
        <v>79</v>
      </c>
      <c r="B3851" s="24" t="s">
        <v>200</v>
      </c>
      <c r="C3851" s="22">
        <v>3</v>
      </c>
      <c r="D3851" s="25">
        <v>10524376</v>
      </c>
      <c r="E3851" s="25">
        <v>10862406</v>
      </c>
      <c r="F3851" s="25">
        <v>338030</v>
      </c>
      <c r="G3851" s="26">
        <v>1.032118768846723</v>
      </c>
      <c r="H3851" s="10">
        <v>2026</v>
      </c>
    </row>
    <row r="3852" spans="1:8" hidden="1" x14ac:dyDescent="0.3">
      <c r="A3852" s="23" t="s">
        <v>79</v>
      </c>
      <c r="B3852" s="23" t="s">
        <v>200</v>
      </c>
      <c r="C3852" s="22">
        <v>4</v>
      </c>
      <c r="D3852" s="25">
        <v>9812680</v>
      </c>
      <c r="E3852" s="25">
        <v>7176028</v>
      </c>
      <c r="F3852" s="25">
        <v>-2636652</v>
      </c>
      <c r="G3852" s="26">
        <v>0.73130154045581841</v>
      </c>
      <c r="H3852" s="10">
        <v>2026</v>
      </c>
    </row>
    <row r="3853" spans="1:8" hidden="1" x14ac:dyDescent="0.3">
      <c r="A3853" s="24" t="s">
        <v>67</v>
      </c>
      <c r="B3853" s="24" t="s">
        <v>200</v>
      </c>
      <c r="C3853" s="22">
        <v>1</v>
      </c>
      <c r="D3853" s="25">
        <v>25018636</v>
      </c>
      <c r="E3853" s="25">
        <v>24350290</v>
      </c>
      <c r="F3853" s="25">
        <v>-668346</v>
      </c>
      <c r="G3853" s="26">
        <v>0.97328607362927377</v>
      </c>
      <c r="H3853" s="10">
        <v>2026</v>
      </c>
    </row>
    <row r="3854" spans="1:8" hidden="1" x14ac:dyDescent="0.3">
      <c r="A3854" s="24" t="s">
        <v>67</v>
      </c>
      <c r="B3854" s="24" t="s">
        <v>200</v>
      </c>
      <c r="C3854" s="22">
        <v>2</v>
      </c>
      <c r="D3854" s="25">
        <v>24127327</v>
      </c>
      <c r="E3854" s="25">
        <v>24279327</v>
      </c>
      <c r="F3854" s="25">
        <v>152000</v>
      </c>
      <c r="G3854" s="26">
        <v>1.0062999104708119</v>
      </c>
      <c r="H3854" s="10">
        <v>2026</v>
      </c>
    </row>
    <row r="3855" spans="1:8" hidden="1" x14ac:dyDescent="0.3">
      <c r="A3855" s="24" t="s">
        <v>67</v>
      </c>
      <c r="B3855" s="24" t="s">
        <v>200</v>
      </c>
      <c r="C3855" s="22">
        <v>3</v>
      </c>
      <c r="D3855" s="25">
        <v>30385219</v>
      </c>
      <c r="E3855" s="25">
        <v>28614861</v>
      </c>
      <c r="F3855" s="25">
        <v>-1770358</v>
      </c>
      <c r="G3855" s="26">
        <v>0.94173621062267154</v>
      </c>
      <c r="H3855" s="10">
        <v>2026</v>
      </c>
    </row>
    <row r="3856" spans="1:8" hidden="1" x14ac:dyDescent="0.3">
      <c r="A3856" s="23" t="s">
        <v>67</v>
      </c>
      <c r="B3856" s="23" t="s">
        <v>200</v>
      </c>
      <c r="C3856" s="22">
        <v>4</v>
      </c>
      <c r="D3856" s="25">
        <v>26513174</v>
      </c>
      <c r="E3856" s="25">
        <v>32423678</v>
      </c>
      <c r="F3856" s="25">
        <v>5910504</v>
      </c>
      <c r="G3856" s="26">
        <v>1.2229270625991442</v>
      </c>
      <c r="H3856" s="10">
        <v>2026</v>
      </c>
    </row>
    <row r="3857" spans="1:8" x14ac:dyDescent="0.3">
      <c r="A3857" s="23" t="s">
        <v>75</v>
      </c>
      <c r="B3857" s="24" t="s">
        <v>200</v>
      </c>
      <c r="C3857" s="22">
        <v>1</v>
      </c>
      <c r="D3857" s="25">
        <v>11745490</v>
      </c>
      <c r="E3857" s="25">
        <v>13211725</v>
      </c>
      <c r="F3857" s="25">
        <v>1466235</v>
      </c>
      <c r="G3857" s="26">
        <v>1.1248338724054936</v>
      </c>
      <c r="H3857" s="10">
        <v>2026</v>
      </c>
    </row>
    <row r="3858" spans="1:8" x14ac:dyDescent="0.3">
      <c r="A3858" s="23" t="s">
        <v>75</v>
      </c>
      <c r="B3858" s="24" t="s">
        <v>200</v>
      </c>
      <c r="C3858" s="22">
        <v>2</v>
      </c>
      <c r="D3858" s="25">
        <v>17402987</v>
      </c>
      <c r="E3858" s="25">
        <v>13987053</v>
      </c>
      <c r="F3858" s="25">
        <v>-3415934</v>
      </c>
      <c r="G3858" s="26">
        <v>0.80371564950315721</v>
      </c>
      <c r="H3858" s="10">
        <v>2026</v>
      </c>
    </row>
    <row r="3859" spans="1:8" x14ac:dyDescent="0.3">
      <c r="A3859" s="23" t="s">
        <v>75</v>
      </c>
      <c r="B3859" s="24" t="s">
        <v>200</v>
      </c>
      <c r="C3859" s="22">
        <v>3</v>
      </c>
      <c r="D3859" s="25">
        <v>20047695</v>
      </c>
      <c r="E3859" s="25">
        <v>19862325</v>
      </c>
      <c r="F3859" s="25">
        <v>-185370</v>
      </c>
      <c r="G3859" s="26">
        <v>0.9907535504705155</v>
      </c>
      <c r="H3859" s="10">
        <v>2026</v>
      </c>
    </row>
    <row r="3860" spans="1:8" x14ac:dyDescent="0.3">
      <c r="A3860" s="23" t="s">
        <v>75</v>
      </c>
      <c r="B3860" s="23" t="s">
        <v>200</v>
      </c>
      <c r="C3860" s="22">
        <v>4</v>
      </c>
      <c r="D3860" s="25">
        <v>21716587</v>
      </c>
      <c r="E3860" s="25">
        <v>22243593</v>
      </c>
      <c r="F3860" s="25">
        <v>527006</v>
      </c>
      <c r="G3860" s="26">
        <v>1.024267441288081</v>
      </c>
      <c r="H3860" s="10">
        <v>2026</v>
      </c>
    </row>
    <row r="3861" spans="1:8" hidden="1" x14ac:dyDescent="0.3">
      <c r="A3861" s="24" t="s">
        <v>146</v>
      </c>
      <c r="B3861" s="24" t="s">
        <v>200</v>
      </c>
      <c r="C3861" s="22">
        <v>1</v>
      </c>
      <c r="D3861" s="25">
        <v>52781362</v>
      </c>
      <c r="E3861" s="25">
        <v>52487059</v>
      </c>
      <c r="F3861" s="25">
        <v>-294303</v>
      </c>
      <c r="G3861" s="26">
        <v>0.99442411129898467</v>
      </c>
      <c r="H3861" s="10">
        <v>2026</v>
      </c>
    </row>
    <row r="3862" spans="1:8" hidden="1" x14ac:dyDescent="0.3">
      <c r="A3862" s="24" t="s">
        <v>146</v>
      </c>
      <c r="B3862" s="24" t="s">
        <v>200</v>
      </c>
      <c r="C3862" s="22">
        <v>2</v>
      </c>
      <c r="D3862" s="25">
        <v>52726740</v>
      </c>
      <c r="E3862" s="25">
        <v>49998837</v>
      </c>
      <c r="F3862" s="25">
        <v>-2727903</v>
      </c>
      <c r="G3862" s="26">
        <v>0.94826338590248516</v>
      </c>
      <c r="H3862" s="10">
        <v>2026</v>
      </c>
    </row>
    <row r="3863" spans="1:8" hidden="1" x14ac:dyDescent="0.3">
      <c r="A3863" s="24" t="s">
        <v>146</v>
      </c>
      <c r="B3863" s="24" t="s">
        <v>200</v>
      </c>
      <c r="C3863" s="22">
        <v>3</v>
      </c>
      <c r="D3863" s="25">
        <v>63278699</v>
      </c>
      <c r="E3863" s="25">
        <v>55166011</v>
      </c>
      <c r="F3863" s="25">
        <v>-8112688</v>
      </c>
      <c r="G3863" s="26">
        <v>0.87179433003197493</v>
      </c>
      <c r="H3863" s="10">
        <v>2026</v>
      </c>
    </row>
    <row r="3864" spans="1:8" hidden="1" x14ac:dyDescent="0.3">
      <c r="A3864" s="23" t="s">
        <v>146</v>
      </c>
      <c r="B3864" s="23" t="s">
        <v>200</v>
      </c>
      <c r="C3864" s="22">
        <v>4</v>
      </c>
      <c r="D3864" s="25">
        <v>53745996</v>
      </c>
      <c r="E3864" s="25">
        <v>48571962</v>
      </c>
      <c r="F3864" s="25">
        <v>-5174034</v>
      </c>
      <c r="G3864" s="26">
        <v>0.90373173101118087</v>
      </c>
      <c r="H3864" s="10">
        <v>2026</v>
      </c>
    </row>
    <row r="3865" spans="1:8" hidden="1" x14ac:dyDescent="0.3">
      <c r="A3865" s="24" t="s">
        <v>147</v>
      </c>
      <c r="B3865" s="24" t="s">
        <v>200</v>
      </c>
      <c r="C3865" s="22">
        <v>1</v>
      </c>
      <c r="D3865" s="25">
        <v>298380426</v>
      </c>
      <c r="E3865" s="25">
        <v>281452590</v>
      </c>
      <c r="F3865" s="25">
        <v>-16927836</v>
      </c>
      <c r="G3865" s="26">
        <v>0.94326760563040413</v>
      </c>
      <c r="H3865" s="10">
        <v>2026</v>
      </c>
    </row>
    <row r="3866" spans="1:8" hidden="1" x14ac:dyDescent="0.3">
      <c r="A3866" s="24" t="s">
        <v>147</v>
      </c>
      <c r="B3866" s="24" t="s">
        <v>200</v>
      </c>
      <c r="C3866" s="22">
        <v>2</v>
      </c>
      <c r="D3866" s="25">
        <v>297716622</v>
      </c>
      <c r="E3866" s="25">
        <v>280919203</v>
      </c>
      <c r="F3866" s="25">
        <v>-16797419</v>
      </c>
      <c r="G3866" s="26">
        <v>0.94357916972469214</v>
      </c>
      <c r="H3866" s="10">
        <v>2026</v>
      </c>
    </row>
    <row r="3867" spans="1:8" hidden="1" x14ac:dyDescent="0.3">
      <c r="A3867" s="24" t="s">
        <v>147</v>
      </c>
      <c r="B3867" s="24" t="s">
        <v>200</v>
      </c>
      <c r="C3867" s="22">
        <v>3</v>
      </c>
      <c r="D3867" s="25">
        <v>349640591</v>
      </c>
      <c r="E3867" s="25">
        <v>330368774</v>
      </c>
      <c r="F3867" s="25">
        <v>-19271817</v>
      </c>
      <c r="G3867" s="26">
        <v>0.9448810650248558</v>
      </c>
      <c r="H3867" s="10">
        <v>2026</v>
      </c>
    </row>
    <row r="3868" spans="1:8" hidden="1" x14ac:dyDescent="0.3">
      <c r="A3868" s="23" t="s">
        <v>147</v>
      </c>
      <c r="B3868" s="23" t="s">
        <v>200</v>
      </c>
      <c r="C3868" s="22">
        <v>4</v>
      </c>
      <c r="D3868" s="25">
        <v>351473181</v>
      </c>
      <c r="E3868" s="25">
        <v>355823403</v>
      </c>
      <c r="F3868" s="25">
        <v>4350222</v>
      </c>
      <c r="G3868" s="26">
        <v>1.0123771093647114</v>
      </c>
      <c r="H3868" s="10">
        <v>2026</v>
      </c>
    </row>
    <row r="3869" spans="1:8" hidden="1" x14ac:dyDescent="0.3">
      <c r="A3869" s="23" t="s">
        <v>82</v>
      </c>
      <c r="B3869" s="24" t="s">
        <v>201</v>
      </c>
      <c r="C3869" s="22">
        <v>1</v>
      </c>
      <c r="D3869" s="25">
        <v>341000</v>
      </c>
      <c r="E3869" s="25">
        <v>1545533</v>
      </c>
      <c r="F3869" s="25">
        <v>1204533</v>
      </c>
      <c r="G3869" s="26">
        <v>4.5323548387096775</v>
      </c>
      <c r="H3869" s="10">
        <v>2026</v>
      </c>
    </row>
    <row r="3870" spans="1:8" hidden="1" x14ac:dyDescent="0.3">
      <c r="A3870" s="23" t="s">
        <v>82</v>
      </c>
      <c r="B3870" s="24" t="s">
        <v>201</v>
      </c>
      <c r="C3870" s="22">
        <v>2</v>
      </c>
      <c r="D3870" s="25">
        <v>1250000</v>
      </c>
      <c r="E3870" s="25">
        <v>1250000</v>
      </c>
      <c r="F3870" s="25">
        <v>0</v>
      </c>
      <c r="G3870" s="26">
        <v>1</v>
      </c>
      <c r="H3870" s="10">
        <v>2026</v>
      </c>
    </row>
    <row r="3871" spans="1:8" hidden="1" x14ac:dyDescent="0.3">
      <c r="A3871" s="23" t="s">
        <v>82</v>
      </c>
      <c r="B3871" s="24" t="s">
        <v>201</v>
      </c>
      <c r="C3871" s="22">
        <v>3</v>
      </c>
      <c r="D3871" s="25">
        <v>170500</v>
      </c>
      <c r="E3871" s="25">
        <v>170500</v>
      </c>
      <c r="F3871" s="25">
        <v>0</v>
      </c>
      <c r="G3871" s="26">
        <v>1</v>
      </c>
      <c r="H3871" s="10">
        <v>2026</v>
      </c>
    </row>
    <row r="3872" spans="1:8" hidden="1" x14ac:dyDescent="0.3">
      <c r="A3872" s="23" t="s">
        <v>82</v>
      </c>
      <c r="B3872" s="23" t="s">
        <v>201</v>
      </c>
      <c r="C3872" s="22">
        <v>4</v>
      </c>
      <c r="D3872" s="25">
        <v>0</v>
      </c>
      <c r="E3872" s="25">
        <v>0</v>
      </c>
      <c r="F3872" s="25">
        <v>0</v>
      </c>
      <c r="G3872" s="26">
        <v>0</v>
      </c>
      <c r="H3872" s="10">
        <v>2026</v>
      </c>
    </row>
    <row r="3873" spans="1:8" hidden="1" x14ac:dyDescent="0.3">
      <c r="A3873" s="23" t="s">
        <v>77</v>
      </c>
      <c r="B3873" s="24" t="s">
        <v>201</v>
      </c>
      <c r="C3873" s="22">
        <v>1</v>
      </c>
      <c r="D3873" s="25">
        <v>501952</v>
      </c>
      <c r="E3873" s="25">
        <v>501952</v>
      </c>
      <c r="F3873" s="25">
        <v>0</v>
      </c>
      <c r="G3873" s="26">
        <v>1</v>
      </c>
      <c r="H3873" s="10">
        <v>2026</v>
      </c>
    </row>
    <row r="3874" spans="1:8" hidden="1" x14ac:dyDescent="0.3">
      <c r="A3874" s="23" t="s">
        <v>77</v>
      </c>
      <c r="B3874" s="24" t="s">
        <v>201</v>
      </c>
      <c r="C3874" s="22">
        <v>2</v>
      </c>
      <c r="D3874" s="25">
        <v>2430000</v>
      </c>
      <c r="E3874" s="25">
        <v>2667547</v>
      </c>
      <c r="F3874" s="25">
        <v>237547</v>
      </c>
      <c r="G3874" s="26">
        <v>1.0977559670781893</v>
      </c>
      <c r="H3874" s="10">
        <v>2026</v>
      </c>
    </row>
    <row r="3875" spans="1:8" hidden="1" x14ac:dyDescent="0.3">
      <c r="A3875" s="23" t="s">
        <v>77</v>
      </c>
      <c r="B3875" s="24" t="s">
        <v>201</v>
      </c>
      <c r="C3875" s="22">
        <v>3</v>
      </c>
      <c r="D3875" s="25">
        <v>1906942</v>
      </c>
      <c r="E3875" s="25">
        <v>1243149</v>
      </c>
      <c r="F3875" s="25">
        <v>-663793</v>
      </c>
      <c r="G3875" s="26">
        <v>0.65190708474615378</v>
      </c>
      <c r="H3875" s="10">
        <v>2026</v>
      </c>
    </row>
    <row r="3876" spans="1:8" hidden="1" x14ac:dyDescent="0.3">
      <c r="A3876" s="23" t="s">
        <v>77</v>
      </c>
      <c r="B3876" s="23" t="s">
        <v>201</v>
      </c>
      <c r="C3876" s="22">
        <v>4</v>
      </c>
      <c r="D3876" s="25">
        <v>1787319</v>
      </c>
      <c r="E3876" s="25">
        <v>1028819</v>
      </c>
      <c r="F3876" s="25">
        <v>-758500</v>
      </c>
      <c r="G3876" s="26">
        <v>0.57562136361779848</v>
      </c>
      <c r="H3876" s="10">
        <v>2026</v>
      </c>
    </row>
    <row r="3877" spans="1:8" hidden="1" x14ac:dyDescent="0.3">
      <c r="A3877" s="23" t="s">
        <v>253</v>
      </c>
      <c r="B3877" s="24" t="s">
        <v>201</v>
      </c>
      <c r="C3877" s="22">
        <v>1</v>
      </c>
      <c r="D3877" s="25">
        <v>262570</v>
      </c>
      <c r="E3877" s="25">
        <v>262570</v>
      </c>
      <c r="F3877" s="25">
        <v>0</v>
      </c>
      <c r="G3877" s="26">
        <v>1</v>
      </c>
      <c r="H3877" s="10">
        <v>2026</v>
      </c>
    </row>
    <row r="3878" spans="1:8" hidden="1" x14ac:dyDescent="0.3">
      <c r="A3878" s="23" t="s">
        <v>253</v>
      </c>
      <c r="B3878" s="24" t="s">
        <v>201</v>
      </c>
      <c r="C3878" s="22">
        <v>2</v>
      </c>
      <c r="D3878" s="25">
        <v>962500</v>
      </c>
      <c r="E3878" s="25">
        <v>962500</v>
      </c>
      <c r="F3878" s="25">
        <v>0</v>
      </c>
      <c r="G3878" s="26">
        <v>1</v>
      </c>
      <c r="H3878" s="10">
        <v>2026</v>
      </c>
    </row>
    <row r="3879" spans="1:8" hidden="1" x14ac:dyDescent="0.3">
      <c r="A3879" s="23" t="s">
        <v>253</v>
      </c>
      <c r="B3879" s="24" t="s">
        <v>201</v>
      </c>
      <c r="C3879" s="22">
        <v>3</v>
      </c>
      <c r="D3879" s="25">
        <v>304854</v>
      </c>
      <c r="E3879" s="25">
        <v>283712</v>
      </c>
      <c r="F3879" s="25">
        <v>-21142</v>
      </c>
      <c r="G3879" s="26">
        <v>0.93064876957494413</v>
      </c>
      <c r="H3879" s="10">
        <v>2026</v>
      </c>
    </row>
    <row r="3880" spans="1:8" hidden="1" x14ac:dyDescent="0.3">
      <c r="A3880" s="23" t="s">
        <v>253</v>
      </c>
      <c r="B3880" s="23" t="s">
        <v>201</v>
      </c>
      <c r="C3880" s="22">
        <v>4</v>
      </c>
      <c r="D3880" s="25">
        <v>283712</v>
      </c>
      <c r="E3880" s="25">
        <v>291896</v>
      </c>
      <c r="F3880" s="25">
        <v>8184</v>
      </c>
      <c r="G3880" s="26">
        <v>1.028846153846154</v>
      </c>
      <c r="H3880" s="10">
        <v>2026</v>
      </c>
    </row>
    <row r="3881" spans="1:8" hidden="1" x14ac:dyDescent="0.3">
      <c r="A3881" s="23" t="s">
        <v>79</v>
      </c>
      <c r="B3881" s="24" t="s">
        <v>201</v>
      </c>
      <c r="C3881" s="22">
        <v>1</v>
      </c>
      <c r="D3881" s="25">
        <v>807488</v>
      </c>
      <c r="E3881" s="25">
        <v>628804</v>
      </c>
      <c r="F3881" s="25">
        <v>-178684</v>
      </c>
      <c r="G3881" s="26">
        <v>0.77871621621621623</v>
      </c>
      <c r="H3881" s="10">
        <v>2026</v>
      </c>
    </row>
    <row r="3882" spans="1:8" hidden="1" x14ac:dyDescent="0.3">
      <c r="A3882" s="23" t="s">
        <v>79</v>
      </c>
      <c r="B3882" s="24" t="s">
        <v>201</v>
      </c>
      <c r="C3882" s="22">
        <v>2</v>
      </c>
      <c r="D3882" s="25">
        <v>1760120</v>
      </c>
      <c r="E3882" s="25">
        <v>3260000</v>
      </c>
      <c r="F3882" s="25">
        <v>1499880</v>
      </c>
      <c r="G3882" s="26">
        <v>1.8521464445605982</v>
      </c>
      <c r="H3882" s="10">
        <v>2026</v>
      </c>
    </row>
    <row r="3883" spans="1:8" hidden="1" x14ac:dyDescent="0.3">
      <c r="A3883" s="23" t="s">
        <v>79</v>
      </c>
      <c r="B3883" s="24" t="s">
        <v>201</v>
      </c>
      <c r="C3883" s="22">
        <v>3</v>
      </c>
      <c r="D3883" s="25">
        <v>938432</v>
      </c>
      <c r="E3883" s="25">
        <v>909788</v>
      </c>
      <c r="F3883" s="25">
        <v>-28644</v>
      </c>
      <c r="G3883" s="26">
        <v>0.96947674418604657</v>
      </c>
      <c r="H3883" s="10">
        <v>2026</v>
      </c>
    </row>
    <row r="3884" spans="1:8" hidden="1" x14ac:dyDescent="0.3">
      <c r="A3884" s="23" t="s">
        <v>79</v>
      </c>
      <c r="B3884" s="23" t="s">
        <v>201</v>
      </c>
      <c r="C3884" s="22">
        <v>4</v>
      </c>
      <c r="D3884" s="25">
        <v>872960</v>
      </c>
      <c r="E3884" s="25">
        <v>629486</v>
      </c>
      <c r="F3884" s="25">
        <v>-243474</v>
      </c>
      <c r="G3884" s="26">
        <v>0.72109374999999998</v>
      </c>
      <c r="H3884" s="10">
        <v>2026</v>
      </c>
    </row>
    <row r="3885" spans="1:8" hidden="1" x14ac:dyDescent="0.3">
      <c r="A3885" s="24" t="s">
        <v>67</v>
      </c>
      <c r="B3885" s="24" t="s">
        <v>201</v>
      </c>
      <c r="C3885" s="22">
        <v>1</v>
      </c>
      <c r="D3885" s="25">
        <v>1910587</v>
      </c>
      <c r="E3885" s="25">
        <v>1830981</v>
      </c>
      <c r="F3885" s="25">
        <v>-79606</v>
      </c>
      <c r="G3885" s="26">
        <v>0.95833427109050784</v>
      </c>
      <c r="H3885" s="10">
        <v>2026</v>
      </c>
    </row>
    <row r="3886" spans="1:8" hidden="1" x14ac:dyDescent="0.3">
      <c r="A3886" s="24" t="s">
        <v>67</v>
      </c>
      <c r="B3886" s="24" t="s">
        <v>201</v>
      </c>
      <c r="C3886" s="22">
        <v>2</v>
      </c>
      <c r="D3886" s="25">
        <v>6460000</v>
      </c>
      <c r="E3886" s="25">
        <v>4847664</v>
      </c>
      <c r="F3886" s="25">
        <v>-1612336</v>
      </c>
      <c r="G3886" s="26">
        <v>0.75041238390092879</v>
      </c>
      <c r="H3886" s="10">
        <v>2026</v>
      </c>
    </row>
    <row r="3887" spans="1:8" hidden="1" x14ac:dyDescent="0.3">
      <c r="A3887" s="24" t="s">
        <v>67</v>
      </c>
      <c r="B3887" s="24" t="s">
        <v>201</v>
      </c>
      <c r="C3887" s="22">
        <v>3</v>
      </c>
      <c r="D3887" s="25">
        <v>2384272</v>
      </c>
      <c r="E3887" s="25">
        <v>2017451</v>
      </c>
      <c r="F3887" s="25">
        <v>-366821</v>
      </c>
      <c r="G3887" s="26">
        <v>0.84614968426421155</v>
      </c>
      <c r="H3887" s="10">
        <v>2026</v>
      </c>
    </row>
    <row r="3888" spans="1:8" hidden="1" x14ac:dyDescent="0.3">
      <c r="A3888" s="23" t="s">
        <v>67</v>
      </c>
      <c r="B3888" s="23" t="s">
        <v>201</v>
      </c>
      <c r="C3888" s="22">
        <v>4</v>
      </c>
      <c r="D3888" s="25">
        <v>2073280</v>
      </c>
      <c r="E3888" s="25">
        <v>2038725</v>
      </c>
      <c r="F3888" s="25">
        <v>-34555</v>
      </c>
      <c r="G3888" s="26">
        <v>0.98333317255749353</v>
      </c>
      <c r="H3888" s="10">
        <v>2026</v>
      </c>
    </row>
    <row r="3889" spans="1:8" x14ac:dyDescent="0.3">
      <c r="A3889" s="23" t="s">
        <v>75</v>
      </c>
      <c r="B3889" s="24" t="s">
        <v>201</v>
      </c>
      <c r="C3889" s="22">
        <v>1</v>
      </c>
      <c r="D3889" s="25">
        <v>863821</v>
      </c>
      <c r="E3889" s="25">
        <v>1045775</v>
      </c>
      <c r="F3889" s="25">
        <v>181954</v>
      </c>
      <c r="G3889" s="26">
        <v>1.210638546643344</v>
      </c>
      <c r="H3889" s="10">
        <v>2026</v>
      </c>
    </row>
    <row r="3890" spans="1:8" x14ac:dyDescent="0.3">
      <c r="A3890" s="23" t="s">
        <v>75</v>
      </c>
      <c r="B3890" s="24" t="s">
        <v>201</v>
      </c>
      <c r="C3890" s="22">
        <v>2</v>
      </c>
      <c r="D3890" s="25">
        <v>2418575</v>
      </c>
      <c r="E3890" s="25">
        <v>2004000</v>
      </c>
      <c r="F3890" s="25">
        <v>-414575</v>
      </c>
      <c r="G3890" s="26">
        <v>0.82858708123585167</v>
      </c>
      <c r="H3890" s="10">
        <v>2026</v>
      </c>
    </row>
    <row r="3891" spans="1:8" x14ac:dyDescent="0.3">
      <c r="A3891" s="23" t="s">
        <v>75</v>
      </c>
      <c r="B3891" s="24" t="s">
        <v>201</v>
      </c>
      <c r="C3891" s="22">
        <v>3</v>
      </c>
      <c r="D3891" s="25">
        <v>1495898</v>
      </c>
      <c r="E3891" s="25">
        <v>1451061</v>
      </c>
      <c r="F3891" s="25">
        <v>-44837</v>
      </c>
      <c r="G3891" s="26">
        <v>0.97002669968139543</v>
      </c>
      <c r="H3891" s="10">
        <v>2026</v>
      </c>
    </row>
    <row r="3892" spans="1:8" x14ac:dyDescent="0.3">
      <c r="A3892" s="23" t="s">
        <v>75</v>
      </c>
      <c r="B3892" s="23" t="s">
        <v>201</v>
      </c>
      <c r="C3892" s="22">
        <v>4</v>
      </c>
      <c r="D3892" s="25">
        <v>1642392</v>
      </c>
      <c r="E3892" s="25">
        <v>1525880</v>
      </c>
      <c r="F3892" s="25">
        <v>-116512</v>
      </c>
      <c r="G3892" s="26">
        <v>0.92905956677821133</v>
      </c>
      <c r="H3892" s="10">
        <v>2026</v>
      </c>
    </row>
    <row r="3893" spans="1:8" hidden="1" x14ac:dyDescent="0.3">
      <c r="A3893" s="24" t="s">
        <v>146</v>
      </c>
      <c r="B3893" s="24" t="s">
        <v>201</v>
      </c>
      <c r="C3893" s="22">
        <v>1</v>
      </c>
      <c r="D3893" s="25">
        <v>2083576</v>
      </c>
      <c r="E3893" s="25">
        <v>2634894</v>
      </c>
      <c r="F3893" s="25">
        <v>551318</v>
      </c>
      <c r="G3893" s="26">
        <v>1.2646018191801021</v>
      </c>
      <c r="H3893" s="10">
        <v>2026</v>
      </c>
    </row>
    <row r="3894" spans="1:8" hidden="1" x14ac:dyDescent="0.3">
      <c r="A3894" s="24" t="s">
        <v>146</v>
      </c>
      <c r="B3894" s="24" t="s">
        <v>201</v>
      </c>
      <c r="C3894" s="22">
        <v>2</v>
      </c>
      <c r="D3894" s="25">
        <v>13311000</v>
      </c>
      <c r="E3894" s="25">
        <v>12577000</v>
      </c>
      <c r="F3894" s="25">
        <v>-734000</v>
      </c>
      <c r="G3894" s="26">
        <v>0.94485763654120658</v>
      </c>
      <c r="H3894" s="10">
        <v>2026</v>
      </c>
    </row>
    <row r="3895" spans="1:8" hidden="1" x14ac:dyDescent="0.3">
      <c r="A3895" s="24" t="s">
        <v>146</v>
      </c>
      <c r="B3895" s="24" t="s">
        <v>201</v>
      </c>
      <c r="C3895" s="22">
        <v>3</v>
      </c>
      <c r="D3895" s="25">
        <v>2321803</v>
      </c>
      <c r="E3895" s="25">
        <v>2128359</v>
      </c>
      <c r="F3895" s="25">
        <v>-193444</v>
      </c>
      <c r="G3895" s="26">
        <v>0.91668371519892089</v>
      </c>
      <c r="H3895" s="10">
        <v>2026</v>
      </c>
    </row>
    <row r="3896" spans="1:8" hidden="1" x14ac:dyDescent="0.3">
      <c r="A3896" s="23" t="s">
        <v>146</v>
      </c>
      <c r="B3896" s="23" t="s">
        <v>201</v>
      </c>
      <c r="C3896" s="22">
        <v>4</v>
      </c>
      <c r="D3896" s="25">
        <v>2202690</v>
      </c>
      <c r="E3896" s="25">
        <v>2019539</v>
      </c>
      <c r="F3896" s="25">
        <v>-183151</v>
      </c>
      <c r="G3896" s="26">
        <v>0.91685121374319589</v>
      </c>
      <c r="H3896" s="10">
        <v>2026</v>
      </c>
    </row>
    <row r="3897" spans="1:8" hidden="1" x14ac:dyDescent="0.3">
      <c r="A3897" s="24" t="s">
        <v>147</v>
      </c>
      <c r="B3897" s="24" t="s">
        <v>201</v>
      </c>
      <c r="C3897" s="22">
        <v>1</v>
      </c>
      <c r="D3897" s="25">
        <v>11525721</v>
      </c>
      <c r="E3897" s="25">
        <v>9948969</v>
      </c>
      <c r="F3897" s="25">
        <v>-1576752</v>
      </c>
      <c r="G3897" s="26">
        <v>0.86319710497937618</v>
      </c>
      <c r="H3897" s="10">
        <v>2026</v>
      </c>
    </row>
    <row r="3898" spans="1:8" hidden="1" x14ac:dyDescent="0.3">
      <c r="A3898" s="24" t="s">
        <v>147</v>
      </c>
      <c r="B3898" s="24" t="s">
        <v>201</v>
      </c>
      <c r="C3898" s="22">
        <v>2</v>
      </c>
      <c r="D3898" s="25">
        <v>74528500</v>
      </c>
      <c r="E3898" s="25">
        <v>56709848</v>
      </c>
      <c r="F3898" s="25">
        <v>-17818652</v>
      </c>
      <c r="G3898" s="26">
        <v>0.76091492516285719</v>
      </c>
      <c r="H3898" s="10">
        <v>2026</v>
      </c>
    </row>
    <row r="3899" spans="1:8" hidden="1" x14ac:dyDescent="0.3">
      <c r="A3899" s="24" t="s">
        <v>147</v>
      </c>
      <c r="B3899" s="24" t="s">
        <v>201</v>
      </c>
      <c r="C3899" s="22">
        <v>3</v>
      </c>
      <c r="D3899" s="25">
        <v>13510758</v>
      </c>
      <c r="E3899" s="25">
        <v>11672142</v>
      </c>
      <c r="F3899" s="25">
        <v>-1838616</v>
      </c>
      <c r="G3899" s="26">
        <v>0.86391466711194154</v>
      </c>
      <c r="H3899" s="10">
        <v>2026</v>
      </c>
    </row>
    <row r="3900" spans="1:8" hidden="1" x14ac:dyDescent="0.3">
      <c r="A3900" s="23" t="s">
        <v>147</v>
      </c>
      <c r="B3900" s="23" t="s">
        <v>201</v>
      </c>
      <c r="C3900" s="22">
        <v>4</v>
      </c>
      <c r="D3900" s="25">
        <v>12518240</v>
      </c>
      <c r="E3900" s="25">
        <v>11445579</v>
      </c>
      <c r="F3900" s="25">
        <v>-1072661</v>
      </c>
      <c r="G3900" s="26">
        <v>0.9143121557023991</v>
      </c>
      <c r="H3900" s="10">
        <v>2026</v>
      </c>
    </row>
    <row r="3901" spans="1:8" hidden="1" x14ac:dyDescent="0.3">
      <c r="A3901" s="23" t="s">
        <v>82</v>
      </c>
      <c r="B3901" s="24" t="s">
        <v>202</v>
      </c>
      <c r="C3901" s="22">
        <v>1</v>
      </c>
      <c r="D3901" s="25">
        <v>104250</v>
      </c>
      <c r="E3901" s="25">
        <v>90350</v>
      </c>
      <c r="F3901" s="25">
        <v>-13900</v>
      </c>
      <c r="G3901" s="26">
        <v>0.8666666666666667</v>
      </c>
      <c r="H3901" s="10">
        <v>2026</v>
      </c>
    </row>
    <row r="3902" spans="1:8" hidden="1" x14ac:dyDescent="0.3">
      <c r="A3902" s="23" t="s">
        <v>82</v>
      </c>
      <c r="B3902" s="24" t="s">
        <v>202</v>
      </c>
      <c r="C3902" s="22">
        <v>2</v>
      </c>
      <c r="D3902" s="25">
        <v>104250</v>
      </c>
      <c r="E3902" s="25">
        <v>0</v>
      </c>
      <c r="F3902" s="25">
        <v>-104250</v>
      </c>
      <c r="G3902" s="26">
        <v>0</v>
      </c>
      <c r="H3902" s="10">
        <v>2026</v>
      </c>
    </row>
    <row r="3903" spans="1:8" hidden="1" x14ac:dyDescent="0.3">
      <c r="A3903" s="23" t="s">
        <v>82</v>
      </c>
      <c r="B3903" s="24" t="s">
        <v>202</v>
      </c>
      <c r="C3903" s="22">
        <v>3</v>
      </c>
      <c r="D3903" s="25">
        <v>52125</v>
      </c>
      <c r="E3903" s="25">
        <v>52125</v>
      </c>
      <c r="F3903" s="25">
        <v>0</v>
      </c>
      <c r="G3903" s="26">
        <v>1</v>
      </c>
      <c r="H3903" s="10">
        <v>2026</v>
      </c>
    </row>
    <row r="3904" spans="1:8" hidden="1" x14ac:dyDescent="0.3">
      <c r="A3904" s="23" t="s">
        <v>82</v>
      </c>
      <c r="B3904" s="23" t="s">
        <v>202</v>
      </c>
      <c r="C3904" s="22">
        <v>4</v>
      </c>
      <c r="D3904" s="25">
        <v>0</v>
      </c>
      <c r="E3904" s="25">
        <v>0</v>
      </c>
      <c r="F3904" s="25">
        <v>0</v>
      </c>
      <c r="G3904" s="26">
        <v>0</v>
      </c>
      <c r="H3904" s="10">
        <v>2026</v>
      </c>
    </row>
    <row r="3905" spans="1:8" hidden="1" x14ac:dyDescent="0.3">
      <c r="A3905" s="23" t="s">
        <v>77</v>
      </c>
      <c r="B3905" s="24" t="s">
        <v>202</v>
      </c>
      <c r="C3905" s="22">
        <v>1</v>
      </c>
      <c r="D3905" s="25">
        <v>226468</v>
      </c>
      <c r="E3905" s="25">
        <v>153456</v>
      </c>
      <c r="F3905" s="25">
        <v>-73012</v>
      </c>
      <c r="G3905" s="26">
        <v>0.67760566614267803</v>
      </c>
      <c r="H3905" s="10">
        <v>2026</v>
      </c>
    </row>
    <row r="3906" spans="1:8" hidden="1" x14ac:dyDescent="0.3">
      <c r="A3906" s="23" t="s">
        <v>77</v>
      </c>
      <c r="B3906" s="24" t="s">
        <v>202</v>
      </c>
      <c r="C3906" s="22">
        <v>2</v>
      </c>
      <c r="D3906" s="25">
        <v>226468</v>
      </c>
      <c r="E3906" s="25">
        <v>0</v>
      </c>
      <c r="F3906" s="25">
        <v>-226468</v>
      </c>
      <c r="G3906" s="26">
        <v>0</v>
      </c>
      <c r="H3906" s="10">
        <v>2026</v>
      </c>
    </row>
    <row r="3907" spans="1:8" hidden="1" x14ac:dyDescent="0.3">
      <c r="A3907" s="23" t="s">
        <v>77</v>
      </c>
      <c r="B3907" s="24" t="s">
        <v>202</v>
      </c>
      <c r="C3907" s="22">
        <v>3</v>
      </c>
      <c r="D3907" s="25">
        <v>402613</v>
      </c>
      <c r="E3907" s="25">
        <v>380054</v>
      </c>
      <c r="F3907" s="25">
        <v>-22559</v>
      </c>
      <c r="G3907" s="26">
        <v>0.94396852560647571</v>
      </c>
      <c r="H3907" s="10">
        <v>2026</v>
      </c>
    </row>
    <row r="3908" spans="1:8" hidden="1" x14ac:dyDescent="0.3">
      <c r="A3908" s="23" t="s">
        <v>77</v>
      </c>
      <c r="B3908" s="23" t="s">
        <v>202</v>
      </c>
      <c r="C3908" s="22">
        <v>4</v>
      </c>
      <c r="D3908" s="25">
        <v>366042</v>
      </c>
      <c r="E3908" s="25">
        <v>391716</v>
      </c>
      <c r="F3908" s="25">
        <v>25674</v>
      </c>
      <c r="G3908" s="26">
        <v>1.0701394921894209</v>
      </c>
      <c r="H3908" s="10">
        <v>2026</v>
      </c>
    </row>
    <row r="3909" spans="1:8" hidden="1" x14ac:dyDescent="0.3">
      <c r="A3909" s="23" t="s">
        <v>253</v>
      </c>
      <c r="B3909" s="24" t="s">
        <v>202</v>
      </c>
      <c r="C3909" s="22">
        <v>1</v>
      </c>
      <c r="D3909" s="25">
        <v>80272</v>
      </c>
      <c r="E3909" s="25">
        <v>80272</v>
      </c>
      <c r="F3909" s="25">
        <v>0</v>
      </c>
      <c r="G3909" s="26">
        <v>1</v>
      </c>
      <c r="H3909" s="10">
        <v>2026</v>
      </c>
    </row>
    <row r="3910" spans="1:8" hidden="1" x14ac:dyDescent="0.3">
      <c r="A3910" s="23" t="s">
        <v>253</v>
      </c>
      <c r="B3910" s="24" t="s">
        <v>202</v>
      </c>
      <c r="C3910" s="22">
        <v>2</v>
      </c>
      <c r="D3910" s="25">
        <v>80272</v>
      </c>
      <c r="E3910" s="25">
        <v>0</v>
      </c>
      <c r="F3910" s="25">
        <v>-80272</v>
      </c>
      <c r="G3910" s="26">
        <v>0</v>
      </c>
      <c r="H3910" s="10">
        <v>2026</v>
      </c>
    </row>
    <row r="3911" spans="1:8" hidden="1" x14ac:dyDescent="0.3">
      <c r="A3911" s="23" t="s">
        <v>253</v>
      </c>
      <c r="B3911" s="24" t="s">
        <v>202</v>
      </c>
      <c r="C3911" s="22">
        <v>3</v>
      </c>
      <c r="D3911" s="25">
        <v>93199</v>
      </c>
      <c r="E3911" s="25">
        <v>86736</v>
      </c>
      <c r="F3911" s="25">
        <v>-6463</v>
      </c>
      <c r="G3911" s="26">
        <v>0.93065376237942476</v>
      </c>
      <c r="H3911" s="10">
        <v>2026</v>
      </c>
    </row>
    <row r="3912" spans="1:8" hidden="1" x14ac:dyDescent="0.3">
      <c r="A3912" s="23" t="s">
        <v>253</v>
      </c>
      <c r="B3912" s="23" t="s">
        <v>202</v>
      </c>
      <c r="C3912" s="22">
        <v>4</v>
      </c>
      <c r="D3912" s="25">
        <v>86736</v>
      </c>
      <c r="E3912" s="25">
        <v>132606</v>
      </c>
      <c r="F3912" s="25">
        <v>45870</v>
      </c>
      <c r="G3912" s="26">
        <v>1.528846153846154</v>
      </c>
      <c r="H3912" s="10">
        <v>2026</v>
      </c>
    </row>
    <row r="3913" spans="1:8" hidden="1" x14ac:dyDescent="0.3">
      <c r="A3913" s="23" t="s">
        <v>79</v>
      </c>
      <c r="B3913" s="24" t="s">
        <v>202</v>
      </c>
      <c r="C3913" s="22">
        <v>1</v>
      </c>
      <c r="D3913" s="25">
        <v>246864</v>
      </c>
      <c r="E3913" s="25">
        <v>425548</v>
      </c>
      <c r="F3913" s="25">
        <v>178684</v>
      </c>
      <c r="G3913" s="26">
        <v>1.7238155421608661</v>
      </c>
      <c r="H3913" s="10">
        <v>2026</v>
      </c>
    </row>
    <row r="3914" spans="1:8" hidden="1" x14ac:dyDescent="0.3">
      <c r="A3914" s="23" t="s">
        <v>79</v>
      </c>
      <c r="B3914" s="24" t="s">
        <v>202</v>
      </c>
      <c r="C3914" s="22">
        <v>2</v>
      </c>
      <c r="D3914" s="25">
        <v>246864</v>
      </c>
      <c r="E3914" s="25">
        <v>0</v>
      </c>
      <c r="F3914" s="25">
        <v>-246864</v>
      </c>
      <c r="G3914" s="26">
        <v>0</v>
      </c>
      <c r="H3914" s="10">
        <v>2026</v>
      </c>
    </row>
    <row r="3915" spans="1:8" hidden="1" x14ac:dyDescent="0.3">
      <c r="A3915" s="23" t="s">
        <v>79</v>
      </c>
      <c r="B3915" s="24" t="s">
        <v>202</v>
      </c>
      <c r="C3915" s="22">
        <v>3</v>
      </c>
      <c r="D3915" s="25">
        <v>286896</v>
      </c>
      <c r="E3915" s="25">
        <v>278141</v>
      </c>
      <c r="F3915" s="25">
        <v>-8755</v>
      </c>
      <c r="G3915" s="26">
        <v>0.9694837153532988</v>
      </c>
      <c r="H3915" s="10">
        <v>2026</v>
      </c>
    </row>
    <row r="3916" spans="1:8" hidden="1" x14ac:dyDescent="0.3">
      <c r="A3916" s="23" t="s">
        <v>79</v>
      </c>
      <c r="B3916" s="23" t="s">
        <v>202</v>
      </c>
      <c r="C3916" s="22">
        <v>4</v>
      </c>
      <c r="D3916" s="25">
        <v>266880</v>
      </c>
      <c r="E3916" s="25">
        <v>251452</v>
      </c>
      <c r="F3916" s="25">
        <v>-15428</v>
      </c>
      <c r="G3916" s="26">
        <v>0.94219124700239809</v>
      </c>
      <c r="H3916" s="10">
        <v>2026</v>
      </c>
    </row>
    <row r="3917" spans="1:8" hidden="1" x14ac:dyDescent="0.3">
      <c r="A3917" s="24" t="s">
        <v>67</v>
      </c>
      <c r="B3917" s="24" t="s">
        <v>202</v>
      </c>
      <c r="C3917" s="22">
        <v>1</v>
      </c>
      <c r="D3917" s="25">
        <v>584101</v>
      </c>
      <c r="E3917" s="25">
        <v>715683</v>
      </c>
      <c r="F3917" s="25">
        <v>131582</v>
      </c>
      <c r="G3917" s="26">
        <v>1.2252726840049923</v>
      </c>
      <c r="H3917" s="10">
        <v>2026</v>
      </c>
    </row>
    <row r="3918" spans="1:8" hidden="1" x14ac:dyDescent="0.3">
      <c r="A3918" s="24" t="s">
        <v>67</v>
      </c>
      <c r="B3918" s="24" t="s">
        <v>202</v>
      </c>
      <c r="C3918" s="22">
        <v>2</v>
      </c>
      <c r="D3918" s="25">
        <v>584101</v>
      </c>
      <c r="E3918" s="25">
        <v>0</v>
      </c>
      <c r="F3918" s="25">
        <v>-584101</v>
      </c>
      <c r="G3918" s="26">
        <v>0</v>
      </c>
      <c r="H3918" s="10">
        <v>2026</v>
      </c>
    </row>
    <row r="3919" spans="1:8" hidden="1" x14ac:dyDescent="0.3">
      <c r="A3919" s="24" t="s">
        <v>67</v>
      </c>
      <c r="B3919" s="24" t="s">
        <v>202</v>
      </c>
      <c r="C3919" s="22">
        <v>3</v>
      </c>
      <c r="D3919" s="25">
        <v>728916</v>
      </c>
      <c r="E3919" s="25">
        <v>616771</v>
      </c>
      <c r="F3919" s="25">
        <v>-112145</v>
      </c>
      <c r="G3919" s="26">
        <v>0.84614825302229613</v>
      </c>
      <c r="H3919" s="10">
        <v>2026</v>
      </c>
    </row>
    <row r="3920" spans="1:8" hidden="1" x14ac:dyDescent="0.3">
      <c r="A3920" s="23" t="s">
        <v>67</v>
      </c>
      <c r="B3920" s="23" t="s">
        <v>202</v>
      </c>
      <c r="C3920" s="22">
        <v>4</v>
      </c>
      <c r="D3920" s="25">
        <v>633840</v>
      </c>
      <c r="E3920" s="25">
        <v>702506</v>
      </c>
      <c r="F3920" s="25">
        <v>68666</v>
      </c>
      <c r="G3920" s="26">
        <v>1.1083333333333334</v>
      </c>
      <c r="H3920" s="10">
        <v>2026</v>
      </c>
    </row>
    <row r="3921" spans="1:8" x14ac:dyDescent="0.3">
      <c r="A3921" s="23" t="s">
        <v>75</v>
      </c>
      <c r="B3921" s="24" t="s">
        <v>202</v>
      </c>
      <c r="C3921" s="22">
        <v>1</v>
      </c>
      <c r="D3921" s="25">
        <v>264086</v>
      </c>
      <c r="E3921" s="25">
        <v>319712</v>
      </c>
      <c r="F3921" s="25">
        <v>55626</v>
      </c>
      <c r="G3921" s="26">
        <v>1.2106359292048803</v>
      </c>
      <c r="H3921" s="10">
        <v>2026</v>
      </c>
    </row>
    <row r="3922" spans="1:8" x14ac:dyDescent="0.3">
      <c r="A3922" s="23" t="s">
        <v>75</v>
      </c>
      <c r="B3922" s="24" t="s">
        <v>202</v>
      </c>
      <c r="C3922" s="22">
        <v>2</v>
      </c>
      <c r="D3922" s="25">
        <v>417579</v>
      </c>
      <c r="E3922" s="25">
        <v>0</v>
      </c>
      <c r="F3922" s="25">
        <v>-417579</v>
      </c>
      <c r="G3922" s="26">
        <v>0</v>
      </c>
      <c r="H3922" s="10">
        <v>2026</v>
      </c>
    </row>
    <row r="3923" spans="1:8" x14ac:dyDescent="0.3">
      <c r="A3923" s="23" t="s">
        <v>75</v>
      </c>
      <c r="B3923" s="24" t="s">
        <v>202</v>
      </c>
      <c r="C3923" s="22">
        <v>3</v>
      </c>
      <c r="D3923" s="25">
        <v>457323</v>
      </c>
      <c r="E3923" s="25">
        <v>443616</v>
      </c>
      <c r="F3923" s="25">
        <v>-13707</v>
      </c>
      <c r="G3923" s="26">
        <v>0.9700277484403802</v>
      </c>
      <c r="H3923" s="10">
        <v>2026</v>
      </c>
    </row>
    <row r="3924" spans="1:8" x14ac:dyDescent="0.3">
      <c r="A3924" s="23" t="s">
        <v>75</v>
      </c>
      <c r="B3924" s="23" t="s">
        <v>202</v>
      </c>
      <c r="C3924" s="22">
        <v>4</v>
      </c>
      <c r="D3924" s="25">
        <v>502109</v>
      </c>
      <c r="E3924" s="25">
        <v>511355</v>
      </c>
      <c r="F3924" s="25">
        <v>9246</v>
      </c>
      <c r="G3924" s="26">
        <v>1.018414328362965</v>
      </c>
      <c r="H3924" s="10">
        <v>2026</v>
      </c>
    </row>
    <row r="3925" spans="1:8" hidden="1" x14ac:dyDescent="0.3">
      <c r="A3925" s="24" t="s">
        <v>146</v>
      </c>
      <c r="B3925" s="24" t="s">
        <v>202</v>
      </c>
      <c r="C3925" s="22">
        <v>1</v>
      </c>
      <c r="D3925" s="25">
        <v>1241216</v>
      </c>
      <c r="E3925" s="25">
        <v>1442098</v>
      </c>
      <c r="F3925" s="25">
        <v>200882</v>
      </c>
      <c r="G3925" s="26">
        <v>1.1618429024440549</v>
      </c>
      <c r="H3925" s="10">
        <v>2026</v>
      </c>
    </row>
    <row r="3926" spans="1:8" hidden="1" x14ac:dyDescent="0.3">
      <c r="A3926" s="24" t="s">
        <v>146</v>
      </c>
      <c r="B3926" s="24" t="s">
        <v>202</v>
      </c>
      <c r="C3926" s="22">
        <v>2</v>
      </c>
      <c r="D3926" s="25">
        <v>1241216</v>
      </c>
      <c r="E3926" s="25">
        <v>0</v>
      </c>
      <c r="F3926" s="25">
        <v>-1241216</v>
      </c>
      <c r="G3926" s="26">
        <v>0</v>
      </c>
      <c r="H3926" s="10">
        <v>2026</v>
      </c>
    </row>
    <row r="3927" spans="1:8" hidden="1" x14ac:dyDescent="0.3">
      <c r="A3927" s="24" t="s">
        <v>146</v>
      </c>
      <c r="B3927" s="24" t="s">
        <v>202</v>
      </c>
      <c r="C3927" s="22">
        <v>3</v>
      </c>
      <c r="D3927" s="25">
        <v>1383131</v>
      </c>
      <c r="E3927" s="25">
        <v>1267894</v>
      </c>
      <c r="F3927" s="25">
        <v>-115237</v>
      </c>
      <c r="G3927" s="26">
        <v>0.91668395835246264</v>
      </c>
      <c r="H3927" s="10">
        <v>2026</v>
      </c>
    </row>
    <row r="3928" spans="1:8" hidden="1" x14ac:dyDescent="0.3">
      <c r="A3928" s="23" t="s">
        <v>146</v>
      </c>
      <c r="B3928" s="23" t="s">
        <v>202</v>
      </c>
      <c r="C3928" s="22">
        <v>4</v>
      </c>
      <c r="D3928" s="25">
        <v>1312173</v>
      </c>
      <c r="E3928" s="25">
        <v>1203070</v>
      </c>
      <c r="F3928" s="25">
        <v>-109103</v>
      </c>
      <c r="G3928" s="26">
        <v>0.91685318932793169</v>
      </c>
      <c r="H3928" s="10">
        <v>2026</v>
      </c>
    </row>
    <row r="3929" spans="1:8" hidden="1" x14ac:dyDescent="0.3">
      <c r="A3929" s="24" t="s">
        <v>147</v>
      </c>
      <c r="B3929" s="24" t="s">
        <v>202</v>
      </c>
      <c r="C3929" s="22">
        <v>1</v>
      </c>
      <c r="D3929" s="25">
        <v>6866036</v>
      </c>
      <c r="E3929" s="25">
        <v>7769008</v>
      </c>
      <c r="F3929" s="25">
        <v>902972</v>
      </c>
      <c r="G3929" s="26">
        <v>1.1315128554525493</v>
      </c>
      <c r="H3929" s="10">
        <v>2026</v>
      </c>
    </row>
    <row r="3930" spans="1:8" hidden="1" x14ac:dyDescent="0.3">
      <c r="A3930" s="24" t="s">
        <v>147</v>
      </c>
      <c r="B3930" s="24" t="s">
        <v>202</v>
      </c>
      <c r="C3930" s="22">
        <v>2</v>
      </c>
      <c r="D3930" s="25">
        <v>6866036</v>
      </c>
      <c r="E3930" s="25">
        <v>0</v>
      </c>
      <c r="F3930" s="25">
        <v>-6866036</v>
      </c>
      <c r="G3930" s="26">
        <v>0</v>
      </c>
      <c r="H3930" s="10">
        <v>2026</v>
      </c>
    </row>
    <row r="3931" spans="1:8" hidden="1" x14ac:dyDescent="0.3">
      <c r="A3931" s="24" t="s">
        <v>147</v>
      </c>
      <c r="B3931" s="24" t="s">
        <v>202</v>
      </c>
      <c r="C3931" s="22">
        <v>3</v>
      </c>
      <c r="D3931" s="25">
        <v>8048551</v>
      </c>
      <c r="E3931" s="25">
        <v>6953262</v>
      </c>
      <c r="F3931" s="25">
        <v>-1095289</v>
      </c>
      <c r="G3931" s="26">
        <v>0.86391475931506179</v>
      </c>
      <c r="H3931" s="10">
        <v>2026</v>
      </c>
    </row>
    <row r="3932" spans="1:8" hidden="1" x14ac:dyDescent="0.3">
      <c r="A3932" s="23" t="s">
        <v>147</v>
      </c>
      <c r="B3932" s="23" t="s">
        <v>202</v>
      </c>
      <c r="C3932" s="22">
        <v>4</v>
      </c>
      <c r="D3932" s="25">
        <v>7457294</v>
      </c>
      <c r="E3932" s="25">
        <v>6818297</v>
      </c>
      <c r="F3932" s="25">
        <v>-638997</v>
      </c>
      <c r="G3932" s="26">
        <v>0.91431248385808583</v>
      </c>
      <c r="H3932" s="10">
        <v>2026</v>
      </c>
    </row>
    <row r="3933" spans="1:8" hidden="1" x14ac:dyDescent="0.3">
      <c r="A3933" s="24" t="s">
        <v>7</v>
      </c>
      <c r="B3933" s="24" t="s">
        <v>177</v>
      </c>
      <c r="C3933" s="22">
        <v>1</v>
      </c>
      <c r="D3933" s="25">
        <v>44484405</v>
      </c>
      <c r="E3933" s="25">
        <v>32834972</v>
      </c>
      <c r="F3933" s="25">
        <v>-11649433</v>
      </c>
      <c r="G3933" s="26">
        <v>0.73812321419158022</v>
      </c>
      <c r="H3933" s="10">
        <v>2026</v>
      </c>
    </row>
    <row r="3934" spans="1:8" hidden="1" x14ac:dyDescent="0.3">
      <c r="A3934" s="24" t="s">
        <v>7</v>
      </c>
      <c r="B3934" s="24" t="s">
        <v>177</v>
      </c>
      <c r="C3934" s="22">
        <v>2</v>
      </c>
      <c r="D3934" s="25">
        <v>44484405</v>
      </c>
      <c r="E3934" s="25">
        <v>43887139</v>
      </c>
      <c r="F3934" s="25">
        <v>-597266</v>
      </c>
      <c r="G3934" s="26">
        <v>0.98657358685588803</v>
      </c>
      <c r="H3934" s="10">
        <v>2026</v>
      </c>
    </row>
    <row r="3935" spans="1:8" hidden="1" x14ac:dyDescent="0.3">
      <c r="A3935" s="23" t="s">
        <v>7</v>
      </c>
      <c r="B3935" s="23" t="s">
        <v>177</v>
      </c>
      <c r="C3935" s="22">
        <v>3</v>
      </c>
      <c r="D3935" s="25">
        <v>57782194</v>
      </c>
      <c r="E3935" s="25">
        <v>57782194</v>
      </c>
      <c r="F3935" s="25">
        <v>0</v>
      </c>
      <c r="G3935" s="26">
        <v>1</v>
      </c>
      <c r="H3935" s="10">
        <v>2026</v>
      </c>
    </row>
    <row r="3936" spans="1:8" hidden="1" x14ac:dyDescent="0.3">
      <c r="A3936" s="24" t="s">
        <v>7</v>
      </c>
      <c r="B3936" s="24" t="s">
        <v>177</v>
      </c>
      <c r="C3936" s="22">
        <v>4</v>
      </c>
      <c r="D3936" s="25">
        <v>58236300</v>
      </c>
      <c r="E3936" s="25">
        <v>57927800</v>
      </c>
      <c r="F3936" s="25">
        <v>-308500</v>
      </c>
      <c r="G3936" s="26">
        <v>0.99470261675278138</v>
      </c>
      <c r="H3936" s="10">
        <v>2026</v>
      </c>
    </row>
    <row r="3937" spans="1:8" hidden="1" x14ac:dyDescent="0.3">
      <c r="A3937" s="24" t="s">
        <v>56</v>
      </c>
      <c r="B3937" s="24" t="s">
        <v>177</v>
      </c>
      <c r="C3937" s="22">
        <v>1</v>
      </c>
      <c r="D3937" s="25">
        <v>82720905</v>
      </c>
      <c r="E3937" s="25">
        <v>81845453</v>
      </c>
      <c r="F3937" s="25">
        <v>-875452</v>
      </c>
      <c r="G3937" s="26">
        <v>0.98941679857105047</v>
      </c>
      <c r="H3937" s="10">
        <v>2026</v>
      </c>
    </row>
    <row r="3938" spans="1:8" hidden="1" x14ac:dyDescent="0.3">
      <c r="A3938" s="23" t="s">
        <v>56</v>
      </c>
      <c r="B3938" s="23" t="s">
        <v>177</v>
      </c>
      <c r="C3938" s="22">
        <v>2</v>
      </c>
      <c r="D3938" s="25">
        <v>82720905</v>
      </c>
      <c r="E3938" s="25">
        <v>82720906</v>
      </c>
      <c r="F3938" s="25">
        <v>1</v>
      </c>
      <c r="G3938" s="26">
        <v>1.0000000120888426</v>
      </c>
      <c r="H3938" s="10">
        <v>2026</v>
      </c>
    </row>
    <row r="3939" spans="1:8" hidden="1" x14ac:dyDescent="0.3">
      <c r="A3939" s="24" t="s">
        <v>56</v>
      </c>
      <c r="B3939" s="24" t="s">
        <v>177</v>
      </c>
      <c r="C3939" s="22">
        <v>3</v>
      </c>
      <c r="D3939" s="25">
        <v>120780905</v>
      </c>
      <c r="E3939" s="25">
        <v>118250906</v>
      </c>
      <c r="F3939" s="25">
        <v>-2529999</v>
      </c>
      <c r="G3939" s="26">
        <v>0.97905298854980438</v>
      </c>
      <c r="H3939" s="10">
        <v>2026</v>
      </c>
    </row>
    <row r="3940" spans="1:8" hidden="1" x14ac:dyDescent="0.3">
      <c r="A3940" s="24" t="s">
        <v>56</v>
      </c>
      <c r="B3940" s="24" t="s">
        <v>177</v>
      </c>
      <c r="C3940" s="22">
        <v>4</v>
      </c>
      <c r="D3940" s="25">
        <v>101750905</v>
      </c>
      <c r="E3940" s="25">
        <v>101750906</v>
      </c>
      <c r="F3940" s="25">
        <v>1</v>
      </c>
      <c r="G3940" s="26">
        <v>1.0000000098279225</v>
      </c>
      <c r="H3940" s="10">
        <v>2026</v>
      </c>
    </row>
    <row r="3941" spans="1:8" hidden="1" x14ac:dyDescent="0.3">
      <c r="A3941" s="23" t="s">
        <v>252</v>
      </c>
      <c r="B3941" s="23" t="s">
        <v>177</v>
      </c>
      <c r="C3941" s="22">
        <v>1</v>
      </c>
      <c r="D3941" s="25">
        <v>10543000</v>
      </c>
      <c r="E3941" s="25">
        <v>8683933</v>
      </c>
      <c r="F3941" s="25">
        <v>-1859067</v>
      </c>
      <c r="G3941" s="26">
        <v>0.82366812102817033</v>
      </c>
      <c r="H3941" s="10">
        <v>2026</v>
      </c>
    </row>
    <row r="3942" spans="1:8" hidden="1" x14ac:dyDescent="0.3">
      <c r="A3942" s="23" t="s">
        <v>252</v>
      </c>
      <c r="B3942" s="24" t="s">
        <v>177</v>
      </c>
      <c r="C3942" s="22">
        <v>2</v>
      </c>
      <c r="D3942" s="25">
        <v>10543000</v>
      </c>
      <c r="E3942" s="25">
        <v>10293467</v>
      </c>
      <c r="F3942" s="25">
        <v>-249533</v>
      </c>
      <c r="G3942" s="26">
        <v>0.97633187897182971</v>
      </c>
      <c r="H3942" s="10">
        <v>2026</v>
      </c>
    </row>
    <row r="3943" spans="1:8" hidden="1" x14ac:dyDescent="0.3">
      <c r="A3943" s="23" t="s">
        <v>252</v>
      </c>
      <c r="B3943" s="24" t="s">
        <v>177</v>
      </c>
      <c r="C3943" s="22">
        <v>3</v>
      </c>
      <c r="D3943" s="25">
        <v>11740400</v>
      </c>
      <c r="E3943" s="25">
        <v>11740400</v>
      </c>
      <c r="F3943" s="25">
        <v>0</v>
      </c>
      <c r="G3943" s="26">
        <v>1</v>
      </c>
      <c r="H3943" s="10">
        <v>2026</v>
      </c>
    </row>
    <row r="3944" spans="1:8" hidden="1" x14ac:dyDescent="0.3">
      <c r="A3944" s="23" t="s">
        <v>252</v>
      </c>
      <c r="B3944" s="24" t="s">
        <v>177</v>
      </c>
      <c r="C3944" s="22">
        <v>4</v>
      </c>
      <c r="D3944" s="25">
        <v>11386500</v>
      </c>
      <c r="E3944" s="25">
        <v>11386500</v>
      </c>
      <c r="F3944" s="25">
        <v>0</v>
      </c>
      <c r="G3944" s="26">
        <v>1</v>
      </c>
      <c r="H3944" s="10">
        <v>2026</v>
      </c>
    </row>
    <row r="3945" spans="1:8" hidden="1" x14ac:dyDescent="0.3">
      <c r="A3945" s="23" t="s">
        <v>252</v>
      </c>
      <c r="B3945" s="23" t="s">
        <v>178</v>
      </c>
      <c r="C3945" s="22">
        <v>1</v>
      </c>
      <c r="D3945" s="25">
        <v>5252715</v>
      </c>
      <c r="E3945" s="25">
        <v>5077627</v>
      </c>
      <c r="F3945" s="25">
        <v>-175088</v>
      </c>
      <c r="G3945" s="26">
        <v>0.96666714261101172</v>
      </c>
      <c r="H3945" s="10">
        <v>2026</v>
      </c>
    </row>
    <row r="3946" spans="1:8" hidden="1" x14ac:dyDescent="0.3">
      <c r="A3946" s="23" t="s">
        <v>252</v>
      </c>
      <c r="B3946" s="24" t="s">
        <v>178</v>
      </c>
      <c r="C3946" s="22">
        <v>2</v>
      </c>
      <c r="D3946" s="25">
        <v>4027082</v>
      </c>
      <c r="E3946" s="25">
        <v>3968720</v>
      </c>
      <c r="F3946" s="25">
        <v>-58362</v>
      </c>
      <c r="G3946" s="26">
        <v>0.98550762065435971</v>
      </c>
      <c r="H3946" s="10">
        <v>2026</v>
      </c>
    </row>
    <row r="3947" spans="1:8" hidden="1" x14ac:dyDescent="0.3">
      <c r="A3947" s="23" t="s">
        <v>252</v>
      </c>
      <c r="B3947" s="24" t="s">
        <v>178</v>
      </c>
      <c r="C3947" s="22">
        <v>3</v>
      </c>
      <c r="D3947" s="25">
        <v>3501810</v>
      </c>
      <c r="E3947" s="25">
        <v>3501812</v>
      </c>
      <c r="F3947" s="25">
        <v>2</v>
      </c>
      <c r="G3947" s="26">
        <v>1.0000005711332141</v>
      </c>
      <c r="H3947" s="10">
        <v>2026</v>
      </c>
    </row>
    <row r="3948" spans="1:8" hidden="1" x14ac:dyDescent="0.3">
      <c r="A3948" s="23" t="s">
        <v>252</v>
      </c>
      <c r="B3948" s="24" t="s">
        <v>178</v>
      </c>
      <c r="C3948" s="22">
        <v>4</v>
      </c>
      <c r="D3948" s="25">
        <v>4114626</v>
      </c>
      <c r="E3948" s="25">
        <v>4114628</v>
      </c>
      <c r="F3948" s="25">
        <v>2</v>
      </c>
      <c r="G3948" s="26">
        <v>1.0000004860709091</v>
      </c>
      <c r="H3948" s="10">
        <v>2026</v>
      </c>
    </row>
    <row r="3949" spans="1:8" hidden="1" x14ac:dyDescent="0.3">
      <c r="A3949" s="23" t="s">
        <v>252</v>
      </c>
      <c r="B3949" s="23" t="s">
        <v>179</v>
      </c>
      <c r="C3949" s="22">
        <v>1</v>
      </c>
      <c r="D3949" s="25">
        <v>0</v>
      </c>
      <c r="E3949" s="25">
        <v>124767</v>
      </c>
      <c r="F3949" s="25">
        <v>124767</v>
      </c>
      <c r="G3949" s="26">
        <v>0</v>
      </c>
      <c r="H3949" s="10">
        <v>2026</v>
      </c>
    </row>
    <row r="3950" spans="1:8" hidden="1" x14ac:dyDescent="0.3">
      <c r="A3950" s="23" t="s">
        <v>252</v>
      </c>
      <c r="B3950" s="24" t="s">
        <v>179</v>
      </c>
      <c r="C3950" s="22">
        <v>2</v>
      </c>
      <c r="D3950" s="25">
        <v>0</v>
      </c>
      <c r="E3950" s="25">
        <v>224728</v>
      </c>
      <c r="F3950" s="25">
        <v>224728</v>
      </c>
      <c r="G3950" s="26">
        <v>0</v>
      </c>
      <c r="H3950" s="10">
        <v>2026</v>
      </c>
    </row>
    <row r="3951" spans="1:8" hidden="1" x14ac:dyDescent="0.3">
      <c r="A3951" s="23" t="s">
        <v>252</v>
      </c>
      <c r="B3951" s="24" t="s">
        <v>179</v>
      </c>
      <c r="C3951" s="22">
        <v>3</v>
      </c>
      <c r="D3951" s="25">
        <v>0</v>
      </c>
      <c r="E3951" s="25">
        <v>0</v>
      </c>
      <c r="F3951" s="25">
        <v>0</v>
      </c>
      <c r="G3951" s="26">
        <v>0</v>
      </c>
      <c r="H3951" s="10">
        <v>2026</v>
      </c>
    </row>
    <row r="3952" spans="1:8" hidden="1" x14ac:dyDescent="0.3">
      <c r="A3952" s="23" t="s">
        <v>252</v>
      </c>
      <c r="B3952" s="24" t="s">
        <v>179</v>
      </c>
      <c r="C3952" s="22">
        <v>4</v>
      </c>
      <c r="D3952" s="25">
        <v>0</v>
      </c>
      <c r="E3952" s="25">
        <v>0</v>
      </c>
      <c r="F3952" s="25">
        <v>0</v>
      </c>
      <c r="G3952" s="26">
        <v>0</v>
      </c>
      <c r="H3952" s="10">
        <v>2026</v>
      </c>
    </row>
    <row r="3953" spans="1:8" hidden="1" x14ac:dyDescent="0.3">
      <c r="A3953" s="23" t="s">
        <v>7</v>
      </c>
      <c r="B3953" s="23" t="s">
        <v>180</v>
      </c>
      <c r="C3953" s="22">
        <v>1</v>
      </c>
      <c r="D3953" s="25">
        <v>747285</v>
      </c>
      <c r="E3953" s="25">
        <v>523101</v>
      </c>
      <c r="F3953" s="25">
        <v>-224184</v>
      </c>
      <c r="G3953" s="26">
        <v>0.70000200726630402</v>
      </c>
      <c r="H3953" s="10">
        <v>2026</v>
      </c>
    </row>
    <row r="3954" spans="1:8" hidden="1" x14ac:dyDescent="0.3">
      <c r="A3954" s="24" t="s">
        <v>7</v>
      </c>
      <c r="B3954" s="24" t="s">
        <v>180</v>
      </c>
      <c r="C3954" s="22">
        <v>2</v>
      </c>
      <c r="D3954" s="25">
        <v>747285</v>
      </c>
      <c r="E3954" s="25">
        <v>705769</v>
      </c>
      <c r="F3954" s="25">
        <v>-41516</v>
      </c>
      <c r="G3954" s="26">
        <v>0.94444422141485518</v>
      </c>
      <c r="H3954" s="10">
        <v>2026</v>
      </c>
    </row>
    <row r="3955" spans="1:8" hidden="1" x14ac:dyDescent="0.3">
      <c r="A3955" s="24" t="s">
        <v>7</v>
      </c>
      <c r="B3955" s="24" t="s">
        <v>180</v>
      </c>
      <c r="C3955" s="22">
        <v>3</v>
      </c>
      <c r="D3955" s="25">
        <v>498190</v>
      </c>
      <c r="E3955" s="25">
        <v>498190</v>
      </c>
      <c r="F3955" s="25">
        <v>0</v>
      </c>
      <c r="G3955" s="26">
        <v>1</v>
      </c>
      <c r="H3955" s="10">
        <v>2026</v>
      </c>
    </row>
    <row r="3956" spans="1:8" hidden="1" x14ac:dyDescent="0.3">
      <c r="A3956" s="24" t="s">
        <v>7</v>
      </c>
      <c r="B3956" s="24" t="s">
        <v>180</v>
      </c>
      <c r="C3956" s="22">
        <v>4</v>
      </c>
      <c r="D3956" s="25">
        <v>498190</v>
      </c>
      <c r="E3956" s="25">
        <v>456674</v>
      </c>
      <c r="F3956" s="25">
        <v>-41516</v>
      </c>
      <c r="G3956" s="26">
        <v>0.91666633212228266</v>
      </c>
      <c r="H3956" s="10">
        <v>2026</v>
      </c>
    </row>
    <row r="3957" spans="1:8" hidden="1" x14ac:dyDescent="0.3">
      <c r="A3957" s="23" t="s">
        <v>56</v>
      </c>
      <c r="B3957" s="23" t="s">
        <v>180</v>
      </c>
      <c r="C3957" s="22">
        <v>1</v>
      </c>
      <c r="D3957" s="25">
        <v>249095</v>
      </c>
      <c r="E3957" s="25">
        <v>124548</v>
      </c>
      <c r="F3957" s="25">
        <v>-124547</v>
      </c>
      <c r="G3957" s="26">
        <v>0.50000200726630406</v>
      </c>
      <c r="H3957" s="10">
        <v>2026</v>
      </c>
    </row>
    <row r="3958" spans="1:8" hidden="1" x14ac:dyDescent="0.3">
      <c r="A3958" s="24" t="s">
        <v>56</v>
      </c>
      <c r="B3958" s="24" t="s">
        <v>180</v>
      </c>
      <c r="C3958" s="22">
        <v>2</v>
      </c>
      <c r="D3958" s="25">
        <v>249095</v>
      </c>
      <c r="E3958" s="25">
        <v>249095</v>
      </c>
      <c r="F3958" s="25">
        <v>0</v>
      </c>
      <c r="G3958" s="26">
        <v>1</v>
      </c>
      <c r="H3958" s="10">
        <v>2026</v>
      </c>
    </row>
    <row r="3959" spans="1:8" hidden="1" x14ac:dyDescent="0.3">
      <c r="A3959" s="21" t="s">
        <v>56</v>
      </c>
      <c r="B3959" s="21" t="s">
        <v>180</v>
      </c>
      <c r="C3959" s="22">
        <v>3</v>
      </c>
      <c r="D3959" s="25">
        <v>249095</v>
      </c>
      <c r="E3959" s="25">
        <v>249095</v>
      </c>
      <c r="F3959" s="25">
        <v>0</v>
      </c>
      <c r="G3959" s="26">
        <v>1</v>
      </c>
      <c r="H3959" s="10">
        <v>2026</v>
      </c>
    </row>
    <row r="3960" spans="1:8" hidden="1" x14ac:dyDescent="0.3">
      <c r="A3960" s="23" t="s">
        <v>56</v>
      </c>
      <c r="B3960" s="23" t="s">
        <v>180</v>
      </c>
      <c r="C3960" s="22">
        <v>4</v>
      </c>
      <c r="D3960" s="25">
        <v>249095</v>
      </c>
      <c r="E3960" s="25">
        <v>249095</v>
      </c>
      <c r="F3960" s="25">
        <v>0</v>
      </c>
      <c r="G3960" s="26">
        <v>1</v>
      </c>
      <c r="H3960" s="10">
        <v>2026</v>
      </c>
    </row>
    <row r="3961" spans="1:8" hidden="1" x14ac:dyDescent="0.3">
      <c r="A3961" s="23" t="s">
        <v>252</v>
      </c>
      <c r="B3961" s="24" t="s">
        <v>180</v>
      </c>
      <c r="C3961" s="22">
        <v>1</v>
      </c>
      <c r="D3961" s="25">
        <v>747285</v>
      </c>
      <c r="E3961" s="25">
        <v>722376</v>
      </c>
      <c r="F3961" s="25">
        <v>-24909</v>
      </c>
      <c r="G3961" s="26">
        <v>0.96666733575543473</v>
      </c>
      <c r="H3961" s="10">
        <v>2026</v>
      </c>
    </row>
    <row r="3962" spans="1:8" hidden="1" x14ac:dyDescent="0.3">
      <c r="A3962" s="23" t="s">
        <v>252</v>
      </c>
      <c r="B3962" s="24" t="s">
        <v>180</v>
      </c>
      <c r="C3962" s="22">
        <v>2</v>
      </c>
      <c r="D3962" s="25">
        <v>572918</v>
      </c>
      <c r="E3962" s="25">
        <v>564616</v>
      </c>
      <c r="F3962" s="25">
        <v>-8302</v>
      </c>
      <c r="G3962" s="26">
        <v>0.98550927008751688</v>
      </c>
      <c r="H3962" s="10">
        <v>2026</v>
      </c>
    </row>
    <row r="3963" spans="1:8" hidden="1" x14ac:dyDescent="0.3">
      <c r="A3963" s="23" t="s">
        <v>252</v>
      </c>
      <c r="B3963" s="23" t="s">
        <v>180</v>
      </c>
      <c r="C3963" s="22">
        <v>3</v>
      </c>
      <c r="D3963" s="25">
        <v>498190</v>
      </c>
      <c r="E3963" s="25">
        <v>498190</v>
      </c>
      <c r="F3963" s="25">
        <v>0</v>
      </c>
      <c r="G3963" s="26">
        <v>1</v>
      </c>
      <c r="H3963" s="10">
        <v>2026</v>
      </c>
    </row>
    <row r="3964" spans="1:8" hidden="1" x14ac:dyDescent="0.3">
      <c r="A3964" s="23" t="s">
        <v>252</v>
      </c>
      <c r="B3964" s="24" t="s">
        <v>180</v>
      </c>
      <c r="C3964" s="22">
        <v>4</v>
      </c>
      <c r="D3964" s="25">
        <v>498190</v>
      </c>
      <c r="E3964" s="25">
        <v>498190</v>
      </c>
      <c r="F3964" s="25">
        <v>0</v>
      </c>
      <c r="G3964" s="26">
        <v>1</v>
      </c>
      <c r="H3964" s="10">
        <v>2026</v>
      </c>
    </row>
    <row r="3965" spans="1:8" hidden="1" x14ac:dyDescent="0.3">
      <c r="A3965" s="24" t="s">
        <v>7</v>
      </c>
      <c r="B3965" s="24" t="s">
        <v>181</v>
      </c>
      <c r="C3965" s="22">
        <v>1</v>
      </c>
      <c r="D3965" s="25">
        <v>3767799</v>
      </c>
      <c r="E3965" s="25">
        <v>3792343</v>
      </c>
      <c r="F3965" s="25">
        <v>24544</v>
      </c>
      <c r="G3965" s="26">
        <v>1.0065141479150028</v>
      </c>
      <c r="H3965" s="10">
        <v>2026</v>
      </c>
    </row>
    <row r="3966" spans="1:8" hidden="1" x14ac:dyDescent="0.3">
      <c r="A3966" s="24" t="s">
        <v>7</v>
      </c>
      <c r="B3966" s="24" t="s">
        <v>181</v>
      </c>
      <c r="C3966" s="22">
        <v>2</v>
      </c>
      <c r="D3966" s="25">
        <v>3767799</v>
      </c>
      <c r="E3966" s="25">
        <v>3745475</v>
      </c>
      <c r="F3966" s="25">
        <v>-22324</v>
      </c>
      <c r="G3966" s="26">
        <v>0.99407505548995589</v>
      </c>
      <c r="H3966" s="10">
        <v>2026</v>
      </c>
    </row>
    <row r="3967" spans="1:8" hidden="1" x14ac:dyDescent="0.3">
      <c r="A3967" s="23" t="s">
        <v>7</v>
      </c>
      <c r="B3967" s="23" t="s">
        <v>181</v>
      </c>
      <c r="C3967" s="22">
        <v>3</v>
      </c>
      <c r="D3967" s="25">
        <v>4854755</v>
      </c>
      <c r="E3967" s="25">
        <v>4854756</v>
      </c>
      <c r="F3967" s="25">
        <v>1</v>
      </c>
      <c r="G3967" s="26">
        <v>1.0000002059836182</v>
      </c>
      <c r="H3967" s="10">
        <v>2026</v>
      </c>
    </row>
    <row r="3968" spans="1:8" hidden="1" x14ac:dyDescent="0.3">
      <c r="A3968" s="24" t="s">
        <v>7</v>
      </c>
      <c r="B3968" s="24" t="s">
        <v>181</v>
      </c>
      <c r="C3968" s="22">
        <v>4</v>
      </c>
      <c r="D3968" s="25">
        <v>4892583</v>
      </c>
      <c r="E3968" s="25">
        <v>4889125</v>
      </c>
      <c r="F3968" s="25">
        <v>-3458</v>
      </c>
      <c r="G3968" s="26">
        <v>0.99929321587390552</v>
      </c>
      <c r="H3968" s="10">
        <v>2026</v>
      </c>
    </row>
    <row r="3969" spans="1:8" hidden="1" x14ac:dyDescent="0.3">
      <c r="A3969" s="23" t="s">
        <v>56</v>
      </c>
      <c r="B3969" s="23" t="s">
        <v>181</v>
      </c>
      <c r="C3969" s="22">
        <v>1</v>
      </c>
      <c r="D3969" s="25">
        <v>6911401</v>
      </c>
      <c r="E3969" s="25">
        <v>6828101</v>
      </c>
      <c r="F3969" s="25">
        <v>-83300</v>
      </c>
      <c r="G3969" s="26">
        <v>0.98794745088586244</v>
      </c>
      <c r="H3969" s="10">
        <v>2026</v>
      </c>
    </row>
    <row r="3970" spans="1:8" hidden="1" x14ac:dyDescent="0.3">
      <c r="A3970" s="24" t="s">
        <v>56</v>
      </c>
      <c r="B3970" s="24" t="s">
        <v>181</v>
      </c>
      <c r="C3970" s="22">
        <v>2</v>
      </c>
      <c r="D3970" s="25">
        <v>6911401</v>
      </c>
      <c r="E3970" s="25">
        <v>6911401</v>
      </c>
      <c r="F3970" s="25">
        <v>0</v>
      </c>
      <c r="G3970" s="26">
        <v>1</v>
      </c>
      <c r="H3970" s="10">
        <v>2026</v>
      </c>
    </row>
    <row r="3971" spans="1:8" hidden="1" x14ac:dyDescent="0.3">
      <c r="A3971" s="24" t="s">
        <v>56</v>
      </c>
      <c r="B3971" s="24" t="s">
        <v>181</v>
      </c>
      <c r="C3971" s="22">
        <v>3</v>
      </c>
      <c r="D3971" s="25">
        <v>10081799</v>
      </c>
      <c r="E3971" s="25">
        <v>9871050</v>
      </c>
      <c r="F3971" s="25">
        <v>-210749</v>
      </c>
      <c r="G3971" s="26">
        <v>0.9790960918780468</v>
      </c>
      <c r="H3971" s="10">
        <v>2026</v>
      </c>
    </row>
    <row r="3972" spans="1:8" hidden="1" x14ac:dyDescent="0.3">
      <c r="A3972" s="24" t="s">
        <v>56</v>
      </c>
      <c r="B3972" s="24" t="s">
        <v>181</v>
      </c>
      <c r="C3972" s="22">
        <v>4</v>
      </c>
      <c r="D3972" s="25">
        <v>8496600</v>
      </c>
      <c r="E3972" s="25">
        <v>8516825</v>
      </c>
      <c r="F3972" s="25">
        <v>20225</v>
      </c>
      <c r="G3972" s="26">
        <v>1.00238036391027</v>
      </c>
      <c r="H3972" s="10">
        <v>2026</v>
      </c>
    </row>
    <row r="3973" spans="1:8" hidden="1" x14ac:dyDescent="0.3">
      <c r="A3973" s="23" t="s">
        <v>252</v>
      </c>
      <c r="B3973" s="23" t="s">
        <v>181</v>
      </c>
      <c r="C3973" s="22">
        <v>1</v>
      </c>
      <c r="D3973" s="25">
        <v>1378031</v>
      </c>
      <c r="E3973" s="25">
        <v>808525</v>
      </c>
      <c r="F3973" s="25">
        <v>-569506</v>
      </c>
      <c r="G3973" s="26">
        <v>0.5867248269451123</v>
      </c>
      <c r="H3973" s="10">
        <v>2026</v>
      </c>
    </row>
    <row r="3974" spans="1:8" hidden="1" x14ac:dyDescent="0.3">
      <c r="A3974" s="23" t="s">
        <v>252</v>
      </c>
      <c r="B3974" s="24" t="s">
        <v>181</v>
      </c>
      <c r="C3974" s="22">
        <v>2</v>
      </c>
      <c r="D3974" s="25">
        <v>1261411</v>
      </c>
      <c r="E3974" s="25">
        <v>923199</v>
      </c>
      <c r="F3974" s="25">
        <v>-338212</v>
      </c>
      <c r="G3974" s="26">
        <v>0.73187803182309341</v>
      </c>
      <c r="H3974" s="10">
        <v>2026</v>
      </c>
    </row>
    <row r="3975" spans="1:8" hidden="1" x14ac:dyDescent="0.3">
      <c r="A3975" s="23" t="s">
        <v>252</v>
      </c>
      <c r="B3975" s="21" t="s">
        <v>181</v>
      </c>
      <c r="C3975" s="22">
        <v>3</v>
      </c>
      <c r="D3975" s="25">
        <v>1311175</v>
      </c>
      <c r="E3975" s="25">
        <v>1019476</v>
      </c>
      <c r="F3975" s="25">
        <v>-291699</v>
      </c>
      <c r="G3975" s="26">
        <v>0.77752855263408782</v>
      </c>
      <c r="H3975" s="10">
        <v>2026</v>
      </c>
    </row>
    <row r="3976" spans="1:8" hidden="1" x14ac:dyDescent="0.3">
      <c r="A3976" s="23" t="s">
        <v>252</v>
      </c>
      <c r="B3976" s="23" t="s">
        <v>181</v>
      </c>
      <c r="C3976" s="22">
        <v>4</v>
      </c>
      <c r="D3976" s="25">
        <v>1281695</v>
      </c>
      <c r="E3976" s="25">
        <v>1332743</v>
      </c>
      <c r="F3976" s="25">
        <v>51048</v>
      </c>
      <c r="G3976" s="26">
        <v>1.0398285083424683</v>
      </c>
      <c r="H3976" s="10">
        <v>2026</v>
      </c>
    </row>
    <row r="3977" spans="1:8" hidden="1" x14ac:dyDescent="0.3">
      <c r="A3977" s="24" t="s">
        <v>7</v>
      </c>
      <c r="B3977" s="24" t="s">
        <v>182</v>
      </c>
      <c r="C3977" s="22">
        <v>1</v>
      </c>
      <c r="D3977" s="25">
        <v>452135</v>
      </c>
      <c r="E3977" s="25">
        <v>455265</v>
      </c>
      <c r="F3977" s="25">
        <v>3130</v>
      </c>
      <c r="G3977" s="26">
        <v>1.0069227111371604</v>
      </c>
      <c r="H3977" s="10">
        <v>2026</v>
      </c>
    </row>
    <row r="3978" spans="1:8" hidden="1" x14ac:dyDescent="0.3">
      <c r="A3978" s="24" t="s">
        <v>7</v>
      </c>
      <c r="B3978" s="24" t="s">
        <v>182</v>
      </c>
      <c r="C3978" s="22">
        <v>2</v>
      </c>
      <c r="D3978" s="25">
        <v>452135</v>
      </c>
      <c r="E3978" s="25">
        <v>449637</v>
      </c>
      <c r="F3978" s="25">
        <v>-2498</v>
      </c>
      <c r="G3978" s="26">
        <v>0.99447510146305862</v>
      </c>
      <c r="H3978" s="10">
        <v>2026</v>
      </c>
    </row>
    <row r="3979" spans="1:8" hidden="1" x14ac:dyDescent="0.3">
      <c r="A3979" s="24" t="s">
        <v>7</v>
      </c>
      <c r="B3979" s="24" t="s">
        <v>182</v>
      </c>
      <c r="C3979" s="22">
        <v>3</v>
      </c>
      <c r="D3979" s="25">
        <v>582570</v>
      </c>
      <c r="E3979" s="25">
        <v>582804</v>
      </c>
      <c r="F3979" s="25">
        <v>234</v>
      </c>
      <c r="G3979" s="26">
        <v>1.0004016684690251</v>
      </c>
      <c r="H3979" s="10">
        <v>2026</v>
      </c>
    </row>
    <row r="3980" spans="1:8" hidden="1" x14ac:dyDescent="0.3">
      <c r="A3980" s="23" t="s">
        <v>7</v>
      </c>
      <c r="B3980" s="23" t="s">
        <v>182</v>
      </c>
      <c r="C3980" s="22">
        <v>4</v>
      </c>
      <c r="D3980" s="25">
        <v>587109</v>
      </c>
      <c r="E3980" s="25">
        <v>586930</v>
      </c>
      <c r="F3980" s="25">
        <v>-179</v>
      </c>
      <c r="G3980" s="26">
        <v>0.99969511623906293</v>
      </c>
      <c r="H3980" s="10">
        <v>2026</v>
      </c>
    </row>
    <row r="3981" spans="1:8" hidden="1" x14ac:dyDescent="0.3">
      <c r="A3981" s="24" t="s">
        <v>56</v>
      </c>
      <c r="B3981" s="24" t="s">
        <v>182</v>
      </c>
      <c r="C3981" s="22">
        <v>1</v>
      </c>
      <c r="D3981" s="25">
        <v>829368</v>
      </c>
      <c r="E3981" s="25">
        <v>819700</v>
      </c>
      <c r="F3981" s="25">
        <v>-9668</v>
      </c>
      <c r="G3981" s="26">
        <v>0.98834293100288417</v>
      </c>
      <c r="H3981" s="10">
        <v>2026</v>
      </c>
    </row>
    <row r="3982" spans="1:8" hidden="1" x14ac:dyDescent="0.3">
      <c r="A3982" s="24" t="s">
        <v>56</v>
      </c>
      <c r="B3982" s="24" t="s">
        <v>182</v>
      </c>
      <c r="C3982" s="22">
        <v>2</v>
      </c>
      <c r="D3982" s="25">
        <v>829368</v>
      </c>
      <c r="E3982" s="25">
        <v>829700</v>
      </c>
      <c r="F3982" s="25">
        <v>332</v>
      </c>
      <c r="G3982" s="26">
        <v>1.00040030481041</v>
      </c>
      <c r="H3982" s="10">
        <v>2026</v>
      </c>
    </row>
    <row r="3983" spans="1:8" hidden="1" x14ac:dyDescent="0.3">
      <c r="A3983" s="24" t="s">
        <v>56</v>
      </c>
      <c r="B3983" s="24" t="s">
        <v>182</v>
      </c>
      <c r="C3983" s="22">
        <v>3</v>
      </c>
      <c r="D3983" s="25">
        <v>1209815</v>
      </c>
      <c r="E3983" s="25">
        <v>1185000</v>
      </c>
      <c r="F3983" s="25">
        <v>-24815</v>
      </c>
      <c r="G3983" s="26">
        <v>0.97948859949661726</v>
      </c>
      <c r="H3983" s="10">
        <v>2026</v>
      </c>
    </row>
    <row r="3984" spans="1:8" hidden="1" x14ac:dyDescent="0.3">
      <c r="A3984" s="23" t="s">
        <v>56</v>
      </c>
      <c r="B3984" s="23" t="s">
        <v>182</v>
      </c>
      <c r="C3984" s="22">
        <v>4</v>
      </c>
      <c r="D3984" s="25">
        <v>1019592</v>
      </c>
      <c r="E3984" s="25">
        <v>1022428</v>
      </c>
      <c r="F3984" s="25">
        <v>2836</v>
      </c>
      <c r="G3984" s="26">
        <v>1.0027815047587663</v>
      </c>
      <c r="H3984" s="10">
        <v>2026</v>
      </c>
    </row>
    <row r="3985" spans="1:8" hidden="1" x14ac:dyDescent="0.3">
      <c r="A3985" s="23" t="s">
        <v>252</v>
      </c>
      <c r="B3985" s="24" t="s">
        <v>182</v>
      </c>
      <c r="C3985" s="22">
        <v>1</v>
      </c>
      <c r="D3985" s="25">
        <v>165363</v>
      </c>
      <c r="E3985" s="25">
        <v>97062</v>
      </c>
      <c r="F3985" s="25">
        <v>-68301</v>
      </c>
      <c r="G3985" s="26">
        <v>0.58696322635656106</v>
      </c>
      <c r="H3985" s="10">
        <v>2026</v>
      </c>
    </row>
    <row r="3986" spans="1:8" hidden="1" x14ac:dyDescent="0.3">
      <c r="A3986" s="23" t="s">
        <v>252</v>
      </c>
      <c r="B3986" s="24" t="s">
        <v>182</v>
      </c>
      <c r="C3986" s="22">
        <v>2</v>
      </c>
      <c r="D3986" s="25">
        <v>151369</v>
      </c>
      <c r="E3986" s="25">
        <v>110829</v>
      </c>
      <c r="F3986" s="25">
        <v>-40540</v>
      </c>
      <c r="G3986" s="26">
        <v>0.73217765856945605</v>
      </c>
      <c r="H3986" s="10">
        <v>2026</v>
      </c>
    </row>
    <row r="3987" spans="1:8" hidden="1" x14ac:dyDescent="0.3">
      <c r="A3987" s="23" t="s">
        <v>252</v>
      </c>
      <c r="B3987" s="24" t="s">
        <v>182</v>
      </c>
      <c r="C3987" s="22">
        <v>3</v>
      </c>
      <c r="D3987" s="25">
        <v>157341</v>
      </c>
      <c r="E3987" s="25">
        <v>122386</v>
      </c>
      <c r="F3987" s="25">
        <v>-34955</v>
      </c>
      <c r="G3987" s="26">
        <v>0.77783921546195844</v>
      </c>
      <c r="H3987" s="10">
        <v>2026</v>
      </c>
    </row>
    <row r="3988" spans="1:8" hidden="1" x14ac:dyDescent="0.3">
      <c r="A3988" s="23" t="s">
        <v>252</v>
      </c>
      <c r="B3988" s="23" t="s">
        <v>182</v>
      </c>
      <c r="C3988" s="22">
        <v>4</v>
      </c>
      <c r="D3988" s="25">
        <v>153803</v>
      </c>
      <c r="E3988" s="25">
        <v>159993</v>
      </c>
      <c r="F3988" s="25">
        <v>6190</v>
      </c>
      <c r="G3988" s="26">
        <v>1.0402462890840882</v>
      </c>
      <c r="H3988" s="10">
        <v>2026</v>
      </c>
    </row>
    <row r="3989" spans="1:8" hidden="1" x14ac:dyDescent="0.3">
      <c r="A3989" s="24" t="s">
        <v>7</v>
      </c>
      <c r="B3989" s="24" t="s">
        <v>183</v>
      </c>
      <c r="C3989" s="22">
        <v>1</v>
      </c>
      <c r="D3989" s="25">
        <v>3767799</v>
      </c>
      <c r="E3989" s="25">
        <v>3792343</v>
      </c>
      <c r="F3989" s="25">
        <v>24544</v>
      </c>
      <c r="G3989" s="26">
        <v>1.0065141479150028</v>
      </c>
      <c r="H3989" s="10">
        <v>2026</v>
      </c>
    </row>
    <row r="3990" spans="1:8" hidden="1" x14ac:dyDescent="0.3">
      <c r="A3990" s="24" t="s">
        <v>7</v>
      </c>
      <c r="B3990" s="24" t="s">
        <v>183</v>
      </c>
      <c r="C3990" s="22">
        <v>2</v>
      </c>
      <c r="D3990" s="25">
        <v>3767799</v>
      </c>
      <c r="E3990" s="25">
        <v>3745475</v>
      </c>
      <c r="F3990" s="25">
        <v>-22324</v>
      </c>
      <c r="G3990" s="26">
        <v>0.99407505548995589</v>
      </c>
      <c r="H3990" s="10">
        <v>2026</v>
      </c>
    </row>
    <row r="3991" spans="1:8" hidden="1" x14ac:dyDescent="0.3">
      <c r="A3991" s="24" t="s">
        <v>7</v>
      </c>
      <c r="B3991" s="24" t="s">
        <v>183</v>
      </c>
      <c r="C3991" s="22">
        <v>3</v>
      </c>
      <c r="D3991" s="25">
        <v>4854755</v>
      </c>
      <c r="E3991" s="25">
        <v>4854756</v>
      </c>
      <c r="F3991" s="25">
        <v>1</v>
      </c>
      <c r="G3991" s="26">
        <v>1.0000002059836182</v>
      </c>
      <c r="H3991" s="10">
        <v>2026</v>
      </c>
    </row>
    <row r="3992" spans="1:8" hidden="1" x14ac:dyDescent="0.3">
      <c r="A3992" s="23" t="s">
        <v>7</v>
      </c>
      <c r="B3992" s="23" t="s">
        <v>183</v>
      </c>
      <c r="C3992" s="22">
        <v>4</v>
      </c>
      <c r="D3992" s="25">
        <v>4892583</v>
      </c>
      <c r="E3992" s="25">
        <v>4889125</v>
      </c>
      <c r="F3992" s="25">
        <v>-3458</v>
      </c>
      <c r="G3992" s="26">
        <v>0.99929321587390552</v>
      </c>
      <c r="H3992" s="10">
        <v>2026</v>
      </c>
    </row>
    <row r="3993" spans="1:8" hidden="1" x14ac:dyDescent="0.3">
      <c r="A3993" s="24" t="s">
        <v>56</v>
      </c>
      <c r="B3993" s="24" t="s">
        <v>183</v>
      </c>
      <c r="C3993" s="22">
        <v>1</v>
      </c>
      <c r="D3993" s="25">
        <v>6911401</v>
      </c>
      <c r="E3993" s="25">
        <v>6828101</v>
      </c>
      <c r="F3993" s="25">
        <v>-83300</v>
      </c>
      <c r="G3993" s="26">
        <v>0.98794745088586244</v>
      </c>
      <c r="H3993" s="10">
        <v>2026</v>
      </c>
    </row>
    <row r="3994" spans="1:8" hidden="1" x14ac:dyDescent="0.3">
      <c r="A3994" s="24" t="s">
        <v>56</v>
      </c>
      <c r="B3994" s="24" t="s">
        <v>183</v>
      </c>
      <c r="C3994" s="22">
        <v>2</v>
      </c>
      <c r="D3994" s="25">
        <v>6911401</v>
      </c>
      <c r="E3994" s="25">
        <v>6911401</v>
      </c>
      <c r="F3994" s="25">
        <v>0</v>
      </c>
      <c r="G3994" s="26">
        <v>1</v>
      </c>
      <c r="H3994" s="10">
        <v>2026</v>
      </c>
    </row>
    <row r="3995" spans="1:8" hidden="1" x14ac:dyDescent="0.3">
      <c r="A3995" s="24" t="s">
        <v>56</v>
      </c>
      <c r="B3995" s="24" t="s">
        <v>183</v>
      </c>
      <c r="C3995" s="22">
        <v>3</v>
      </c>
      <c r="D3995" s="25">
        <v>10081799</v>
      </c>
      <c r="E3995" s="25">
        <v>9871050</v>
      </c>
      <c r="F3995" s="25">
        <v>-210749</v>
      </c>
      <c r="G3995" s="26">
        <v>0.9790960918780468</v>
      </c>
      <c r="H3995" s="10">
        <v>2026</v>
      </c>
    </row>
    <row r="3996" spans="1:8" hidden="1" x14ac:dyDescent="0.3">
      <c r="A3996" s="23" t="s">
        <v>56</v>
      </c>
      <c r="B3996" s="23" t="s">
        <v>183</v>
      </c>
      <c r="C3996" s="22">
        <v>4</v>
      </c>
      <c r="D3996" s="25">
        <v>8496600</v>
      </c>
      <c r="E3996" s="25">
        <v>8516825</v>
      </c>
      <c r="F3996" s="25">
        <v>20225</v>
      </c>
      <c r="G3996" s="26">
        <v>1.00238036391027</v>
      </c>
      <c r="H3996" s="10">
        <v>2026</v>
      </c>
    </row>
    <row r="3997" spans="1:8" hidden="1" x14ac:dyDescent="0.3">
      <c r="A3997" s="23" t="s">
        <v>252</v>
      </c>
      <c r="B3997" s="24" t="s">
        <v>183</v>
      </c>
      <c r="C3997" s="22">
        <v>1</v>
      </c>
      <c r="D3997" s="25">
        <v>1378031</v>
      </c>
      <c r="E3997" s="25">
        <v>808525</v>
      </c>
      <c r="F3997" s="25">
        <v>-569506</v>
      </c>
      <c r="G3997" s="26">
        <v>0.5867248269451123</v>
      </c>
      <c r="H3997" s="10">
        <v>2026</v>
      </c>
    </row>
    <row r="3998" spans="1:8" hidden="1" x14ac:dyDescent="0.3">
      <c r="A3998" s="23" t="s">
        <v>252</v>
      </c>
      <c r="B3998" s="24" t="s">
        <v>183</v>
      </c>
      <c r="C3998" s="22">
        <v>2</v>
      </c>
      <c r="D3998" s="25">
        <v>1261411</v>
      </c>
      <c r="E3998" s="25">
        <v>923199</v>
      </c>
      <c r="F3998" s="25">
        <v>-338212</v>
      </c>
      <c r="G3998" s="26">
        <v>0.73187803182309341</v>
      </c>
      <c r="H3998" s="10">
        <v>2026</v>
      </c>
    </row>
    <row r="3999" spans="1:8" hidden="1" x14ac:dyDescent="0.3">
      <c r="A3999" s="23" t="s">
        <v>252</v>
      </c>
      <c r="B3999" s="24" t="s">
        <v>183</v>
      </c>
      <c r="C3999" s="22">
        <v>3</v>
      </c>
      <c r="D3999" s="25">
        <v>1311175</v>
      </c>
      <c r="E3999" s="25">
        <v>1019476</v>
      </c>
      <c r="F3999" s="25">
        <v>-291699</v>
      </c>
      <c r="G3999" s="26">
        <v>0.77752855263408782</v>
      </c>
      <c r="H3999" s="10">
        <v>2026</v>
      </c>
    </row>
    <row r="4000" spans="1:8" hidden="1" x14ac:dyDescent="0.3">
      <c r="A4000" s="23" t="s">
        <v>252</v>
      </c>
      <c r="B4000" s="23" t="s">
        <v>183</v>
      </c>
      <c r="C4000" s="22">
        <v>4</v>
      </c>
      <c r="D4000" s="25">
        <v>1281695</v>
      </c>
      <c r="E4000" s="25">
        <v>1332743</v>
      </c>
      <c r="F4000" s="25">
        <v>51048</v>
      </c>
      <c r="G4000" s="26">
        <v>1.0398285083424683</v>
      </c>
      <c r="H4000" s="10">
        <v>2026</v>
      </c>
    </row>
    <row r="4001" spans="1:8" hidden="1" x14ac:dyDescent="0.3">
      <c r="A4001" s="24" t="s">
        <v>7</v>
      </c>
      <c r="B4001" s="24" t="s">
        <v>184</v>
      </c>
      <c r="C4001" s="22">
        <v>1</v>
      </c>
      <c r="D4001" s="25">
        <v>1854999</v>
      </c>
      <c r="E4001" s="25">
        <v>1876634</v>
      </c>
      <c r="F4001" s="25">
        <v>21635</v>
      </c>
      <c r="G4001" s="26">
        <v>1.0116630790636545</v>
      </c>
      <c r="H4001" s="10">
        <v>2026</v>
      </c>
    </row>
    <row r="4002" spans="1:8" hidden="1" x14ac:dyDescent="0.3">
      <c r="A4002" s="24" t="s">
        <v>7</v>
      </c>
      <c r="B4002" s="24" t="s">
        <v>184</v>
      </c>
      <c r="C4002" s="22">
        <v>2</v>
      </c>
      <c r="D4002" s="25">
        <v>1854999</v>
      </c>
      <c r="E4002" s="25">
        <v>1845555</v>
      </c>
      <c r="F4002" s="25">
        <v>-9444</v>
      </c>
      <c r="G4002" s="26">
        <v>0.99490889213417366</v>
      </c>
      <c r="H4002" s="10">
        <v>2026</v>
      </c>
    </row>
    <row r="4003" spans="1:8" hidden="1" x14ac:dyDescent="0.3">
      <c r="A4003" s="24" t="s">
        <v>7</v>
      </c>
      <c r="B4003" s="24" t="s">
        <v>184</v>
      </c>
      <c r="C4003" s="22">
        <v>3</v>
      </c>
      <c r="D4003" s="25">
        <v>2409517</v>
      </c>
      <c r="E4003" s="25">
        <v>2409518</v>
      </c>
      <c r="F4003" s="25">
        <v>1</v>
      </c>
      <c r="G4003" s="26">
        <v>1.0000004150209358</v>
      </c>
      <c r="H4003" s="10">
        <v>2026</v>
      </c>
    </row>
    <row r="4004" spans="1:8" hidden="1" x14ac:dyDescent="0.3">
      <c r="A4004" s="23" t="s">
        <v>7</v>
      </c>
      <c r="B4004" s="23" t="s">
        <v>184</v>
      </c>
      <c r="C4004" s="22">
        <v>4</v>
      </c>
      <c r="D4004" s="25">
        <v>2428453</v>
      </c>
      <c r="E4004" s="25">
        <v>2428453</v>
      </c>
      <c r="F4004" s="25">
        <v>0</v>
      </c>
      <c r="G4004" s="26">
        <v>1</v>
      </c>
      <c r="H4004" s="10">
        <v>2026</v>
      </c>
    </row>
    <row r="4005" spans="1:8" hidden="1" x14ac:dyDescent="0.3">
      <c r="A4005" s="24" t="s">
        <v>56</v>
      </c>
      <c r="B4005" s="24" t="s">
        <v>184</v>
      </c>
      <c r="C4005" s="22">
        <v>1</v>
      </c>
      <c r="D4005" s="25">
        <v>3449461</v>
      </c>
      <c r="E4005" s="25">
        <v>3412955</v>
      </c>
      <c r="F4005" s="25">
        <v>-36506</v>
      </c>
      <c r="G4005" s="26">
        <v>0.98941689730656479</v>
      </c>
      <c r="H4005" s="10">
        <v>2026</v>
      </c>
    </row>
    <row r="4006" spans="1:8" hidden="1" x14ac:dyDescent="0.3">
      <c r="A4006" s="24" t="s">
        <v>56</v>
      </c>
      <c r="B4006" s="24" t="s">
        <v>184</v>
      </c>
      <c r="C4006" s="22">
        <v>2</v>
      </c>
      <c r="D4006" s="25">
        <v>3449461</v>
      </c>
      <c r="E4006" s="25">
        <v>3449462</v>
      </c>
      <c r="F4006" s="25">
        <v>1</v>
      </c>
      <c r="G4006" s="26">
        <v>1.0000002899003642</v>
      </c>
      <c r="H4006" s="10">
        <v>2026</v>
      </c>
    </row>
    <row r="4007" spans="1:8" hidden="1" x14ac:dyDescent="0.3">
      <c r="A4007" s="24" t="s">
        <v>56</v>
      </c>
      <c r="B4007" s="24" t="s">
        <v>184</v>
      </c>
      <c r="C4007" s="22">
        <v>3</v>
      </c>
      <c r="D4007" s="25">
        <v>5036563</v>
      </c>
      <c r="E4007" s="25">
        <v>4931063</v>
      </c>
      <c r="F4007" s="25">
        <v>-105500</v>
      </c>
      <c r="G4007" s="26">
        <v>0.97905317574703232</v>
      </c>
      <c r="H4007" s="10">
        <v>2026</v>
      </c>
    </row>
    <row r="4008" spans="1:8" hidden="1" x14ac:dyDescent="0.3">
      <c r="A4008" s="23" t="s">
        <v>56</v>
      </c>
      <c r="B4008" s="23" t="s">
        <v>184</v>
      </c>
      <c r="C4008" s="22">
        <v>4</v>
      </c>
      <c r="D4008" s="25">
        <v>4243012</v>
      </c>
      <c r="E4008" s="25">
        <v>4253137</v>
      </c>
      <c r="F4008" s="25">
        <v>10125</v>
      </c>
      <c r="G4008" s="26">
        <v>1.0023862765412872</v>
      </c>
      <c r="H4008" s="10">
        <v>2026</v>
      </c>
    </row>
    <row r="4009" spans="1:8" hidden="1" x14ac:dyDescent="0.3">
      <c r="A4009" s="23" t="s">
        <v>252</v>
      </c>
      <c r="B4009" s="24" t="s">
        <v>184</v>
      </c>
      <c r="C4009" s="22">
        <v>1</v>
      </c>
      <c r="D4009" s="25">
        <v>658681</v>
      </c>
      <c r="E4009" s="25">
        <v>374624</v>
      </c>
      <c r="F4009" s="25">
        <v>-284057</v>
      </c>
      <c r="G4009" s="26">
        <v>0.5687487569855515</v>
      </c>
      <c r="H4009" s="10">
        <v>2026</v>
      </c>
    </row>
    <row r="4010" spans="1:8" hidden="1" x14ac:dyDescent="0.3">
      <c r="A4010" s="23" t="s">
        <v>252</v>
      </c>
      <c r="B4010" s="24" t="s">
        <v>184</v>
      </c>
      <c r="C4010" s="22">
        <v>2</v>
      </c>
      <c r="D4010" s="25">
        <v>607572</v>
      </c>
      <c r="E4010" s="25">
        <v>438609</v>
      </c>
      <c r="F4010" s="25">
        <v>-168963</v>
      </c>
      <c r="G4010" s="26">
        <v>0.72190456439730599</v>
      </c>
      <c r="H4010" s="10">
        <v>2026</v>
      </c>
    </row>
    <row r="4011" spans="1:8" hidden="1" x14ac:dyDescent="0.3">
      <c r="A4011" s="23" t="s">
        <v>252</v>
      </c>
      <c r="B4011" s="24" t="s">
        <v>184</v>
      </c>
      <c r="C4011" s="22">
        <v>3</v>
      </c>
      <c r="D4011" s="25">
        <v>635600</v>
      </c>
      <c r="E4011" s="25">
        <v>489574</v>
      </c>
      <c r="F4011" s="25">
        <v>-146026</v>
      </c>
      <c r="G4011" s="26">
        <v>0.77025487728130904</v>
      </c>
      <c r="H4011" s="10">
        <v>2026</v>
      </c>
    </row>
    <row r="4012" spans="1:8" hidden="1" x14ac:dyDescent="0.3">
      <c r="A4012" s="23" t="s">
        <v>252</v>
      </c>
      <c r="B4012" s="23" t="s">
        <v>184</v>
      </c>
      <c r="C4012" s="22">
        <v>4</v>
      </c>
      <c r="D4012" s="25">
        <v>620842</v>
      </c>
      <c r="E4012" s="25">
        <v>646397</v>
      </c>
      <c r="F4012" s="25">
        <v>25555</v>
      </c>
      <c r="G4012" s="26">
        <v>1.0411618414991255</v>
      </c>
      <c r="H4012" s="10">
        <v>2026</v>
      </c>
    </row>
    <row r="4013" spans="1:8" hidden="1" x14ac:dyDescent="0.3">
      <c r="A4013" s="24" t="s">
        <v>7</v>
      </c>
      <c r="B4013" s="24" t="s">
        <v>185</v>
      </c>
      <c r="C4013" s="22">
        <v>1</v>
      </c>
      <c r="D4013" s="25">
        <v>613884</v>
      </c>
      <c r="E4013" s="25">
        <v>621045</v>
      </c>
      <c r="F4013" s="25">
        <v>7161</v>
      </c>
      <c r="G4013" s="26">
        <v>1.0116650702738628</v>
      </c>
      <c r="H4013" s="10">
        <v>2026</v>
      </c>
    </row>
    <row r="4014" spans="1:8" hidden="1" x14ac:dyDescent="0.3">
      <c r="A4014" s="23" t="s">
        <v>7</v>
      </c>
      <c r="B4014" s="23" t="s">
        <v>185</v>
      </c>
      <c r="C4014" s="22">
        <v>2</v>
      </c>
      <c r="D4014" s="25">
        <v>613884</v>
      </c>
      <c r="E4014" s="25">
        <v>610759</v>
      </c>
      <c r="F4014" s="25">
        <v>-3125</v>
      </c>
      <c r="G4014" s="26">
        <v>0.99490946172241013</v>
      </c>
      <c r="H4014" s="10">
        <v>2026</v>
      </c>
    </row>
    <row r="4015" spans="1:8" hidden="1" x14ac:dyDescent="0.3">
      <c r="A4015" s="24" t="s">
        <v>7</v>
      </c>
      <c r="B4015" s="24" t="s">
        <v>185</v>
      </c>
      <c r="C4015" s="22">
        <v>3</v>
      </c>
      <c r="D4015" s="25">
        <v>797394</v>
      </c>
      <c r="E4015" s="25">
        <v>797394</v>
      </c>
      <c r="F4015" s="25">
        <v>0</v>
      </c>
      <c r="G4015" s="26">
        <v>1</v>
      </c>
      <c r="H4015" s="10">
        <v>2026</v>
      </c>
    </row>
    <row r="4016" spans="1:8" hidden="1" x14ac:dyDescent="0.3">
      <c r="A4016" s="24" t="s">
        <v>7</v>
      </c>
      <c r="B4016" s="24" t="s">
        <v>185</v>
      </c>
      <c r="C4016" s="22">
        <v>4</v>
      </c>
      <c r="D4016" s="25">
        <v>803660</v>
      </c>
      <c r="E4016" s="25">
        <v>803660</v>
      </c>
      <c r="F4016" s="25">
        <v>0</v>
      </c>
      <c r="G4016" s="26">
        <v>1</v>
      </c>
      <c r="H4016" s="10">
        <v>2026</v>
      </c>
    </row>
    <row r="4017" spans="1:8" hidden="1" x14ac:dyDescent="0.3">
      <c r="A4017" s="24" t="s">
        <v>56</v>
      </c>
      <c r="B4017" s="24" t="s">
        <v>185</v>
      </c>
      <c r="C4017" s="22">
        <v>1</v>
      </c>
      <c r="D4017" s="25">
        <v>1141548</v>
      </c>
      <c r="E4017" s="25">
        <v>1129467</v>
      </c>
      <c r="F4017" s="25">
        <v>-12081</v>
      </c>
      <c r="G4017" s="26">
        <v>0.9894170021759926</v>
      </c>
      <c r="H4017" s="10">
        <v>2026</v>
      </c>
    </row>
    <row r="4018" spans="1:8" hidden="1" x14ac:dyDescent="0.3">
      <c r="A4018" s="23" t="s">
        <v>56</v>
      </c>
      <c r="B4018" s="23" t="s">
        <v>185</v>
      </c>
      <c r="C4018" s="22">
        <v>2</v>
      </c>
      <c r="D4018" s="25">
        <v>1141548</v>
      </c>
      <c r="E4018" s="25">
        <v>1141549</v>
      </c>
      <c r="F4018" s="25">
        <v>1</v>
      </c>
      <c r="G4018" s="26">
        <v>1.000000876003462</v>
      </c>
      <c r="H4018" s="10">
        <v>2026</v>
      </c>
    </row>
    <row r="4019" spans="1:8" hidden="1" x14ac:dyDescent="0.3">
      <c r="A4019" s="24" t="s">
        <v>56</v>
      </c>
      <c r="B4019" s="24" t="s">
        <v>185</v>
      </c>
      <c r="C4019" s="22">
        <v>3</v>
      </c>
      <c r="D4019" s="25">
        <v>1666776</v>
      </c>
      <c r="E4019" s="25">
        <v>1631863</v>
      </c>
      <c r="F4019" s="25">
        <v>-34913</v>
      </c>
      <c r="G4019" s="26">
        <v>0.97905357408554006</v>
      </c>
      <c r="H4019" s="10">
        <v>2026</v>
      </c>
    </row>
    <row r="4020" spans="1:8" hidden="1" x14ac:dyDescent="0.3">
      <c r="A4020" s="24" t="s">
        <v>56</v>
      </c>
      <c r="B4020" s="24" t="s">
        <v>185</v>
      </c>
      <c r="C4020" s="22">
        <v>4</v>
      </c>
      <c r="D4020" s="25">
        <v>1404162</v>
      </c>
      <c r="E4020" s="25">
        <v>1407514</v>
      </c>
      <c r="F4020" s="25">
        <v>3352</v>
      </c>
      <c r="G4020" s="26">
        <v>1.0023871889425864</v>
      </c>
      <c r="H4020" s="10">
        <v>2026</v>
      </c>
    </row>
    <row r="4021" spans="1:8" hidden="1" x14ac:dyDescent="0.3">
      <c r="A4021" s="23" t="s">
        <v>252</v>
      </c>
      <c r="B4021" s="24" t="s">
        <v>185</v>
      </c>
      <c r="C4021" s="22">
        <v>1</v>
      </c>
      <c r="D4021" s="25">
        <v>217980</v>
      </c>
      <c r="E4021" s="25">
        <v>123976</v>
      </c>
      <c r="F4021" s="25">
        <v>-94004</v>
      </c>
      <c r="G4021" s="26">
        <v>0.56874942655289473</v>
      </c>
      <c r="H4021" s="10">
        <v>2026</v>
      </c>
    </row>
    <row r="4022" spans="1:8" hidden="1" x14ac:dyDescent="0.3">
      <c r="A4022" s="23" t="s">
        <v>252</v>
      </c>
      <c r="B4022" s="23" t="s">
        <v>185</v>
      </c>
      <c r="C4022" s="22">
        <v>2</v>
      </c>
      <c r="D4022" s="25">
        <v>201067</v>
      </c>
      <c r="E4022" s="25">
        <v>145151</v>
      </c>
      <c r="F4022" s="25">
        <v>-55916</v>
      </c>
      <c r="G4022" s="26">
        <v>0.72190364405894558</v>
      </c>
      <c r="H4022" s="10">
        <v>2026</v>
      </c>
    </row>
    <row r="4023" spans="1:8" hidden="1" x14ac:dyDescent="0.3">
      <c r="A4023" s="23" t="s">
        <v>252</v>
      </c>
      <c r="B4023" s="24" t="s">
        <v>185</v>
      </c>
      <c r="C4023" s="22">
        <v>3</v>
      </c>
      <c r="D4023" s="25">
        <v>210342</v>
      </c>
      <c r="E4023" s="25">
        <v>162018</v>
      </c>
      <c r="F4023" s="25">
        <v>-48324</v>
      </c>
      <c r="G4023" s="26">
        <v>0.77025986250962719</v>
      </c>
      <c r="H4023" s="10">
        <v>2026</v>
      </c>
    </row>
    <row r="4024" spans="1:8" hidden="1" x14ac:dyDescent="0.3">
      <c r="A4024" s="23" t="s">
        <v>252</v>
      </c>
      <c r="B4024" s="24" t="s">
        <v>185</v>
      </c>
      <c r="C4024" s="22">
        <v>4</v>
      </c>
      <c r="D4024" s="25">
        <v>205458</v>
      </c>
      <c r="E4024" s="25">
        <v>213916</v>
      </c>
      <c r="F4024" s="25">
        <v>8458</v>
      </c>
      <c r="G4024" s="26">
        <v>1.0411665644559958</v>
      </c>
      <c r="H4024" s="10">
        <v>2026</v>
      </c>
    </row>
    <row r="4025" spans="1:8" hidden="1" x14ac:dyDescent="0.3">
      <c r="A4025" s="24" t="s">
        <v>7</v>
      </c>
      <c r="B4025" s="24" t="s">
        <v>207</v>
      </c>
      <c r="C4025" s="22">
        <v>1</v>
      </c>
      <c r="D4025" s="25">
        <v>0</v>
      </c>
      <c r="E4025" s="25">
        <v>0</v>
      </c>
      <c r="F4025" s="25">
        <v>0</v>
      </c>
      <c r="G4025" s="26">
        <v>0</v>
      </c>
      <c r="H4025" s="10">
        <v>2026</v>
      </c>
    </row>
    <row r="4026" spans="1:8" hidden="1" x14ac:dyDescent="0.3">
      <c r="A4026" s="23" t="s">
        <v>7</v>
      </c>
      <c r="B4026" s="23" t="s">
        <v>207</v>
      </c>
      <c r="C4026" s="22">
        <v>2</v>
      </c>
      <c r="D4026" s="25">
        <v>750000</v>
      </c>
      <c r="E4026" s="25">
        <v>750000</v>
      </c>
      <c r="F4026" s="25">
        <v>0</v>
      </c>
      <c r="G4026" s="26">
        <v>1</v>
      </c>
      <c r="H4026" s="10">
        <v>2026</v>
      </c>
    </row>
    <row r="4027" spans="1:8" hidden="1" x14ac:dyDescent="0.3">
      <c r="A4027" s="24" t="s">
        <v>7</v>
      </c>
      <c r="B4027" s="24" t="s">
        <v>207</v>
      </c>
      <c r="C4027" s="22">
        <v>3</v>
      </c>
      <c r="D4027" s="25">
        <v>0</v>
      </c>
      <c r="E4027" s="25">
        <v>0</v>
      </c>
      <c r="F4027" s="25">
        <v>0</v>
      </c>
      <c r="G4027" s="26">
        <v>0</v>
      </c>
      <c r="H4027" s="10">
        <v>2026</v>
      </c>
    </row>
    <row r="4028" spans="1:8" hidden="1" x14ac:dyDescent="0.3">
      <c r="A4028" s="24" t="s">
        <v>7</v>
      </c>
      <c r="B4028" s="24" t="s">
        <v>207</v>
      </c>
      <c r="C4028" s="22">
        <v>4</v>
      </c>
      <c r="D4028" s="25">
        <v>0</v>
      </c>
      <c r="E4028" s="25">
        <v>0</v>
      </c>
      <c r="F4028" s="25">
        <v>0</v>
      </c>
      <c r="G4028" s="26">
        <v>0</v>
      </c>
      <c r="H4028" s="10">
        <v>2026</v>
      </c>
    </row>
    <row r="4029" spans="1:8" hidden="1" x14ac:dyDescent="0.3">
      <c r="A4029" s="23" t="s">
        <v>7</v>
      </c>
      <c r="B4029" s="23" t="s">
        <v>186</v>
      </c>
      <c r="C4029" s="22">
        <v>1</v>
      </c>
      <c r="D4029" s="25">
        <v>6681472</v>
      </c>
      <c r="E4029" s="25">
        <v>6138439</v>
      </c>
      <c r="F4029" s="25">
        <v>-543033</v>
      </c>
      <c r="G4029" s="26">
        <v>0.91872554431119369</v>
      </c>
      <c r="H4029" s="10">
        <v>2026</v>
      </c>
    </row>
    <row r="4030" spans="1:8" hidden="1" x14ac:dyDescent="0.3">
      <c r="A4030" s="24" t="s">
        <v>7</v>
      </c>
      <c r="B4030" s="24" t="s">
        <v>186</v>
      </c>
      <c r="C4030" s="22">
        <v>2</v>
      </c>
      <c r="D4030" s="25">
        <v>19447480</v>
      </c>
      <c r="E4030" s="25">
        <v>19447480</v>
      </c>
      <c r="F4030" s="25">
        <v>0</v>
      </c>
      <c r="G4030" s="26">
        <v>1</v>
      </c>
      <c r="H4030" s="10">
        <v>2026</v>
      </c>
    </row>
    <row r="4031" spans="1:8" hidden="1" x14ac:dyDescent="0.3">
      <c r="A4031" s="24" t="s">
        <v>7</v>
      </c>
      <c r="B4031" s="24" t="s">
        <v>186</v>
      </c>
      <c r="C4031" s="22">
        <v>3</v>
      </c>
      <c r="D4031" s="25">
        <v>7881491</v>
      </c>
      <c r="E4031" s="25">
        <v>7881492</v>
      </c>
      <c r="F4031" s="25">
        <v>1</v>
      </c>
      <c r="G4031" s="26">
        <v>1.000000126879546</v>
      </c>
      <c r="H4031" s="10">
        <v>2026</v>
      </c>
    </row>
    <row r="4032" spans="1:8" hidden="1" x14ac:dyDescent="0.3">
      <c r="A4032" s="23" t="s">
        <v>7</v>
      </c>
      <c r="B4032" s="23" t="s">
        <v>186</v>
      </c>
      <c r="C4032" s="22">
        <v>4</v>
      </c>
      <c r="D4032" s="25">
        <v>7943431</v>
      </c>
      <c r="E4032" s="25">
        <v>7943431</v>
      </c>
      <c r="F4032" s="25">
        <v>0</v>
      </c>
      <c r="G4032" s="26">
        <v>1</v>
      </c>
      <c r="H4032" s="10">
        <v>2026</v>
      </c>
    </row>
    <row r="4033" spans="1:8" hidden="1" x14ac:dyDescent="0.3">
      <c r="A4033" s="24" t="s">
        <v>56</v>
      </c>
      <c r="B4033" s="24" t="s">
        <v>186</v>
      </c>
      <c r="C4033" s="22">
        <v>1</v>
      </c>
      <c r="D4033" s="25">
        <v>11283131</v>
      </c>
      <c r="E4033" s="25">
        <v>11163720</v>
      </c>
      <c r="F4033" s="25">
        <v>-119411</v>
      </c>
      <c r="G4033" s="26">
        <v>0.98941685601275042</v>
      </c>
      <c r="H4033" s="10">
        <v>2026</v>
      </c>
    </row>
    <row r="4034" spans="1:8" hidden="1" x14ac:dyDescent="0.3">
      <c r="A4034" s="24" t="s">
        <v>56</v>
      </c>
      <c r="B4034" s="24" t="s">
        <v>186</v>
      </c>
      <c r="C4034" s="22">
        <v>2</v>
      </c>
      <c r="D4034" s="25">
        <v>40485000</v>
      </c>
      <c r="E4034" s="25">
        <v>40485000</v>
      </c>
      <c r="F4034" s="25">
        <v>0</v>
      </c>
      <c r="G4034" s="26">
        <v>1</v>
      </c>
      <c r="H4034" s="10">
        <v>2026</v>
      </c>
    </row>
    <row r="4035" spans="1:8" hidden="1" x14ac:dyDescent="0.3">
      <c r="A4035" s="21" t="s">
        <v>56</v>
      </c>
      <c r="B4035" s="21" t="s">
        <v>186</v>
      </c>
      <c r="C4035" s="22">
        <v>3</v>
      </c>
      <c r="D4035" s="25">
        <v>16474515</v>
      </c>
      <c r="E4035" s="25">
        <v>16129424</v>
      </c>
      <c r="F4035" s="25">
        <v>-345091</v>
      </c>
      <c r="G4035" s="26">
        <v>0.97905304040816987</v>
      </c>
      <c r="H4035" s="10">
        <v>2026</v>
      </c>
    </row>
    <row r="4036" spans="1:8" hidden="1" x14ac:dyDescent="0.3">
      <c r="A4036" s="23" t="s">
        <v>56</v>
      </c>
      <c r="B4036" s="23" t="s">
        <v>186</v>
      </c>
      <c r="C4036" s="22">
        <v>4</v>
      </c>
      <c r="D4036" s="25">
        <v>13878823</v>
      </c>
      <c r="E4036" s="25">
        <v>13911941</v>
      </c>
      <c r="F4036" s="25">
        <v>33118</v>
      </c>
      <c r="G4036" s="26">
        <v>1.0023862254025431</v>
      </c>
      <c r="H4036" s="10">
        <v>2026</v>
      </c>
    </row>
    <row r="4037" spans="1:8" hidden="1" x14ac:dyDescent="0.3">
      <c r="A4037" s="23" t="s">
        <v>252</v>
      </c>
      <c r="B4037" s="24" t="s">
        <v>186</v>
      </c>
      <c r="C4037" s="22">
        <v>1</v>
      </c>
      <c r="D4037" s="25">
        <v>2154535</v>
      </c>
      <c r="E4037" s="25">
        <v>1225388</v>
      </c>
      <c r="F4037" s="25">
        <v>-929147</v>
      </c>
      <c r="G4037" s="26">
        <v>0.56874824498093557</v>
      </c>
      <c r="H4037" s="10">
        <v>2026</v>
      </c>
    </row>
    <row r="4038" spans="1:8" hidden="1" x14ac:dyDescent="0.3">
      <c r="A4038" s="23" t="s">
        <v>252</v>
      </c>
      <c r="B4038" s="24" t="s">
        <v>186</v>
      </c>
      <c r="C4038" s="22">
        <v>2</v>
      </c>
      <c r="D4038" s="25">
        <v>5271500</v>
      </c>
      <c r="E4038" s="25">
        <v>5271500</v>
      </c>
      <c r="F4038" s="25">
        <v>0</v>
      </c>
      <c r="G4038" s="26">
        <v>1</v>
      </c>
      <c r="H4038" s="10">
        <v>2026</v>
      </c>
    </row>
    <row r="4039" spans="1:8" hidden="1" x14ac:dyDescent="0.3">
      <c r="A4039" s="23" t="s">
        <v>252</v>
      </c>
      <c r="B4039" s="24" t="s">
        <v>186</v>
      </c>
      <c r="C4039" s="22">
        <v>3</v>
      </c>
      <c r="D4039" s="25">
        <v>2079037</v>
      </c>
      <c r="E4039" s="25">
        <v>1601391</v>
      </c>
      <c r="F4039" s="25">
        <v>-477646</v>
      </c>
      <c r="G4039" s="26">
        <v>0.77025613300773388</v>
      </c>
      <c r="H4039" s="10">
        <v>2026</v>
      </c>
    </row>
    <row r="4040" spans="1:8" hidden="1" x14ac:dyDescent="0.3">
      <c r="A4040" s="23" t="s">
        <v>252</v>
      </c>
      <c r="B4040" s="23" t="s">
        <v>186</v>
      </c>
      <c r="C4040" s="22">
        <v>4</v>
      </c>
      <c r="D4040" s="25">
        <v>2030765</v>
      </c>
      <c r="E4040" s="25">
        <v>2114355</v>
      </c>
      <c r="F4040" s="25">
        <v>83590</v>
      </c>
      <c r="G4040" s="26">
        <v>1.0411618281780513</v>
      </c>
      <c r="H4040" s="10">
        <v>2026</v>
      </c>
    </row>
    <row r="4041" spans="1:8" hidden="1" x14ac:dyDescent="0.3">
      <c r="A4041" s="24" t="s">
        <v>7</v>
      </c>
      <c r="B4041" s="24" t="s">
        <v>187</v>
      </c>
      <c r="C4041" s="22">
        <v>1</v>
      </c>
      <c r="D4041" s="25">
        <v>1854999</v>
      </c>
      <c r="E4041" s="25">
        <v>1876634</v>
      </c>
      <c r="F4041" s="25">
        <v>21635</v>
      </c>
      <c r="G4041" s="26">
        <v>1.0116630790636545</v>
      </c>
      <c r="H4041" s="10">
        <v>2026</v>
      </c>
    </row>
    <row r="4042" spans="1:8" hidden="1" x14ac:dyDescent="0.3">
      <c r="A4042" s="24" t="s">
        <v>7</v>
      </c>
      <c r="B4042" s="24" t="s">
        <v>187</v>
      </c>
      <c r="C4042" s="22">
        <v>2</v>
      </c>
      <c r="D4042" s="25">
        <v>1854999</v>
      </c>
      <c r="E4042" s="25">
        <v>1845555</v>
      </c>
      <c r="F4042" s="25">
        <v>-9444</v>
      </c>
      <c r="G4042" s="26">
        <v>0.99490889213417366</v>
      </c>
      <c r="H4042" s="10">
        <v>2026</v>
      </c>
    </row>
    <row r="4043" spans="1:8" hidden="1" x14ac:dyDescent="0.3">
      <c r="A4043" s="24" t="s">
        <v>7</v>
      </c>
      <c r="B4043" s="24" t="s">
        <v>187</v>
      </c>
      <c r="C4043" s="22">
        <v>3</v>
      </c>
      <c r="D4043" s="25">
        <v>2409517</v>
      </c>
      <c r="E4043" s="25">
        <v>2409518</v>
      </c>
      <c r="F4043" s="25">
        <v>1</v>
      </c>
      <c r="G4043" s="26">
        <v>1.0000004150209358</v>
      </c>
      <c r="H4043" s="10">
        <v>2026</v>
      </c>
    </row>
    <row r="4044" spans="1:8" hidden="1" x14ac:dyDescent="0.3">
      <c r="A4044" s="23" t="s">
        <v>7</v>
      </c>
      <c r="B4044" s="23" t="s">
        <v>187</v>
      </c>
      <c r="C4044" s="22">
        <v>4</v>
      </c>
      <c r="D4044" s="25">
        <v>2428453</v>
      </c>
      <c r="E4044" s="25">
        <v>2428453</v>
      </c>
      <c r="F4044" s="25">
        <v>0</v>
      </c>
      <c r="G4044" s="26">
        <v>1</v>
      </c>
      <c r="H4044" s="10">
        <v>2026</v>
      </c>
    </row>
    <row r="4045" spans="1:8" hidden="1" x14ac:dyDescent="0.3">
      <c r="A4045" s="24" t="s">
        <v>56</v>
      </c>
      <c r="B4045" s="24" t="s">
        <v>187</v>
      </c>
      <c r="C4045" s="22">
        <v>1</v>
      </c>
      <c r="D4045" s="25">
        <v>3449461</v>
      </c>
      <c r="E4045" s="25">
        <v>3412955</v>
      </c>
      <c r="F4045" s="25">
        <v>-36506</v>
      </c>
      <c r="G4045" s="26">
        <v>0.98941689730656479</v>
      </c>
      <c r="H4045" s="10">
        <v>2026</v>
      </c>
    </row>
    <row r="4046" spans="1:8" hidden="1" x14ac:dyDescent="0.3">
      <c r="A4046" s="24" t="s">
        <v>56</v>
      </c>
      <c r="B4046" s="24" t="s">
        <v>187</v>
      </c>
      <c r="C4046" s="22">
        <v>2</v>
      </c>
      <c r="D4046" s="25">
        <v>3449461</v>
      </c>
      <c r="E4046" s="25">
        <v>3449462</v>
      </c>
      <c r="F4046" s="25">
        <v>1</v>
      </c>
      <c r="G4046" s="26">
        <v>1.0000002899003642</v>
      </c>
      <c r="H4046" s="10">
        <v>2026</v>
      </c>
    </row>
    <row r="4047" spans="1:8" hidden="1" x14ac:dyDescent="0.3">
      <c r="A4047" s="24" t="s">
        <v>56</v>
      </c>
      <c r="B4047" s="24" t="s">
        <v>187</v>
      </c>
      <c r="C4047" s="22">
        <v>3</v>
      </c>
      <c r="D4047" s="25">
        <v>5036563</v>
      </c>
      <c r="E4047" s="25">
        <v>4931063</v>
      </c>
      <c r="F4047" s="25">
        <v>-105500</v>
      </c>
      <c r="G4047" s="26">
        <v>0.97905317574703232</v>
      </c>
      <c r="H4047" s="10">
        <v>2026</v>
      </c>
    </row>
    <row r="4048" spans="1:8" hidden="1" x14ac:dyDescent="0.3">
      <c r="A4048" s="23" t="s">
        <v>56</v>
      </c>
      <c r="B4048" s="23" t="s">
        <v>187</v>
      </c>
      <c r="C4048" s="22">
        <v>4</v>
      </c>
      <c r="D4048" s="25">
        <v>4243012</v>
      </c>
      <c r="E4048" s="25">
        <v>4253137</v>
      </c>
      <c r="F4048" s="25">
        <v>10125</v>
      </c>
      <c r="G4048" s="26">
        <v>1.0023862765412872</v>
      </c>
      <c r="H4048" s="10">
        <v>2026</v>
      </c>
    </row>
    <row r="4049" spans="1:8" hidden="1" x14ac:dyDescent="0.3">
      <c r="A4049" s="23" t="s">
        <v>252</v>
      </c>
      <c r="B4049" s="24" t="s">
        <v>187</v>
      </c>
      <c r="C4049" s="22">
        <v>1</v>
      </c>
      <c r="D4049" s="25">
        <v>658681</v>
      </c>
      <c r="E4049" s="25">
        <v>374624</v>
      </c>
      <c r="F4049" s="25">
        <v>-284057</v>
      </c>
      <c r="G4049" s="26">
        <v>0.5687487569855515</v>
      </c>
      <c r="H4049" s="10">
        <v>2026</v>
      </c>
    </row>
    <row r="4050" spans="1:8" hidden="1" x14ac:dyDescent="0.3">
      <c r="A4050" s="23" t="s">
        <v>252</v>
      </c>
      <c r="B4050" s="21" t="s">
        <v>187</v>
      </c>
      <c r="C4050" s="22">
        <v>2</v>
      </c>
      <c r="D4050" s="25">
        <v>607572</v>
      </c>
      <c r="E4050" s="25">
        <v>438609</v>
      </c>
      <c r="F4050" s="25">
        <v>-168963</v>
      </c>
      <c r="G4050" s="26">
        <v>0.72190456439730599</v>
      </c>
      <c r="H4050" s="10">
        <v>2026</v>
      </c>
    </row>
    <row r="4051" spans="1:8" hidden="1" x14ac:dyDescent="0.3">
      <c r="A4051" s="23" t="s">
        <v>252</v>
      </c>
      <c r="B4051" s="23" t="s">
        <v>187</v>
      </c>
      <c r="C4051" s="22">
        <v>3</v>
      </c>
      <c r="D4051" s="25">
        <v>635600</v>
      </c>
      <c r="E4051" s="25">
        <v>489574</v>
      </c>
      <c r="F4051" s="25">
        <v>-146026</v>
      </c>
      <c r="G4051" s="26">
        <v>0.77025487728130904</v>
      </c>
      <c r="H4051" s="10">
        <v>2026</v>
      </c>
    </row>
    <row r="4052" spans="1:8" hidden="1" x14ac:dyDescent="0.3">
      <c r="A4052" s="23" t="s">
        <v>252</v>
      </c>
      <c r="B4052" s="24" t="s">
        <v>187</v>
      </c>
      <c r="C4052" s="22">
        <v>4</v>
      </c>
      <c r="D4052" s="25">
        <v>620842</v>
      </c>
      <c r="E4052" s="25">
        <v>646397</v>
      </c>
      <c r="F4052" s="25">
        <v>25555</v>
      </c>
      <c r="G4052" s="26">
        <v>1.0411618414991255</v>
      </c>
      <c r="H4052" s="10">
        <v>2026</v>
      </c>
    </row>
    <row r="4053" spans="1:8" hidden="1" x14ac:dyDescent="0.3">
      <c r="A4053" s="24" t="s">
        <v>7</v>
      </c>
      <c r="B4053" s="24" t="s">
        <v>188</v>
      </c>
      <c r="C4053" s="22">
        <v>1</v>
      </c>
      <c r="D4053" s="25">
        <v>0</v>
      </c>
      <c r="E4053" s="25">
        <v>0</v>
      </c>
      <c r="F4053" s="25">
        <v>0</v>
      </c>
      <c r="G4053" s="26">
        <v>0</v>
      </c>
      <c r="H4053" s="10">
        <v>2026</v>
      </c>
    </row>
    <row r="4054" spans="1:8" hidden="1" x14ac:dyDescent="0.3">
      <c r="A4054" s="24" t="s">
        <v>7</v>
      </c>
      <c r="B4054" s="24" t="s">
        <v>188</v>
      </c>
      <c r="C4054" s="22">
        <v>2</v>
      </c>
      <c r="D4054" s="25">
        <v>0</v>
      </c>
      <c r="E4054" s="25">
        <v>0</v>
      </c>
      <c r="F4054" s="25">
        <v>0</v>
      </c>
      <c r="G4054" s="26">
        <v>0</v>
      </c>
      <c r="H4054" s="10">
        <v>2026</v>
      </c>
    </row>
    <row r="4055" spans="1:8" hidden="1" x14ac:dyDescent="0.3">
      <c r="A4055" s="23" t="s">
        <v>7</v>
      </c>
      <c r="B4055" s="23" t="s">
        <v>188</v>
      </c>
      <c r="C4055" s="22">
        <v>3</v>
      </c>
      <c r="D4055" s="25">
        <v>1600704</v>
      </c>
      <c r="E4055" s="25">
        <v>368000</v>
      </c>
      <c r="F4055" s="25">
        <v>-1232704</v>
      </c>
      <c r="G4055" s="26">
        <v>0.2298988445084163</v>
      </c>
      <c r="H4055" s="10">
        <v>2026</v>
      </c>
    </row>
    <row r="4056" spans="1:8" hidden="1" x14ac:dyDescent="0.3">
      <c r="A4056" s="24" t="s">
        <v>7</v>
      </c>
      <c r="B4056" s="24" t="s">
        <v>188</v>
      </c>
      <c r="C4056" s="22">
        <v>4</v>
      </c>
      <c r="D4056" s="25">
        <v>0</v>
      </c>
      <c r="E4056" s="25">
        <v>535000</v>
      </c>
      <c r="F4056" s="25">
        <v>535000</v>
      </c>
      <c r="G4056" s="26">
        <v>0</v>
      </c>
      <c r="H4056" s="10">
        <v>2026</v>
      </c>
    </row>
    <row r="4057" spans="1:8" hidden="1" x14ac:dyDescent="0.3">
      <c r="A4057" s="23" t="s">
        <v>252</v>
      </c>
      <c r="B4057" s="24" t="s">
        <v>188</v>
      </c>
      <c r="C4057" s="22">
        <v>1</v>
      </c>
      <c r="D4057" s="25">
        <v>0</v>
      </c>
      <c r="E4057" s="25">
        <v>0</v>
      </c>
      <c r="F4057" s="25">
        <v>0</v>
      </c>
      <c r="G4057" s="26">
        <v>0</v>
      </c>
      <c r="H4057" s="10">
        <v>2026</v>
      </c>
    </row>
    <row r="4058" spans="1:8" hidden="1" x14ac:dyDescent="0.3">
      <c r="A4058" s="23" t="s">
        <v>252</v>
      </c>
      <c r="B4058" s="24" t="s">
        <v>188</v>
      </c>
      <c r="C4058" s="22">
        <v>2</v>
      </c>
      <c r="D4058" s="25">
        <v>0</v>
      </c>
      <c r="E4058" s="25">
        <v>0</v>
      </c>
      <c r="F4058" s="25">
        <v>0</v>
      </c>
      <c r="G4058" s="26">
        <v>0</v>
      </c>
      <c r="H4058" s="10">
        <v>2026</v>
      </c>
    </row>
    <row r="4059" spans="1:8" hidden="1" x14ac:dyDescent="0.3">
      <c r="A4059" s="23" t="s">
        <v>252</v>
      </c>
      <c r="B4059" s="23" t="s">
        <v>188</v>
      </c>
      <c r="C4059" s="22">
        <v>3</v>
      </c>
      <c r="D4059" s="25">
        <v>127440</v>
      </c>
      <c r="E4059" s="25">
        <v>127440</v>
      </c>
      <c r="F4059" s="25">
        <v>0</v>
      </c>
      <c r="G4059" s="26">
        <v>1</v>
      </c>
      <c r="H4059" s="10">
        <v>2026</v>
      </c>
    </row>
    <row r="4060" spans="1:8" hidden="1" x14ac:dyDescent="0.3">
      <c r="A4060" s="23" t="s">
        <v>252</v>
      </c>
      <c r="B4060" s="24" t="s">
        <v>188</v>
      </c>
      <c r="C4060" s="22">
        <v>4</v>
      </c>
      <c r="D4060" s="25">
        <v>686016</v>
      </c>
      <c r="E4060" s="25">
        <v>504000</v>
      </c>
      <c r="F4060" s="25">
        <v>-182016</v>
      </c>
      <c r="G4060" s="26">
        <v>0.73467674223341728</v>
      </c>
      <c r="H4060" s="10">
        <v>2026</v>
      </c>
    </row>
    <row r="4061" spans="1:8" hidden="1" x14ac:dyDescent="0.3">
      <c r="A4061" s="24" t="s">
        <v>7</v>
      </c>
      <c r="B4061" s="24" t="s">
        <v>189</v>
      </c>
      <c r="C4061" s="22">
        <v>1</v>
      </c>
      <c r="D4061" s="25">
        <v>217500</v>
      </c>
      <c r="E4061" s="25">
        <v>0</v>
      </c>
      <c r="F4061" s="25">
        <v>-217500</v>
      </c>
      <c r="G4061" s="26">
        <v>0</v>
      </c>
      <c r="H4061" s="10">
        <v>2026</v>
      </c>
    </row>
    <row r="4062" spans="1:8" hidden="1" x14ac:dyDescent="0.3">
      <c r="A4062" s="24" t="s">
        <v>7</v>
      </c>
      <c r="B4062" s="24" t="s">
        <v>189</v>
      </c>
      <c r="C4062" s="22">
        <v>2</v>
      </c>
      <c r="D4062" s="25">
        <v>217500</v>
      </c>
      <c r="E4062" s="25">
        <v>0</v>
      </c>
      <c r="F4062" s="25">
        <v>-217500</v>
      </c>
      <c r="G4062" s="26">
        <v>0</v>
      </c>
      <c r="H4062" s="10">
        <v>2026</v>
      </c>
    </row>
    <row r="4063" spans="1:8" hidden="1" x14ac:dyDescent="0.3">
      <c r="A4063" s="23" t="s">
        <v>7</v>
      </c>
      <c r="B4063" s="23" t="s">
        <v>189</v>
      </c>
      <c r="C4063" s="22">
        <v>3</v>
      </c>
      <c r="D4063" s="25">
        <v>217500</v>
      </c>
      <c r="E4063" s="25">
        <v>0</v>
      </c>
      <c r="F4063" s="25">
        <v>-217500</v>
      </c>
      <c r="G4063" s="26">
        <v>0</v>
      </c>
      <c r="H4063" s="10">
        <v>2026</v>
      </c>
    </row>
    <row r="4064" spans="1:8" hidden="1" x14ac:dyDescent="0.3">
      <c r="A4064" s="24" t="s">
        <v>7</v>
      </c>
      <c r="B4064" s="24" t="s">
        <v>189</v>
      </c>
      <c r="C4064" s="22">
        <v>4</v>
      </c>
      <c r="D4064" s="25">
        <v>217500</v>
      </c>
      <c r="E4064" s="25">
        <v>0</v>
      </c>
      <c r="F4064" s="25">
        <v>-217500</v>
      </c>
      <c r="G4064" s="26">
        <v>0</v>
      </c>
      <c r="H4064" s="10">
        <v>2026</v>
      </c>
    </row>
    <row r="4065" spans="1:8" hidden="1" x14ac:dyDescent="0.3">
      <c r="A4065" s="23" t="s">
        <v>252</v>
      </c>
      <c r="B4065" s="23" t="s">
        <v>189</v>
      </c>
      <c r="C4065" s="22">
        <v>1</v>
      </c>
      <c r="D4065" s="25">
        <v>217500</v>
      </c>
      <c r="E4065" s="25">
        <v>0</v>
      </c>
      <c r="F4065" s="25">
        <v>-217500</v>
      </c>
      <c r="G4065" s="26">
        <v>0</v>
      </c>
      <c r="H4065" s="10">
        <v>2026</v>
      </c>
    </row>
    <row r="4066" spans="1:8" hidden="1" x14ac:dyDescent="0.3">
      <c r="A4066" s="23" t="s">
        <v>252</v>
      </c>
      <c r="B4066" s="24" t="s">
        <v>189</v>
      </c>
      <c r="C4066" s="22">
        <v>2</v>
      </c>
      <c r="D4066" s="25">
        <v>217500</v>
      </c>
      <c r="E4066" s="25">
        <v>0</v>
      </c>
      <c r="F4066" s="25">
        <v>-217500</v>
      </c>
      <c r="G4066" s="26">
        <v>0</v>
      </c>
      <c r="H4066" s="10">
        <v>2026</v>
      </c>
    </row>
    <row r="4067" spans="1:8" hidden="1" x14ac:dyDescent="0.3">
      <c r="A4067" s="23" t="s">
        <v>252</v>
      </c>
      <c r="B4067" s="24" t="s">
        <v>189</v>
      </c>
      <c r="C4067" s="22">
        <v>3</v>
      </c>
      <c r="D4067" s="25">
        <v>217500</v>
      </c>
      <c r="E4067" s="25">
        <v>19760</v>
      </c>
      <c r="F4067" s="25">
        <v>-197740</v>
      </c>
      <c r="G4067" s="26">
        <v>9.0850574712643684E-2</v>
      </c>
      <c r="H4067" s="10">
        <v>2026</v>
      </c>
    </row>
    <row r="4068" spans="1:8" hidden="1" x14ac:dyDescent="0.3">
      <c r="A4068" s="23" t="s">
        <v>252</v>
      </c>
      <c r="B4068" s="24" t="s">
        <v>189</v>
      </c>
      <c r="C4068" s="22">
        <v>4</v>
      </c>
      <c r="D4068" s="25">
        <v>217500</v>
      </c>
      <c r="E4068" s="25">
        <v>0</v>
      </c>
      <c r="F4068" s="25">
        <v>-217500</v>
      </c>
      <c r="G4068" s="26">
        <v>0</v>
      </c>
      <c r="H4068" s="10">
        <v>2026</v>
      </c>
    </row>
    <row r="4069" spans="1:8" hidden="1" x14ac:dyDescent="0.3">
      <c r="A4069" s="23" t="s">
        <v>7</v>
      </c>
      <c r="B4069" s="23" t="s">
        <v>191</v>
      </c>
      <c r="C4069" s="22">
        <v>1</v>
      </c>
      <c r="D4069" s="25">
        <v>0</v>
      </c>
      <c r="E4069" s="25">
        <v>0</v>
      </c>
      <c r="F4069" s="25">
        <v>0</v>
      </c>
      <c r="G4069" s="26">
        <v>0</v>
      </c>
      <c r="H4069" s="10">
        <v>2026</v>
      </c>
    </row>
    <row r="4070" spans="1:8" hidden="1" x14ac:dyDescent="0.3">
      <c r="A4070" s="24" t="s">
        <v>7</v>
      </c>
      <c r="B4070" s="24" t="s">
        <v>191</v>
      </c>
      <c r="C4070" s="22">
        <v>2</v>
      </c>
      <c r="D4070" s="25">
        <v>3084880</v>
      </c>
      <c r="E4070" s="25">
        <v>3084880</v>
      </c>
      <c r="F4070" s="25">
        <v>0</v>
      </c>
      <c r="G4070" s="26">
        <v>1</v>
      </c>
      <c r="H4070" s="10">
        <v>2026</v>
      </c>
    </row>
    <row r="4071" spans="1:8" hidden="1" x14ac:dyDescent="0.3">
      <c r="A4071" s="24" t="s">
        <v>7</v>
      </c>
      <c r="B4071" s="24" t="s">
        <v>191</v>
      </c>
      <c r="C4071" s="22">
        <v>3</v>
      </c>
      <c r="D4071" s="25">
        <v>0</v>
      </c>
      <c r="E4071" s="25">
        <v>0</v>
      </c>
      <c r="F4071" s="25">
        <v>0</v>
      </c>
      <c r="G4071" s="26">
        <v>0</v>
      </c>
      <c r="H4071" s="10">
        <v>2026</v>
      </c>
    </row>
    <row r="4072" spans="1:8" hidden="1" x14ac:dyDescent="0.3">
      <c r="A4072" s="24" t="s">
        <v>7</v>
      </c>
      <c r="B4072" s="24" t="s">
        <v>191</v>
      </c>
      <c r="C4072" s="22">
        <v>4</v>
      </c>
      <c r="D4072" s="25">
        <v>0</v>
      </c>
      <c r="E4072" s="25">
        <v>0</v>
      </c>
      <c r="F4072" s="25">
        <v>0</v>
      </c>
      <c r="G4072" s="26">
        <v>0</v>
      </c>
      <c r="H4072" s="10">
        <v>2026</v>
      </c>
    </row>
    <row r="4073" spans="1:8" hidden="1" x14ac:dyDescent="0.3">
      <c r="A4073" s="23" t="s">
        <v>252</v>
      </c>
      <c r="B4073" s="23" t="s">
        <v>191</v>
      </c>
      <c r="C4073" s="22">
        <v>1</v>
      </c>
      <c r="D4073" s="25">
        <v>113636</v>
      </c>
      <c r="E4073" s="25">
        <v>0</v>
      </c>
      <c r="F4073" s="25">
        <v>-113636</v>
      </c>
      <c r="G4073" s="26">
        <v>0</v>
      </c>
      <c r="H4073" s="10">
        <v>2026</v>
      </c>
    </row>
    <row r="4074" spans="1:8" hidden="1" x14ac:dyDescent="0.3">
      <c r="A4074" s="23" t="s">
        <v>252</v>
      </c>
      <c r="B4074" s="24" t="s">
        <v>191</v>
      </c>
      <c r="C4074" s="22">
        <v>2</v>
      </c>
      <c r="D4074" s="25">
        <v>113636</v>
      </c>
      <c r="E4074" s="25">
        <v>0</v>
      </c>
      <c r="F4074" s="25">
        <v>-113636</v>
      </c>
      <c r="G4074" s="26">
        <v>0</v>
      </c>
      <c r="H4074" s="10">
        <v>2026</v>
      </c>
    </row>
    <row r="4075" spans="1:8" hidden="1" x14ac:dyDescent="0.3">
      <c r="A4075" s="23" t="s">
        <v>252</v>
      </c>
      <c r="B4075" s="24" t="s">
        <v>191</v>
      </c>
      <c r="C4075" s="22">
        <v>3</v>
      </c>
      <c r="D4075" s="25">
        <v>113636</v>
      </c>
      <c r="E4075" s="25">
        <v>0</v>
      </c>
      <c r="F4075" s="25">
        <v>-113636</v>
      </c>
      <c r="G4075" s="26">
        <v>0</v>
      </c>
      <c r="H4075" s="10">
        <v>2026</v>
      </c>
    </row>
    <row r="4076" spans="1:8" hidden="1" x14ac:dyDescent="0.3">
      <c r="A4076" s="23" t="s">
        <v>252</v>
      </c>
      <c r="B4076" s="24" t="s">
        <v>191</v>
      </c>
      <c r="C4076" s="22">
        <v>4</v>
      </c>
      <c r="D4076" s="25">
        <v>113636</v>
      </c>
      <c r="E4076" s="25">
        <v>0</v>
      </c>
      <c r="F4076" s="25">
        <v>-113636</v>
      </c>
      <c r="G4076" s="26">
        <v>0</v>
      </c>
      <c r="H4076" s="10">
        <v>2026</v>
      </c>
    </row>
    <row r="4077" spans="1:8" hidden="1" x14ac:dyDescent="0.3">
      <c r="A4077" s="23" t="s">
        <v>7</v>
      </c>
      <c r="B4077" s="23" t="s">
        <v>192</v>
      </c>
      <c r="C4077" s="22">
        <v>1</v>
      </c>
      <c r="D4077" s="25">
        <v>956414</v>
      </c>
      <c r="E4077" s="25">
        <v>769800</v>
      </c>
      <c r="F4077" s="25">
        <v>-186614</v>
      </c>
      <c r="G4077" s="26">
        <v>0.80488156802388922</v>
      </c>
      <c r="H4077" s="10">
        <v>2026</v>
      </c>
    </row>
    <row r="4078" spans="1:8" hidden="1" x14ac:dyDescent="0.3">
      <c r="A4078" s="24" t="s">
        <v>7</v>
      </c>
      <c r="B4078" s="24" t="s">
        <v>192</v>
      </c>
      <c r="C4078" s="22">
        <v>2</v>
      </c>
      <c r="D4078" s="25">
        <v>956414</v>
      </c>
      <c r="E4078" s="25">
        <v>950328</v>
      </c>
      <c r="F4078" s="25">
        <v>-6086</v>
      </c>
      <c r="G4078" s="26">
        <v>0.99363664689140896</v>
      </c>
      <c r="H4078" s="10">
        <v>2026</v>
      </c>
    </row>
    <row r="4079" spans="1:8" hidden="1" x14ac:dyDescent="0.3">
      <c r="A4079" s="24" t="s">
        <v>7</v>
      </c>
      <c r="B4079" s="24" t="s">
        <v>192</v>
      </c>
      <c r="C4079" s="22">
        <v>3</v>
      </c>
      <c r="D4079" s="25">
        <v>1242317</v>
      </c>
      <c r="E4079" s="25">
        <v>1139450</v>
      </c>
      <c r="F4079" s="25">
        <v>-102867</v>
      </c>
      <c r="G4079" s="26">
        <v>0.91719746248340805</v>
      </c>
      <c r="H4079" s="10">
        <v>2026</v>
      </c>
    </row>
    <row r="4080" spans="1:8" hidden="1" x14ac:dyDescent="0.3">
      <c r="A4080" s="24" t="s">
        <v>7</v>
      </c>
      <c r="B4080" s="24" t="s">
        <v>192</v>
      </c>
      <c r="C4080" s="22">
        <v>4</v>
      </c>
      <c r="D4080" s="25">
        <v>1252080</v>
      </c>
      <c r="E4080" s="25">
        <v>813550</v>
      </c>
      <c r="F4080" s="25">
        <v>-438530</v>
      </c>
      <c r="G4080" s="26">
        <v>0.64975880135454611</v>
      </c>
      <c r="H4080" s="10">
        <v>2026</v>
      </c>
    </row>
    <row r="4081" spans="1:8" hidden="1" x14ac:dyDescent="0.3">
      <c r="A4081" s="23" t="s">
        <v>56</v>
      </c>
      <c r="B4081" s="23" t="s">
        <v>192</v>
      </c>
      <c r="C4081" s="22">
        <v>1</v>
      </c>
      <c r="D4081" s="25">
        <v>526876</v>
      </c>
      <c r="E4081" s="25">
        <v>750300</v>
      </c>
      <c r="F4081" s="25">
        <v>223424</v>
      </c>
      <c r="G4081" s="26">
        <v>1.424054236670488</v>
      </c>
      <c r="H4081" s="10">
        <v>2026</v>
      </c>
    </row>
    <row r="4082" spans="1:8" hidden="1" x14ac:dyDescent="0.3">
      <c r="A4082" s="24" t="s">
        <v>56</v>
      </c>
      <c r="B4082" s="24" t="s">
        <v>192</v>
      </c>
      <c r="C4082" s="22">
        <v>2</v>
      </c>
      <c r="D4082" s="25">
        <v>526876</v>
      </c>
      <c r="E4082" s="25">
        <v>854900</v>
      </c>
      <c r="F4082" s="25">
        <v>328024</v>
      </c>
      <c r="G4082" s="26">
        <v>1.6225829227370387</v>
      </c>
      <c r="H4082" s="10">
        <v>2026</v>
      </c>
    </row>
    <row r="4083" spans="1:8" hidden="1" x14ac:dyDescent="0.3">
      <c r="A4083" s="23" t="s">
        <v>56</v>
      </c>
      <c r="B4083" s="23" t="s">
        <v>192</v>
      </c>
      <c r="C4083" s="22">
        <v>3</v>
      </c>
      <c r="D4083" s="25">
        <v>769292</v>
      </c>
      <c r="E4083" s="25">
        <v>1253850</v>
      </c>
      <c r="F4083" s="25">
        <v>484558</v>
      </c>
      <c r="G4083" s="26">
        <v>1.6298752619291506</v>
      </c>
      <c r="H4083" s="10">
        <v>2026</v>
      </c>
    </row>
    <row r="4084" spans="1:8" hidden="1" x14ac:dyDescent="0.3">
      <c r="A4084" s="24" t="s">
        <v>56</v>
      </c>
      <c r="B4084" s="24" t="s">
        <v>192</v>
      </c>
      <c r="C4084" s="22">
        <v>4</v>
      </c>
      <c r="D4084" s="25">
        <v>648084</v>
      </c>
      <c r="E4084" s="25">
        <v>535750</v>
      </c>
      <c r="F4084" s="25">
        <v>-112334</v>
      </c>
      <c r="G4084" s="26">
        <v>0.82666753075218646</v>
      </c>
      <c r="H4084" s="10">
        <v>2026</v>
      </c>
    </row>
    <row r="4085" spans="1:8" hidden="1" x14ac:dyDescent="0.3">
      <c r="A4085" s="23" t="s">
        <v>252</v>
      </c>
      <c r="B4085" s="24" t="s">
        <v>192</v>
      </c>
      <c r="C4085" s="22">
        <v>1</v>
      </c>
      <c r="D4085" s="25">
        <v>322864</v>
      </c>
      <c r="E4085" s="25">
        <v>335600</v>
      </c>
      <c r="F4085" s="25">
        <v>12736</v>
      </c>
      <c r="G4085" s="26">
        <v>1.0394469497992964</v>
      </c>
      <c r="H4085" s="10">
        <v>2026</v>
      </c>
    </row>
    <row r="4086" spans="1:8" hidden="1" x14ac:dyDescent="0.3">
      <c r="A4086" s="23" t="s">
        <v>252</v>
      </c>
      <c r="B4086" s="24" t="s">
        <v>192</v>
      </c>
      <c r="C4086" s="22">
        <v>2</v>
      </c>
      <c r="D4086" s="25">
        <v>297812</v>
      </c>
      <c r="E4086" s="25">
        <v>348000</v>
      </c>
      <c r="F4086" s="25">
        <v>50188</v>
      </c>
      <c r="G4086" s="26">
        <v>1.168522423542369</v>
      </c>
      <c r="H4086" s="10">
        <v>2026</v>
      </c>
    </row>
    <row r="4087" spans="1:8" hidden="1" x14ac:dyDescent="0.3">
      <c r="A4087" s="23" t="s">
        <v>252</v>
      </c>
      <c r="B4087" s="23" t="s">
        <v>192</v>
      </c>
      <c r="C4087" s="22">
        <v>3</v>
      </c>
      <c r="D4087" s="25">
        <v>311550</v>
      </c>
      <c r="E4087" s="25">
        <v>371800</v>
      </c>
      <c r="F4087" s="25">
        <v>60250</v>
      </c>
      <c r="G4087" s="26">
        <v>1.1933878992136093</v>
      </c>
      <c r="H4087" s="10">
        <v>2026</v>
      </c>
    </row>
    <row r="4088" spans="1:8" hidden="1" x14ac:dyDescent="0.3">
      <c r="A4088" s="23" t="s">
        <v>252</v>
      </c>
      <c r="B4088" s="24" t="s">
        <v>192</v>
      </c>
      <c r="C4088" s="22">
        <v>4</v>
      </c>
      <c r="D4088" s="25">
        <v>304317</v>
      </c>
      <c r="E4088" s="25">
        <v>367500</v>
      </c>
      <c r="F4088" s="25">
        <v>63183</v>
      </c>
      <c r="G4088" s="26">
        <v>1.2076223148887508</v>
      </c>
      <c r="H4088" s="10">
        <v>2026</v>
      </c>
    </row>
    <row r="4089" spans="1:8" hidden="1" x14ac:dyDescent="0.3">
      <c r="A4089" s="24" t="s">
        <v>7</v>
      </c>
      <c r="B4089" s="24" t="s">
        <v>193</v>
      </c>
      <c r="C4089" s="22">
        <v>1</v>
      </c>
      <c r="D4089" s="25">
        <v>2535611</v>
      </c>
      <c r="E4089" s="25">
        <v>2642550</v>
      </c>
      <c r="F4089" s="25">
        <v>106939</v>
      </c>
      <c r="G4089" s="26">
        <v>1.0421748446429677</v>
      </c>
      <c r="H4089" s="10">
        <v>2026</v>
      </c>
    </row>
    <row r="4090" spans="1:8" hidden="1" x14ac:dyDescent="0.3">
      <c r="A4090" s="24" t="s">
        <v>7</v>
      </c>
      <c r="B4090" s="24" t="s">
        <v>193</v>
      </c>
      <c r="C4090" s="22">
        <v>2</v>
      </c>
      <c r="D4090" s="25">
        <v>2535611</v>
      </c>
      <c r="E4090" s="25">
        <v>2555300</v>
      </c>
      <c r="F4090" s="25">
        <v>19689</v>
      </c>
      <c r="G4090" s="26">
        <v>1.0077649923430685</v>
      </c>
      <c r="H4090" s="10">
        <v>2026</v>
      </c>
    </row>
    <row r="4091" spans="1:8" hidden="1" x14ac:dyDescent="0.3">
      <c r="A4091" s="23" t="s">
        <v>7</v>
      </c>
      <c r="B4091" s="23" t="s">
        <v>193</v>
      </c>
      <c r="C4091" s="22">
        <v>3</v>
      </c>
      <c r="D4091" s="25">
        <v>3293585</v>
      </c>
      <c r="E4091" s="25">
        <v>3278150</v>
      </c>
      <c r="F4091" s="25">
        <v>-15435</v>
      </c>
      <c r="G4091" s="26">
        <v>0.99531361722864298</v>
      </c>
      <c r="H4091" s="10">
        <v>2026</v>
      </c>
    </row>
    <row r="4092" spans="1:8" hidden="1" x14ac:dyDescent="0.3">
      <c r="A4092" s="24" t="s">
        <v>7</v>
      </c>
      <c r="B4092" s="24" t="s">
        <v>193</v>
      </c>
      <c r="C4092" s="22">
        <v>4</v>
      </c>
      <c r="D4092" s="25">
        <v>3319469</v>
      </c>
      <c r="E4092" s="25">
        <v>3624900</v>
      </c>
      <c r="F4092" s="25">
        <v>305431</v>
      </c>
      <c r="G4092" s="26">
        <v>1.0920120055346203</v>
      </c>
      <c r="H4092" s="10">
        <v>2026</v>
      </c>
    </row>
    <row r="4093" spans="1:8" hidden="1" x14ac:dyDescent="0.3">
      <c r="A4093" s="24" t="s">
        <v>56</v>
      </c>
      <c r="B4093" s="24" t="s">
        <v>193</v>
      </c>
      <c r="C4093" s="22">
        <v>1</v>
      </c>
      <c r="D4093" s="25">
        <v>2068457</v>
      </c>
      <c r="E4093" s="25">
        <v>854050</v>
      </c>
      <c r="F4093" s="25">
        <v>-1214407</v>
      </c>
      <c r="G4093" s="26">
        <v>0.41289231538291588</v>
      </c>
      <c r="H4093" s="10">
        <v>2026</v>
      </c>
    </row>
    <row r="4094" spans="1:8" hidden="1" x14ac:dyDescent="0.3">
      <c r="A4094" s="24" t="s">
        <v>56</v>
      </c>
      <c r="B4094" s="24" t="s">
        <v>193</v>
      </c>
      <c r="C4094" s="22">
        <v>2</v>
      </c>
      <c r="D4094" s="25">
        <v>2068457</v>
      </c>
      <c r="E4094" s="25">
        <v>842000</v>
      </c>
      <c r="F4094" s="25">
        <v>-1226457</v>
      </c>
      <c r="G4094" s="26">
        <v>0.40706671688123081</v>
      </c>
      <c r="H4094" s="10">
        <v>2026</v>
      </c>
    </row>
    <row r="4095" spans="1:8" hidden="1" x14ac:dyDescent="0.3">
      <c r="A4095" s="23" t="s">
        <v>56</v>
      </c>
      <c r="B4095" s="23" t="s">
        <v>193</v>
      </c>
      <c r="C4095" s="22">
        <v>3</v>
      </c>
      <c r="D4095" s="25">
        <v>3020156</v>
      </c>
      <c r="E4095" s="25">
        <v>10117550</v>
      </c>
      <c r="F4095" s="25">
        <v>7097394</v>
      </c>
      <c r="G4095" s="26">
        <v>3.3500090723790423</v>
      </c>
      <c r="H4095" s="10">
        <v>2026</v>
      </c>
    </row>
    <row r="4096" spans="1:8" hidden="1" x14ac:dyDescent="0.3">
      <c r="A4096" s="24" t="s">
        <v>56</v>
      </c>
      <c r="B4096" s="24" t="s">
        <v>193</v>
      </c>
      <c r="C4096" s="22">
        <v>4</v>
      </c>
      <c r="D4096" s="25">
        <v>2544307</v>
      </c>
      <c r="E4096" s="25">
        <v>1062500</v>
      </c>
      <c r="F4096" s="25">
        <v>-1481807</v>
      </c>
      <c r="G4096" s="26">
        <v>0.41759897685302916</v>
      </c>
      <c r="H4096" s="10">
        <v>2026</v>
      </c>
    </row>
    <row r="4097" spans="1:8" hidden="1" x14ac:dyDescent="0.3">
      <c r="A4097" s="23" t="s">
        <v>252</v>
      </c>
      <c r="B4097" s="24" t="s">
        <v>193</v>
      </c>
      <c r="C4097" s="22">
        <v>3</v>
      </c>
      <c r="D4097" s="25">
        <v>0</v>
      </c>
      <c r="E4097" s="25">
        <v>-400</v>
      </c>
      <c r="F4097" s="25">
        <v>-400</v>
      </c>
      <c r="G4097" s="26">
        <v>0</v>
      </c>
      <c r="H4097" s="10">
        <v>2026</v>
      </c>
    </row>
    <row r="4098" spans="1:8" hidden="1" x14ac:dyDescent="0.3">
      <c r="A4098" s="23" t="s">
        <v>252</v>
      </c>
      <c r="B4098" s="24" t="s">
        <v>193</v>
      </c>
      <c r="C4098" s="22">
        <v>4</v>
      </c>
      <c r="D4098" s="25">
        <v>0</v>
      </c>
      <c r="E4098" s="25">
        <v>102200</v>
      </c>
      <c r="F4098" s="25">
        <v>102200</v>
      </c>
      <c r="G4098" s="26">
        <v>0</v>
      </c>
      <c r="H4098" s="10">
        <v>2026</v>
      </c>
    </row>
    <row r="4099" spans="1:8" hidden="1" x14ac:dyDescent="0.3">
      <c r="A4099" s="23" t="s">
        <v>7</v>
      </c>
      <c r="B4099" s="23" t="s">
        <v>194</v>
      </c>
      <c r="C4099" s="22">
        <v>1</v>
      </c>
      <c r="D4099" s="25">
        <v>5338128</v>
      </c>
      <c r="E4099" s="25">
        <v>5450500</v>
      </c>
      <c r="F4099" s="25">
        <v>112372</v>
      </c>
      <c r="G4099" s="26">
        <v>1.0210508253080481</v>
      </c>
      <c r="H4099" s="10">
        <v>2026</v>
      </c>
    </row>
    <row r="4100" spans="1:8" hidden="1" x14ac:dyDescent="0.3">
      <c r="A4100" s="24" t="s">
        <v>7</v>
      </c>
      <c r="B4100" s="24" t="s">
        <v>194</v>
      </c>
      <c r="C4100" s="22">
        <v>2</v>
      </c>
      <c r="D4100" s="25">
        <v>5338128</v>
      </c>
      <c r="E4100" s="25">
        <v>5321137</v>
      </c>
      <c r="F4100" s="25">
        <v>-16991</v>
      </c>
      <c r="G4100" s="26">
        <v>0.9968170489729733</v>
      </c>
      <c r="H4100" s="10">
        <v>2026</v>
      </c>
    </row>
    <row r="4101" spans="1:8" hidden="1" x14ac:dyDescent="0.3">
      <c r="A4101" s="24" t="s">
        <v>7</v>
      </c>
      <c r="B4101" s="24" t="s">
        <v>194</v>
      </c>
      <c r="C4101" s="22">
        <v>3</v>
      </c>
      <c r="D4101" s="25">
        <v>6933863</v>
      </c>
      <c r="E4101" s="25">
        <v>6630500</v>
      </c>
      <c r="F4101" s="25">
        <v>-303363</v>
      </c>
      <c r="G4101" s="26">
        <v>0.95624906347298755</v>
      </c>
      <c r="H4101" s="10">
        <v>2026</v>
      </c>
    </row>
    <row r="4102" spans="1:8" hidden="1" x14ac:dyDescent="0.3">
      <c r="A4102" s="24" t="s">
        <v>7</v>
      </c>
      <c r="B4102" s="24" t="s">
        <v>194</v>
      </c>
      <c r="C4102" s="22">
        <v>4</v>
      </c>
      <c r="D4102" s="25">
        <v>6988356</v>
      </c>
      <c r="E4102" s="25">
        <v>6990300</v>
      </c>
      <c r="F4102" s="25">
        <v>1944</v>
      </c>
      <c r="G4102" s="26">
        <v>1.0002781770133062</v>
      </c>
      <c r="H4102" s="10">
        <v>2026</v>
      </c>
    </row>
    <row r="4103" spans="1:8" hidden="1" x14ac:dyDescent="0.3">
      <c r="A4103" s="23" t="s">
        <v>56</v>
      </c>
      <c r="B4103" s="23" t="s">
        <v>194</v>
      </c>
      <c r="C4103" s="22">
        <v>1</v>
      </c>
      <c r="D4103" s="25">
        <v>8695293</v>
      </c>
      <c r="E4103" s="25">
        <v>6439600</v>
      </c>
      <c r="F4103" s="25">
        <v>-2255693</v>
      </c>
      <c r="G4103" s="26">
        <v>0.74058458984648368</v>
      </c>
      <c r="H4103" s="10">
        <v>2026</v>
      </c>
    </row>
    <row r="4104" spans="1:8" hidden="1" x14ac:dyDescent="0.3">
      <c r="A4104" s="24" t="s">
        <v>56</v>
      </c>
      <c r="B4104" s="24" t="s">
        <v>194</v>
      </c>
      <c r="C4104" s="22">
        <v>2</v>
      </c>
      <c r="D4104" s="25">
        <v>8695293</v>
      </c>
      <c r="E4104" s="25">
        <v>6518600</v>
      </c>
      <c r="F4104" s="25">
        <v>-2176693</v>
      </c>
      <c r="G4104" s="26">
        <v>0.74966996511790918</v>
      </c>
      <c r="H4104" s="10">
        <v>2026</v>
      </c>
    </row>
    <row r="4105" spans="1:8" hidden="1" x14ac:dyDescent="0.3">
      <c r="A4105" s="24" t="s">
        <v>56</v>
      </c>
      <c r="B4105" s="24" t="s">
        <v>194</v>
      </c>
      <c r="C4105" s="22">
        <v>3</v>
      </c>
      <c r="D4105" s="25">
        <v>12696010</v>
      </c>
      <c r="E4105" s="25">
        <v>9501800</v>
      </c>
      <c r="F4105" s="25">
        <v>-3194210</v>
      </c>
      <c r="G4105" s="26">
        <v>0.74840835821647911</v>
      </c>
      <c r="H4105" s="10">
        <v>2026</v>
      </c>
    </row>
    <row r="4106" spans="1:8" hidden="1" x14ac:dyDescent="0.3">
      <c r="A4106" s="23" t="s">
        <v>56</v>
      </c>
      <c r="B4106" s="23" t="s">
        <v>194</v>
      </c>
      <c r="C4106" s="22">
        <v>4</v>
      </c>
      <c r="D4106" s="25">
        <v>10695652</v>
      </c>
      <c r="E4106" s="25">
        <v>7898100</v>
      </c>
      <c r="F4106" s="25">
        <v>-2797552</v>
      </c>
      <c r="G4106" s="26">
        <v>0.73844025590959772</v>
      </c>
      <c r="H4106" s="10">
        <v>2026</v>
      </c>
    </row>
    <row r="4107" spans="1:8" hidden="1" x14ac:dyDescent="0.3">
      <c r="A4107" s="23" t="s">
        <v>252</v>
      </c>
      <c r="B4107" s="24" t="s">
        <v>194</v>
      </c>
      <c r="C4107" s="22">
        <v>1</v>
      </c>
      <c r="D4107" s="25">
        <v>1895485</v>
      </c>
      <c r="E4107" s="25">
        <v>1895800</v>
      </c>
      <c r="F4107" s="25">
        <v>315</v>
      </c>
      <c r="G4107" s="26">
        <v>1.000166184380251</v>
      </c>
      <c r="H4107" s="10">
        <v>2026</v>
      </c>
    </row>
    <row r="4108" spans="1:8" hidden="1" x14ac:dyDescent="0.3">
      <c r="A4108" s="23" t="s">
        <v>252</v>
      </c>
      <c r="B4108" s="23" t="s">
        <v>194</v>
      </c>
      <c r="C4108" s="22">
        <v>2</v>
      </c>
      <c r="D4108" s="25">
        <v>1748409</v>
      </c>
      <c r="E4108" s="25">
        <v>1738700</v>
      </c>
      <c r="F4108" s="25">
        <v>-9709</v>
      </c>
      <c r="G4108" s="26">
        <v>0.9944469514856078</v>
      </c>
      <c r="H4108" s="10">
        <v>2026</v>
      </c>
    </row>
    <row r="4109" spans="1:8" hidden="1" x14ac:dyDescent="0.3">
      <c r="A4109" s="23" t="s">
        <v>252</v>
      </c>
      <c r="B4109" s="24" t="s">
        <v>194</v>
      </c>
      <c r="C4109" s="22">
        <v>3</v>
      </c>
      <c r="D4109" s="25">
        <v>1829065</v>
      </c>
      <c r="E4109" s="25">
        <v>1883800</v>
      </c>
      <c r="F4109" s="25">
        <v>54735</v>
      </c>
      <c r="G4109" s="26">
        <v>1.0299251256789672</v>
      </c>
      <c r="H4109" s="10">
        <v>2026</v>
      </c>
    </row>
    <row r="4110" spans="1:8" hidden="1" x14ac:dyDescent="0.3">
      <c r="A4110" s="23" t="s">
        <v>252</v>
      </c>
      <c r="B4110" s="24" t="s">
        <v>194</v>
      </c>
      <c r="C4110" s="22">
        <v>4</v>
      </c>
      <c r="D4110" s="25">
        <v>1786597</v>
      </c>
      <c r="E4110" s="25">
        <v>1786800</v>
      </c>
      <c r="F4110" s="25">
        <v>203</v>
      </c>
      <c r="G4110" s="26">
        <v>1.0001136238334667</v>
      </c>
      <c r="H4110" s="10">
        <v>2026</v>
      </c>
    </row>
    <row r="4111" spans="1:8" hidden="1" x14ac:dyDescent="0.3">
      <c r="A4111" s="23" t="s">
        <v>7</v>
      </c>
      <c r="B4111" s="23" t="s">
        <v>195</v>
      </c>
      <c r="C4111" s="22">
        <v>1</v>
      </c>
      <c r="D4111" s="25">
        <v>1779376</v>
      </c>
      <c r="E4111" s="25">
        <v>1821400</v>
      </c>
      <c r="F4111" s="25">
        <v>42024</v>
      </c>
      <c r="G4111" s="26">
        <v>1.0236172680759996</v>
      </c>
      <c r="H4111" s="10">
        <v>2026</v>
      </c>
    </row>
    <row r="4112" spans="1:8" hidden="1" x14ac:dyDescent="0.3">
      <c r="A4112" s="24" t="s">
        <v>7</v>
      </c>
      <c r="B4112" s="24" t="s">
        <v>195</v>
      </c>
      <c r="C4112" s="22">
        <v>2</v>
      </c>
      <c r="D4112" s="25">
        <v>1779376</v>
      </c>
      <c r="E4112" s="25">
        <v>1773726</v>
      </c>
      <c r="F4112" s="25">
        <v>-5650</v>
      </c>
      <c r="G4112" s="26">
        <v>0.9968247295681183</v>
      </c>
      <c r="H4112" s="10">
        <v>2026</v>
      </c>
    </row>
    <row r="4113" spans="1:8" hidden="1" x14ac:dyDescent="0.3">
      <c r="A4113" s="24" t="s">
        <v>7</v>
      </c>
      <c r="B4113" s="24" t="s">
        <v>195</v>
      </c>
      <c r="C4113" s="22">
        <v>3</v>
      </c>
      <c r="D4113" s="25">
        <v>2311287</v>
      </c>
      <c r="E4113" s="25">
        <v>2210500</v>
      </c>
      <c r="F4113" s="25">
        <v>-100787</v>
      </c>
      <c r="G4113" s="26">
        <v>0.9563935590863446</v>
      </c>
      <c r="H4113" s="10">
        <v>2026</v>
      </c>
    </row>
    <row r="4114" spans="1:8" hidden="1" x14ac:dyDescent="0.3">
      <c r="A4114" s="24" t="s">
        <v>7</v>
      </c>
      <c r="B4114" s="24" t="s">
        <v>195</v>
      </c>
      <c r="C4114" s="22">
        <v>4</v>
      </c>
      <c r="D4114" s="25">
        <v>2329452</v>
      </c>
      <c r="E4114" s="25">
        <v>2329600</v>
      </c>
      <c r="F4114" s="25">
        <v>148</v>
      </c>
      <c r="G4114" s="26">
        <v>1.0000635342561255</v>
      </c>
      <c r="H4114" s="10">
        <v>2026</v>
      </c>
    </row>
    <row r="4115" spans="1:8" hidden="1" x14ac:dyDescent="0.3">
      <c r="A4115" s="23" t="s">
        <v>56</v>
      </c>
      <c r="B4115" s="23" t="s">
        <v>195</v>
      </c>
      <c r="C4115" s="22">
        <v>1</v>
      </c>
      <c r="D4115" s="25">
        <v>3308836</v>
      </c>
      <c r="E4115" s="25">
        <v>3273900</v>
      </c>
      <c r="F4115" s="25">
        <v>-34936</v>
      </c>
      <c r="G4115" s="26">
        <v>0.98944160423786498</v>
      </c>
      <c r="H4115" s="10">
        <v>2026</v>
      </c>
    </row>
    <row r="4116" spans="1:8" hidden="1" x14ac:dyDescent="0.3">
      <c r="A4116" s="24" t="s">
        <v>56</v>
      </c>
      <c r="B4116" s="24" t="s">
        <v>195</v>
      </c>
      <c r="C4116" s="22">
        <v>2</v>
      </c>
      <c r="D4116" s="25">
        <v>3308836</v>
      </c>
      <c r="E4116" s="25">
        <v>3308900</v>
      </c>
      <c r="F4116" s="25">
        <v>64</v>
      </c>
      <c r="G4116" s="26">
        <v>1.0000193421493238</v>
      </c>
      <c r="H4116" s="10">
        <v>2026</v>
      </c>
    </row>
    <row r="4117" spans="1:8" hidden="1" x14ac:dyDescent="0.3">
      <c r="A4117" s="21" t="s">
        <v>56</v>
      </c>
      <c r="B4117" s="21" t="s">
        <v>195</v>
      </c>
      <c r="C4117" s="22">
        <v>3</v>
      </c>
      <c r="D4117" s="25">
        <v>4831236</v>
      </c>
      <c r="E4117" s="25">
        <v>4831300</v>
      </c>
      <c r="F4117" s="25">
        <v>64</v>
      </c>
      <c r="G4117" s="26">
        <v>1.0000132471276502</v>
      </c>
      <c r="H4117" s="10">
        <v>2026</v>
      </c>
    </row>
    <row r="4118" spans="1:8" hidden="1" x14ac:dyDescent="0.3">
      <c r="A4118" s="23" t="s">
        <v>56</v>
      </c>
      <c r="B4118" s="23" t="s">
        <v>195</v>
      </c>
      <c r="C4118" s="22">
        <v>4</v>
      </c>
      <c r="D4118" s="25">
        <v>4070036</v>
      </c>
      <c r="E4118" s="25">
        <v>4079800</v>
      </c>
      <c r="F4118" s="25">
        <v>9764</v>
      </c>
      <c r="G4118" s="26">
        <v>1.0023989959793969</v>
      </c>
      <c r="H4118" s="10">
        <v>2026</v>
      </c>
    </row>
    <row r="4119" spans="1:8" hidden="1" x14ac:dyDescent="0.3">
      <c r="A4119" s="23" t="s">
        <v>252</v>
      </c>
      <c r="B4119" s="24" t="s">
        <v>195</v>
      </c>
      <c r="C4119" s="22">
        <v>1</v>
      </c>
      <c r="D4119" s="25">
        <v>631828</v>
      </c>
      <c r="E4119" s="25">
        <v>627200</v>
      </c>
      <c r="F4119" s="25">
        <v>-4628</v>
      </c>
      <c r="G4119" s="26">
        <v>0.99267522173756151</v>
      </c>
      <c r="H4119" s="10">
        <v>2026</v>
      </c>
    </row>
    <row r="4120" spans="1:8" hidden="1" x14ac:dyDescent="0.3">
      <c r="A4120" s="23" t="s">
        <v>252</v>
      </c>
      <c r="B4120" s="21" t="s">
        <v>195</v>
      </c>
      <c r="C4120" s="22">
        <v>2</v>
      </c>
      <c r="D4120" s="25">
        <v>582803</v>
      </c>
      <c r="E4120" s="25">
        <v>588200</v>
      </c>
      <c r="F4120" s="25">
        <v>5397</v>
      </c>
      <c r="G4120" s="26">
        <v>1.0092604190438279</v>
      </c>
      <c r="H4120" s="10">
        <v>2026</v>
      </c>
    </row>
    <row r="4121" spans="1:8" hidden="1" x14ac:dyDescent="0.3">
      <c r="A4121" s="23" t="s">
        <v>252</v>
      </c>
      <c r="B4121" s="23" t="s">
        <v>195</v>
      </c>
      <c r="C4121" s="22">
        <v>3</v>
      </c>
      <c r="D4121" s="25">
        <v>609688</v>
      </c>
      <c r="E4121" s="25">
        <v>629500</v>
      </c>
      <c r="F4121" s="25">
        <v>19812</v>
      </c>
      <c r="G4121" s="26">
        <v>1.0324953090761178</v>
      </c>
      <c r="H4121" s="10">
        <v>2026</v>
      </c>
    </row>
    <row r="4122" spans="1:8" hidden="1" x14ac:dyDescent="0.3">
      <c r="A4122" s="23" t="s">
        <v>252</v>
      </c>
      <c r="B4122" s="24" t="s">
        <v>195</v>
      </c>
      <c r="C4122" s="22">
        <v>4</v>
      </c>
      <c r="D4122" s="25">
        <v>595532</v>
      </c>
      <c r="E4122" s="25">
        <v>595700</v>
      </c>
      <c r="F4122" s="25">
        <v>168</v>
      </c>
      <c r="G4122" s="26">
        <v>1.0002821007099536</v>
      </c>
      <c r="H4122" s="10">
        <v>2026</v>
      </c>
    </row>
    <row r="4123" spans="1:8" hidden="1" x14ac:dyDescent="0.3">
      <c r="A4123" s="24" t="s">
        <v>7</v>
      </c>
      <c r="B4123" s="24" t="s">
        <v>196</v>
      </c>
      <c r="C4123" s="22">
        <v>1</v>
      </c>
      <c r="D4123" s="25">
        <v>889688</v>
      </c>
      <c r="E4123" s="25">
        <v>927300</v>
      </c>
      <c r="F4123" s="25">
        <v>37612</v>
      </c>
      <c r="G4123" s="26">
        <v>1.0422754943305967</v>
      </c>
      <c r="H4123" s="10">
        <v>2026</v>
      </c>
    </row>
    <row r="4124" spans="1:8" hidden="1" x14ac:dyDescent="0.3">
      <c r="A4124" s="24" t="s">
        <v>7</v>
      </c>
      <c r="B4124" s="24" t="s">
        <v>196</v>
      </c>
      <c r="C4124" s="22">
        <v>2</v>
      </c>
      <c r="D4124" s="25">
        <v>889688</v>
      </c>
      <c r="E4124" s="25">
        <v>903867</v>
      </c>
      <c r="F4124" s="25">
        <v>14179</v>
      </c>
      <c r="G4124" s="26">
        <v>1.0159370475942129</v>
      </c>
      <c r="H4124" s="10">
        <v>2026</v>
      </c>
    </row>
    <row r="4125" spans="1:8" hidden="1" x14ac:dyDescent="0.3">
      <c r="A4125" s="23" t="s">
        <v>7</v>
      </c>
      <c r="B4125" s="23" t="s">
        <v>196</v>
      </c>
      <c r="C4125" s="22">
        <v>3</v>
      </c>
      <c r="D4125" s="25">
        <v>1155643</v>
      </c>
      <c r="E4125" s="25">
        <v>1153000</v>
      </c>
      <c r="F4125" s="25">
        <v>-2643</v>
      </c>
      <c r="G4125" s="26">
        <v>0.99771296152877664</v>
      </c>
      <c r="H4125" s="10">
        <v>2026</v>
      </c>
    </row>
    <row r="4126" spans="1:8" hidden="1" x14ac:dyDescent="0.3">
      <c r="A4126" s="24" t="s">
        <v>7</v>
      </c>
      <c r="B4126" s="24" t="s">
        <v>196</v>
      </c>
      <c r="C4126" s="22">
        <v>4</v>
      </c>
      <c r="D4126" s="25">
        <v>1164726</v>
      </c>
      <c r="E4126" s="25">
        <v>1279500</v>
      </c>
      <c r="F4126" s="25">
        <v>114774</v>
      </c>
      <c r="G4126" s="26">
        <v>1.0985416312506118</v>
      </c>
      <c r="H4126" s="10">
        <v>2026</v>
      </c>
    </row>
    <row r="4127" spans="1:8" hidden="1" x14ac:dyDescent="0.3">
      <c r="A4127" s="24" t="s">
        <v>56</v>
      </c>
      <c r="B4127" s="24" t="s">
        <v>196</v>
      </c>
      <c r="C4127" s="22">
        <v>1</v>
      </c>
      <c r="D4127" s="25">
        <v>704873</v>
      </c>
      <c r="E4127" s="25">
        <v>299100</v>
      </c>
      <c r="F4127" s="25">
        <v>-405773</v>
      </c>
      <c r="G4127" s="26">
        <v>0.42433175905446796</v>
      </c>
      <c r="H4127" s="10">
        <v>2026</v>
      </c>
    </row>
    <row r="4128" spans="1:8" hidden="1" x14ac:dyDescent="0.3">
      <c r="A4128" s="24" t="s">
        <v>56</v>
      </c>
      <c r="B4128" s="24" t="s">
        <v>196</v>
      </c>
      <c r="C4128" s="22">
        <v>2</v>
      </c>
      <c r="D4128" s="25">
        <v>704873</v>
      </c>
      <c r="E4128" s="25">
        <v>299100</v>
      </c>
      <c r="F4128" s="25">
        <v>-405773</v>
      </c>
      <c r="G4128" s="26">
        <v>0.42433175905446796</v>
      </c>
      <c r="H4128" s="10">
        <v>2026</v>
      </c>
    </row>
    <row r="4129" spans="1:8" hidden="1" x14ac:dyDescent="0.3">
      <c r="A4129" s="23" t="s">
        <v>56</v>
      </c>
      <c r="B4129" s="23" t="s">
        <v>196</v>
      </c>
      <c r="C4129" s="22">
        <v>3</v>
      </c>
      <c r="D4129" s="25">
        <v>1029186</v>
      </c>
      <c r="E4129" s="25">
        <v>3570900</v>
      </c>
      <c r="F4129" s="25">
        <v>2541714</v>
      </c>
      <c r="G4129" s="26">
        <v>3.4696352262856278</v>
      </c>
      <c r="H4129" s="10">
        <v>2026</v>
      </c>
    </row>
    <row r="4130" spans="1:8" hidden="1" x14ac:dyDescent="0.3">
      <c r="A4130" s="24" t="s">
        <v>56</v>
      </c>
      <c r="B4130" s="24" t="s">
        <v>196</v>
      </c>
      <c r="C4130" s="22">
        <v>4</v>
      </c>
      <c r="D4130" s="25">
        <v>867030</v>
      </c>
      <c r="E4130" s="25">
        <v>375000</v>
      </c>
      <c r="F4130" s="25">
        <v>-492030</v>
      </c>
      <c r="G4130" s="26">
        <v>0.43251098577903879</v>
      </c>
      <c r="H4130" s="10">
        <v>2026</v>
      </c>
    </row>
    <row r="4131" spans="1:8" hidden="1" x14ac:dyDescent="0.3">
      <c r="A4131" s="24" t="s">
        <v>7</v>
      </c>
      <c r="B4131" s="24" t="s">
        <v>197</v>
      </c>
      <c r="C4131" s="22">
        <v>1</v>
      </c>
      <c r="D4131" s="25">
        <v>600539</v>
      </c>
      <c r="E4131" s="25">
        <v>618400</v>
      </c>
      <c r="F4131" s="25">
        <v>17861</v>
      </c>
      <c r="G4131" s="26">
        <v>1.0297416154487886</v>
      </c>
      <c r="H4131" s="10">
        <v>2026</v>
      </c>
    </row>
    <row r="4132" spans="1:8" hidden="1" x14ac:dyDescent="0.3">
      <c r="A4132" s="24" t="s">
        <v>7</v>
      </c>
      <c r="B4132" s="24" t="s">
        <v>197</v>
      </c>
      <c r="C4132" s="22">
        <v>2</v>
      </c>
      <c r="D4132" s="25">
        <v>600539</v>
      </c>
      <c r="E4132" s="25">
        <v>602640</v>
      </c>
      <c r="F4132" s="25">
        <v>2101</v>
      </c>
      <c r="G4132" s="26">
        <v>1.0034985238260963</v>
      </c>
      <c r="H4132" s="10">
        <v>2026</v>
      </c>
    </row>
    <row r="4133" spans="1:8" hidden="1" x14ac:dyDescent="0.3">
      <c r="A4133" s="23" t="s">
        <v>7</v>
      </c>
      <c r="B4133" s="23" t="s">
        <v>197</v>
      </c>
      <c r="C4133" s="22">
        <v>3</v>
      </c>
      <c r="D4133" s="25">
        <v>780059</v>
      </c>
      <c r="E4133" s="25">
        <v>768800</v>
      </c>
      <c r="F4133" s="25">
        <v>-11259</v>
      </c>
      <c r="G4133" s="26">
        <v>0.98556647638191475</v>
      </c>
      <c r="H4133" s="10">
        <v>2026</v>
      </c>
    </row>
    <row r="4134" spans="1:8" hidden="1" x14ac:dyDescent="0.3">
      <c r="A4134" s="24" t="s">
        <v>7</v>
      </c>
      <c r="B4134" s="24" t="s">
        <v>197</v>
      </c>
      <c r="C4134" s="22">
        <v>4</v>
      </c>
      <c r="D4134" s="25">
        <v>786190</v>
      </c>
      <c r="E4134" s="25">
        <v>850100</v>
      </c>
      <c r="F4134" s="25">
        <v>63910</v>
      </c>
      <c r="G4134" s="26">
        <v>1.0812907821264581</v>
      </c>
      <c r="H4134" s="10">
        <v>2026</v>
      </c>
    </row>
    <row r="4135" spans="1:8" hidden="1" x14ac:dyDescent="0.3">
      <c r="A4135" s="24" t="s">
        <v>56</v>
      </c>
      <c r="B4135" s="24" t="s">
        <v>197</v>
      </c>
      <c r="C4135" s="22">
        <v>1</v>
      </c>
      <c r="D4135" s="25">
        <v>469915</v>
      </c>
      <c r="E4135" s="25">
        <v>199400</v>
      </c>
      <c r="F4135" s="25">
        <v>-270515</v>
      </c>
      <c r="G4135" s="26">
        <v>0.42433206005341395</v>
      </c>
      <c r="H4135" s="10">
        <v>2026</v>
      </c>
    </row>
    <row r="4136" spans="1:8" hidden="1" x14ac:dyDescent="0.3">
      <c r="A4136" s="24" t="s">
        <v>56</v>
      </c>
      <c r="B4136" s="24" t="s">
        <v>197</v>
      </c>
      <c r="C4136" s="22">
        <v>2</v>
      </c>
      <c r="D4136" s="25">
        <v>469915</v>
      </c>
      <c r="E4136" s="25">
        <v>199400</v>
      </c>
      <c r="F4136" s="25">
        <v>-270515</v>
      </c>
      <c r="G4136" s="26">
        <v>0.42433206005341395</v>
      </c>
      <c r="H4136" s="10">
        <v>2026</v>
      </c>
    </row>
    <row r="4137" spans="1:8" hidden="1" x14ac:dyDescent="0.3">
      <c r="A4137" s="23" t="s">
        <v>56</v>
      </c>
      <c r="B4137" s="23" t="s">
        <v>197</v>
      </c>
      <c r="C4137" s="22">
        <v>3</v>
      </c>
      <c r="D4137" s="25">
        <v>686124</v>
      </c>
      <c r="E4137" s="25">
        <v>2380600</v>
      </c>
      <c r="F4137" s="25">
        <v>1694476</v>
      </c>
      <c r="G4137" s="26">
        <v>3.4696352262856278</v>
      </c>
      <c r="H4137" s="10">
        <v>2026</v>
      </c>
    </row>
    <row r="4138" spans="1:8" hidden="1" x14ac:dyDescent="0.3">
      <c r="A4138" s="24" t="s">
        <v>56</v>
      </c>
      <c r="B4138" s="24" t="s">
        <v>197</v>
      </c>
      <c r="C4138" s="22">
        <v>4</v>
      </c>
      <c r="D4138" s="25">
        <v>578020</v>
      </c>
      <c r="E4138" s="25">
        <v>250000</v>
      </c>
      <c r="F4138" s="25">
        <v>-328020</v>
      </c>
      <c r="G4138" s="26">
        <v>0.43251098577903879</v>
      </c>
      <c r="H4138" s="10">
        <v>2026</v>
      </c>
    </row>
    <row r="4139" spans="1:8" hidden="1" x14ac:dyDescent="0.3">
      <c r="A4139" s="23" t="s">
        <v>252</v>
      </c>
      <c r="B4139" s="24" t="s">
        <v>198</v>
      </c>
      <c r="C4139" s="22">
        <v>1</v>
      </c>
      <c r="D4139" s="25">
        <v>40000</v>
      </c>
      <c r="E4139" s="25">
        <v>0</v>
      </c>
      <c r="F4139" s="25">
        <v>-40000</v>
      </c>
      <c r="G4139" s="26">
        <v>0</v>
      </c>
      <c r="H4139" s="10">
        <v>2026</v>
      </c>
    </row>
    <row r="4140" spans="1:8" hidden="1" x14ac:dyDescent="0.3">
      <c r="A4140" s="23" t="s">
        <v>252</v>
      </c>
      <c r="B4140" s="24" t="s">
        <v>198</v>
      </c>
      <c r="C4140" s="22">
        <v>2</v>
      </c>
      <c r="D4140" s="25">
        <v>106993</v>
      </c>
      <c r="E4140" s="25">
        <v>0</v>
      </c>
      <c r="F4140" s="25">
        <v>-106993</v>
      </c>
      <c r="G4140" s="26">
        <v>0</v>
      </c>
      <c r="H4140" s="10">
        <v>2026</v>
      </c>
    </row>
    <row r="4141" spans="1:8" hidden="1" x14ac:dyDescent="0.3">
      <c r="A4141" s="23" t="s">
        <v>252</v>
      </c>
      <c r="B4141" s="23" t="s">
        <v>198</v>
      </c>
      <c r="C4141" s="22">
        <v>3</v>
      </c>
      <c r="D4141" s="25">
        <v>106993</v>
      </c>
      <c r="E4141" s="25">
        <v>0</v>
      </c>
      <c r="F4141" s="25">
        <v>-106993</v>
      </c>
      <c r="G4141" s="26">
        <v>0</v>
      </c>
      <c r="H4141" s="10">
        <v>2026</v>
      </c>
    </row>
    <row r="4142" spans="1:8" hidden="1" x14ac:dyDescent="0.3">
      <c r="A4142" s="23" t="s">
        <v>252</v>
      </c>
      <c r="B4142" s="24" t="s">
        <v>198</v>
      </c>
      <c r="C4142" s="22">
        <v>4</v>
      </c>
      <c r="D4142" s="25">
        <v>106993</v>
      </c>
      <c r="E4142" s="25">
        <v>0</v>
      </c>
      <c r="F4142" s="25">
        <v>-106993</v>
      </c>
      <c r="G4142" s="26">
        <v>0</v>
      </c>
      <c r="H4142" s="10">
        <v>2026</v>
      </c>
    </row>
    <row r="4143" spans="1:8" hidden="1" x14ac:dyDescent="0.3">
      <c r="A4143" s="24" t="s">
        <v>7</v>
      </c>
      <c r="B4143" s="24" t="s">
        <v>199</v>
      </c>
      <c r="C4143" s="22">
        <v>1</v>
      </c>
      <c r="D4143" s="25">
        <v>83000</v>
      </c>
      <c r="E4143" s="25">
        <v>410000</v>
      </c>
      <c r="F4143" s="25">
        <v>327000</v>
      </c>
      <c r="G4143" s="26">
        <v>4.9397590361445785</v>
      </c>
      <c r="H4143" s="10">
        <v>2026</v>
      </c>
    </row>
    <row r="4144" spans="1:8" hidden="1" x14ac:dyDescent="0.3">
      <c r="A4144" s="23" t="s">
        <v>7</v>
      </c>
      <c r="B4144" s="23" t="s">
        <v>199</v>
      </c>
      <c r="C4144" s="22">
        <v>2</v>
      </c>
      <c r="D4144" s="25">
        <v>83000</v>
      </c>
      <c r="E4144" s="25">
        <v>0</v>
      </c>
      <c r="F4144" s="25">
        <v>-83000</v>
      </c>
      <c r="G4144" s="26">
        <v>0</v>
      </c>
      <c r="H4144" s="10">
        <v>2026</v>
      </c>
    </row>
    <row r="4145" spans="1:8" hidden="1" x14ac:dyDescent="0.3">
      <c r="A4145" s="24" t="s">
        <v>7</v>
      </c>
      <c r="B4145" s="24" t="s">
        <v>199</v>
      </c>
      <c r="C4145" s="22">
        <v>3</v>
      </c>
      <c r="D4145" s="25">
        <v>83000</v>
      </c>
      <c r="E4145" s="25">
        <v>0</v>
      </c>
      <c r="F4145" s="25">
        <v>-83000</v>
      </c>
      <c r="G4145" s="26">
        <v>0</v>
      </c>
      <c r="H4145" s="10">
        <v>2026</v>
      </c>
    </row>
    <row r="4146" spans="1:8" hidden="1" x14ac:dyDescent="0.3">
      <c r="A4146" s="24" t="s">
        <v>7</v>
      </c>
      <c r="B4146" s="24" t="s">
        <v>199</v>
      </c>
      <c r="C4146" s="22">
        <v>4</v>
      </c>
      <c r="D4146" s="25">
        <v>83000</v>
      </c>
      <c r="E4146" s="25">
        <v>0</v>
      </c>
      <c r="F4146" s="25">
        <v>-83000</v>
      </c>
      <c r="G4146" s="26">
        <v>0</v>
      </c>
      <c r="H4146" s="10">
        <v>2026</v>
      </c>
    </row>
    <row r="4147" spans="1:8" hidden="1" x14ac:dyDescent="0.3">
      <c r="A4147" s="23" t="s">
        <v>252</v>
      </c>
      <c r="B4147" s="24" t="s">
        <v>199</v>
      </c>
      <c r="C4147" s="22">
        <v>1</v>
      </c>
      <c r="D4147" s="25">
        <v>246000</v>
      </c>
      <c r="E4147" s="25">
        <v>0</v>
      </c>
      <c r="F4147" s="25">
        <v>-246000</v>
      </c>
      <c r="G4147" s="26">
        <v>0</v>
      </c>
      <c r="H4147" s="10">
        <v>2026</v>
      </c>
    </row>
    <row r="4148" spans="1:8" hidden="1" x14ac:dyDescent="0.3">
      <c r="A4148" s="23" t="s">
        <v>252</v>
      </c>
      <c r="B4148" s="23" t="s">
        <v>199</v>
      </c>
      <c r="C4148" s="22">
        <v>2</v>
      </c>
      <c r="D4148" s="25">
        <v>83000</v>
      </c>
      <c r="E4148" s="25">
        <v>0</v>
      </c>
      <c r="F4148" s="25">
        <v>-83000</v>
      </c>
      <c r="G4148" s="26">
        <v>0</v>
      </c>
      <c r="H4148" s="10">
        <v>2026</v>
      </c>
    </row>
    <row r="4149" spans="1:8" hidden="1" x14ac:dyDescent="0.3">
      <c r="A4149" s="23" t="s">
        <v>252</v>
      </c>
      <c r="B4149" s="24" t="s">
        <v>199</v>
      </c>
      <c r="C4149" s="22">
        <v>3</v>
      </c>
      <c r="D4149" s="25">
        <v>83000</v>
      </c>
      <c r="E4149" s="25">
        <v>408700</v>
      </c>
      <c r="F4149" s="25">
        <v>325700</v>
      </c>
      <c r="G4149" s="26">
        <v>4.9240963855421684</v>
      </c>
      <c r="H4149" s="10">
        <v>2026</v>
      </c>
    </row>
    <row r="4150" spans="1:8" hidden="1" x14ac:dyDescent="0.3">
      <c r="A4150" s="23" t="s">
        <v>252</v>
      </c>
      <c r="B4150" s="24" t="s">
        <v>199</v>
      </c>
      <c r="C4150" s="22">
        <v>4</v>
      </c>
      <c r="D4150" s="25">
        <v>83000</v>
      </c>
      <c r="E4150" s="25">
        <v>0</v>
      </c>
      <c r="F4150" s="25">
        <v>-83000</v>
      </c>
      <c r="G4150" s="26">
        <v>0</v>
      </c>
      <c r="H4150" s="10">
        <v>2026</v>
      </c>
    </row>
    <row r="4151" spans="1:8" hidden="1" x14ac:dyDescent="0.3">
      <c r="A4151" s="24" t="s">
        <v>7</v>
      </c>
      <c r="B4151" s="24" t="s">
        <v>200</v>
      </c>
      <c r="C4151" s="22">
        <v>1</v>
      </c>
      <c r="D4151" s="25">
        <v>2907066</v>
      </c>
      <c r="E4151" s="25">
        <v>2953152</v>
      </c>
      <c r="F4151" s="25">
        <v>46086</v>
      </c>
      <c r="G4151" s="26">
        <v>1.0158530972465021</v>
      </c>
      <c r="H4151" s="10">
        <v>2026</v>
      </c>
    </row>
    <row r="4152" spans="1:8" hidden="1" x14ac:dyDescent="0.3">
      <c r="A4152" s="24" t="s">
        <v>7</v>
      </c>
      <c r="B4152" s="24" t="s">
        <v>200</v>
      </c>
      <c r="C4152" s="22">
        <v>2</v>
      </c>
      <c r="D4152" s="25">
        <v>0</v>
      </c>
      <c r="E4152" s="25">
        <v>0</v>
      </c>
      <c r="F4152" s="25">
        <v>0</v>
      </c>
      <c r="G4152" s="26">
        <v>0</v>
      </c>
      <c r="H4152" s="10">
        <v>2026</v>
      </c>
    </row>
    <row r="4153" spans="1:8" hidden="1" x14ac:dyDescent="0.3">
      <c r="A4153" s="23" t="s">
        <v>7</v>
      </c>
      <c r="B4153" s="23" t="s">
        <v>200</v>
      </c>
      <c r="C4153" s="22">
        <v>3</v>
      </c>
      <c r="D4153" s="25">
        <v>0</v>
      </c>
      <c r="E4153" s="25">
        <v>0</v>
      </c>
      <c r="F4153" s="25">
        <v>0</v>
      </c>
      <c r="G4153" s="26">
        <v>0</v>
      </c>
      <c r="H4153" s="10">
        <v>2026</v>
      </c>
    </row>
    <row r="4154" spans="1:8" hidden="1" x14ac:dyDescent="0.3">
      <c r="A4154" s="24" t="s">
        <v>7</v>
      </c>
      <c r="B4154" s="24" t="s">
        <v>200</v>
      </c>
      <c r="C4154" s="22">
        <v>4</v>
      </c>
      <c r="D4154" s="25">
        <v>0</v>
      </c>
      <c r="E4154" s="25">
        <v>0</v>
      </c>
      <c r="F4154" s="25">
        <v>0</v>
      </c>
      <c r="G4154" s="26">
        <v>0</v>
      </c>
      <c r="H4154" s="10">
        <v>2026</v>
      </c>
    </row>
    <row r="4155" spans="1:8" hidden="1" x14ac:dyDescent="0.3">
      <c r="A4155" s="23" t="s">
        <v>252</v>
      </c>
      <c r="B4155" s="24" t="s">
        <v>200</v>
      </c>
      <c r="C4155" s="22">
        <v>1</v>
      </c>
      <c r="D4155" s="25">
        <v>16199394</v>
      </c>
      <c r="E4155" s="25">
        <v>15673913</v>
      </c>
      <c r="F4155" s="25">
        <v>-525481</v>
      </c>
      <c r="G4155" s="26">
        <v>0.96756168780140794</v>
      </c>
      <c r="H4155" s="10">
        <v>2026</v>
      </c>
    </row>
    <row r="4156" spans="1:8" hidden="1" x14ac:dyDescent="0.3">
      <c r="A4156" s="23" t="s">
        <v>252</v>
      </c>
      <c r="B4156" s="24" t="s">
        <v>200</v>
      </c>
      <c r="C4156" s="22">
        <v>2</v>
      </c>
      <c r="D4156" s="25">
        <v>16776856</v>
      </c>
      <c r="E4156" s="25">
        <v>17385506</v>
      </c>
      <c r="F4156" s="25">
        <v>608650</v>
      </c>
      <c r="G4156" s="26">
        <v>1.0362791455085507</v>
      </c>
      <c r="H4156" s="10">
        <v>2026</v>
      </c>
    </row>
    <row r="4157" spans="1:8" hidden="1" x14ac:dyDescent="0.3">
      <c r="A4157" s="23" t="s">
        <v>252</v>
      </c>
      <c r="B4157" s="23" t="s">
        <v>200</v>
      </c>
      <c r="C4157" s="22">
        <v>3</v>
      </c>
      <c r="D4157" s="25">
        <v>21514796</v>
      </c>
      <c r="E4157" s="25">
        <v>23088849</v>
      </c>
      <c r="F4157" s="25">
        <v>1574053</v>
      </c>
      <c r="G4157" s="26">
        <v>1.073161418774317</v>
      </c>
      <c r="H4157" s="10">
        <v>2026</v>
      </c>
    </row>
    <row r="4158" spans="1:8" hidden="1" x14ac:dyDescent="0.3">
      <c r="A4158" s="23" t="s">
        <v>252</v>
      </c>
      <c r="B4158" s="24" t="s">
        <v>200</v>
      </c>
      <c r="C4158" s="22">
        <v>4</v>
      </c>
      <c r="D4158" s="25">
        <v>21068644</v>
      </c>
      <c r="E4158" s="25">
        <v>21347087</v>
      </c>
      <c r="F4158" s="25">
        <v>278443</v>
      </c>
      <c r="G4158" s="26">
        <v>1.0132159905497478</v>
      </c>
      <c r="H4158" s="10">
        <v>2026</v>
      </c>
    </row>
    <row r="4159" spans="1:8" hidden="1" x14ac:dyDescent="0.3">
      <c r="A4159" s="24" t="s">
        <v>7</v>
      </c>
      <c r="B4159" s="24" t="s">
        <v>201</v>
      </c>
      <c r="C4159" s="22">
        <v>1</v>
      </c>
      <c r="D4159" s="25">
        <v>238823</v>
      </c>
      <c r="E4159" s="25">
        <v>238824</v>
      </c>
      <c r="F4159" s="25">
        <v>1</v>
      </c>
      <c r="G4159" s="26">
        <v>1.0000041872014003</v>
      </c>
      <c r="H4159" s="10">
        <v>2026</v>
      </c>
    </row>
    <row r="4160" spans="1:8" hidden="1" x14ac:dyDescent="0.3">
      <c r="A4160" s="24" t="s">
        <v>7</v>
      </c>
      <c r="B4160" s="24" t="s">
        <v>201</v>
      </c>
      <c r="C4160" s="22">
        <v>2</v>
      </c>
      <c r="D4160" s="25">
        <v>0</v>
      </c>
      <c r="E4160" s="25">
        <v>0</v>
      </c>
      <c r="F4160" s="25">
        <v>0</v>
      </c>
      <c r="G4160" s="26">
        <v>0</v>
      </c>
      <c r="H4160" s="10">
        <v>2026</v>
      </c>
    </row>
    <row r="4161" spans="1:8" hidden="1" x14ac:dyDescent="0.3">
      <c r="A4161" s="23" t="s">
        <v>7</v>
      </c>
      <c r="B4161" s="23" t="s">
        <v>201</v>
      </c>
      <c r="C4161" s="22">
        <v>3</v>
      </c>
      <c r="D4161" s="25">
        <v>0</v>
      </c>
      <c r="E4161" s="25">
        <v>0</v>
      </c>
      <c r="F4161" s="25">
        <v>0</v>
      </c>
      <c r="G4161" s="26">
        <v>0</v>
      </c>
      <c r="H4161" s="10">
        <v>2026</v>
      </c>
    </row>
    <row r="4162" spans="1:8" hidden="1" x14ac:dyDescent="0.3">
      <c r="A4162" s="24" t="s">
        <v>7</v>
      </c>
      <c r="B4162" s="24" t="s">
        <v>201</v>
      </c>
      <c r="C4162" s="22">
        <v>4</v>
      </c>
      <c r="D4162" s="25">
        <v>0</v>
      </c>
      <c r="E4162" s="25">
        <v>0</v>
      </c>
      <c r="F4162" s="25">
        <v>0</v>
      </c>
      <c r="G4162" s="26">
        <v>0</v>
      </c>
      <c r="H4162" s="10">
        <v>2026</v>
      </c>
    </row>
    <row r="4163" spans="1:8" hidden="1" x14ac:dyDescent="0.3">
      <c r="A4163" s="23" t="s">
        <v>252</v>
      </c>
      <c r="B4163" s="24" t="s">
        <v>201</v>
      </c>
      <c r="C4163" s="22">
        <v>1</v>
      </c>
      <c r="D4163" s="25">
        <v>1352061</v>
      </c>
      <c r="E4163" s="25">
        <v>1008318</v>
      </c>
      <c r="F4163" s="25">
        <v>-343743</v>
      </c>
      <c r="G4163" s="26">
        <v>0.74576368965601403</v>
      </c>
      <c r="H4163" s="10">
        <v>2026</v>
      </c>
    </row>
    <row r="4164" spans="1:8" hidden="1" x14ac:dyDescent="0.3">
      <c r="A4164" s="23" t="s">
        <v>252</v>
      </c>
      <c r="B4164" s="24" t="s">
        <v>201</v>
      </c>
      <c r="C4164" s="22">
        <v>2</v>
      </c>
      <c r="D4164" s="25">
        <v>4063000</v>
      </c>
      <c r="E4164" s="25">
        <v>4063000</v>
      </c>
      <c r="F4164" s="25">
        <v>0</v>
      </c>
      <c r="G4164" s="26">
        <v>1</v>
      </c>
      <c r="H4164" s="10">
        <v>2026</v>
      </c>
    </row>
    <row r="4165" spans="1:8" hidden="1" x14ac:dyDescent="0.3">
      <c r="A4165" s="23" t="s">
        <v>252</v>
      </c>
      <c r="B4165" s="23" t="s">
        <v>201</v>
      </c>
      <c r="C4165" s="22">
        <v>3</v>
      </c>
      <c r="D4165" s="25">
        <v>1806086</v>
      </c>
      <c r="E4165" s="25">
        <v>1856670</v>
      </c>
      <c r="F4165" s="25">
        <v>50584</v>
      </c>
      <c r="G4165" s="26">
        <v>1.0280075256659982</v>
      </c>
      <c r="H4165" s="10">
        <v>2026</v>
      </c>
    </row>
    <row r="4166" spans="1:8" hidden="1" x14ac:dyDescent="0.3">
      <c r="A4166" s="23" t="s">
        <v>252</v>
      </c>
      <c r="B4166" s="24" t="s">
        <v>201</v>
      </c>
      <c r="C4166" s="22">
        <v>4</v>
      </c>
      <c r="D4166" s="25">
        <v>1765043</v>
      </c>
      <c r="E4166" s="25">
        <v>1765042</v>
      </c>
      <c r="F4166" s="25">
        <v>-1</v>
      </c>
      <c r="G4166" s="26">
        <v>0.99999943344156494</v>
      </c>
      <c r="H4166" s="10">
        <v>2026</v>
      </c>
    </row>
    <row r="4167" spans="1:8" hidden="1" x14ac:dyDescent="0.3">
      <c r="A4167" s="24" t="s">
        <v>7</v>
      </c>
      <c r="B4167" s="24" t="s">
        <v>202</v>
      </c>
      <c r="C4167" s="22">
        <v>1</v>
      </c>
      <c r="D4167" s="25">
        <v>73012</v>
      </c>
      <c r="E4167" s="25">
        <v>73012</v>
      </c>
      <c r="F4167" s="25">
        <v>0</v>
      </c>
      <c r="G4167" s="26">
        <v>1</v>
      </c>
      <c r="H4167" s="10">
        <v>2026</v>
      </c>
    </row>
    <row r="4168" spans="1:8" hidden="1" x14ac:dyDescent="0.3">
      <c r="A4168" s="24" t="s">
        <v>7</v>
      </c>
      <c r="B4168" s="24" t="s">
        <v>202</v>
      </c>
      <c r="C4168" s="22">
        <v>2</v>
      </c>
      <c r="D4168" s="25">
        <v>0</v>
      </c>
      <c r="E4168" s="25">
        <v>0</v>
      </c>
      <c r="F4168" s="25">
        <v>0</v>
      </c>
      <c r="G4168" s="26">
        <v>0</v>
      </c>
      <c r="H4168" s="10">
        <v>2026</v>
      </c>
    </row>
    <row r="4169" spans="1:8" hidden="1" x14ac:dyDescent="0.3">
      <c r="A4169" s="23" t="s">
        <v>7</v>
      </c>
      <c r="B4169" s="23" t="s">
        <v>202</v>
      </c>
      <c r="C4169" s="22">
        <v>3</v>
      </c>
      <c r="D4169" s="25">
        <v>0</v>
      </c>
      <c r="E4169" s="25">
        <v>0</v>
      </c>
      <c r="F4169" s="25">
        <v>0</v>
      </c>
      <c r="G4169" s="26">
        <v>0</v>
      </c>
      <c r="H4169" s="10">
        <v>2026</v>
      </c>
    </row>
    <row r="4170" spans="1:8" hidden="1" x14ac:dyDescent="0.3">
      <c r="A4170" s="24" t="s">
        <v>7</v>
      </c>
      <c r="B4170" s="24" t="s">
        <v>202</v>
      </c>
      <c r="C4170" s="22">
        <v>4</v>
      </c>
      <c r="D4170" s="25">
        <v>0</v>
      </c>
      <c r="E4170" s="25">
        <v>0</v>
      </c>
      <c r="F4170" s="25">
        <v>0</v>
      </c>
      <c r="G4170" s="26">
        <v>0</v>
      </c>
      <c r="H4170" s="10">
        <v>2026</v>
      </c>
    </row>
    <row r="4171" spans="1:8" hidden="1" x14ac:dyDescent="0.3">
      <c r="A4171" s="23" t="s">
        <v>252</v>
      </c>
      <c r="B4171" s="24" t="s">
        <v>202</v>
      </c>
      <c r="C4171" s="22">
        <v>1</v>
      </c>
      <c r="D4171" s="25">
        <v>413350</v>
      </c>
      <c r="E4171" s="25">
        <v>677910</v>
      </c>
      <c r="F4171" s="25">
        <v>264560</v>
      </c>
      <c r="G4171" s="26">
        <v>1.6400387081166083</v>
      </c>
      <c r="H4171" s="10">
        <v>2026</v>
      </c>
    </row>
    <row r="4172" spans="1:8" hidden="1" x14ac:dyDescent="0.3">
      <c r="A4172" s="23" t="s">
        <v>252</v>
      </c>
      <c r="B4172" s="24" t="s">
        <v>202</v>
      </c>
      <c r="C4172" s="22">
        <v>2</v>
      </c>
      <c r="D4172" s="25">
        <v>0</v>
      </c>
      <c r="E4172" s="25">
        <v>0</v>
      </c>
      <c r="F4172" s="25">
        <v>0</v>
      </c>
      <c r="G4172" s="26">
        <v>0</v>
      </c>
      <c r="H4172" s="10">
        <v>2026</v>
      </c>
    </row>
    <row r="4173" spans="1:8" hidden="1" x14ac:dyDescent="0.3">
      <c r="A4173" s="23" t="s">
        <v>252</v>
      </c>
      <c r="B4173" s="23" t="s">
        <v>202</v>
      </c>
      <c r="C4173" s="22">
        <v>3</v>
      </c>
      <c r="D4173" s="25">
        <v>552154</v>
      </c>
      <c r="E4173" s="25">
        <v>567618</v>
      </c>
      <c r="F4173" s="25">
        <v>15464</v>
      </c>
      <c r="G4173" s="26">
        <v>1.0280066792959937</v>
      </c>
      <c r="H4173" s="10">
        <v>2026</v>
      </c>
    </row>
    <row r="4174" spans="1:8" hidden="1" x14ac:dyDescent="0.3">
      <c r="A4174" s="23" t="s">
        <v>252</v>
      </c>
      <c r="B4174" s="24" t="s">
        <v>202</v>
      </c>
      <c r="C4174" s="22">
        <v>4</v>
      </c>
      <c r="D4174" s="25">
        <v>539606</v>
      </c>
      <c r="E4174" s="25">
        <v>539606</v>
      </c>
      <c r="F4174" s="25">
        <v>0</v>
      </c>
      <c r="G4174" s="26">
        <v>1</v>
      </c>
      <c r="H4174" s="10">
        <v>2026</v>
      </c>
    </row>
    <row r="4175" spans="1:8" hidden="1" x14ac:dyDescent="0.3">
      <c r="A4175" s="24" t="s">
        <v>43</v>
      </c>
      <c r="B4175" s="24" t="s">
        <v>177</v>
      </c>
      <c r="C4175" s="22">
        <v>1</v>
      </c>
      <c r="D4175" s="25">
        <v>17279500</v>
      </c>
      <c r="E4175" s="25">
        <v>11843501</v>
      </c>
      <c r="F4175" s="25">
        <v>-5435999</v>
      </c>
      <c r="G4175" s="26">
        <v>0.68540762174831449</v>
      </c>
      <c r="H4175" s="10">
        <v>2026</v>
      </c>
    </row>
    <row r="4176" spans="1:8" hidden="1" x14ac:dyDescent="0.3">
      <c r="A4176" s="23" t="s">
        <v>43</v>
      </c>
      <c r="B4176" s="23" t="s">
        <v>177</v>
      </c>
      <c r="C4176" s="22">
        <v>2</v>
      </c>
      <c r="D4176" s="25">
        <v>17279500</v>
      </c>
      <c r="E4176" s="25">
        <v>17279500</v>
      </c>
      <c r="F4176" s="25">
        <v>0</v>
      </c>
      <c r="G4176" s="26">
        <v>1</v>
      </c>
      <c r="H4176" s="10">
        <v>2026</v>
      </c>
    </row>
    <row r="4177" spans="1:8" hidden="1" x14ac:dyDescent="0.3">
      <c r="A4177" s="24" t="s">
        <v>43</v>
      </c>
      <c r="B4177" s="24" t="s">
        <v>177</v>
      </c>
      <c r="C4177" s="22">
        <v>3</v>
      </c>
      <c r="D4177" s="25">
        <v>19364500</v>
      </c>
      <c r="E4177" s="25">
        <v>19364500</v>
      </c>
      <c r="F4177" s="25">
        <v>0</v>
      </c>
      <c r="G4177" s="26">
        <v>1</v>
      </c>
      <c r="H4177" s="10">
        <v>2026</v>
      </c>
    </row>
    <row r="4178" spans="1:8" hidden="1" x14ac:dyDescent="0.3">
      <c r="A4178" s="24" t="s">
        <v>43</v>
      </c>
      <c r="B4178" s="24" t="s">
        <v>177</v>
      </c>
      <c r="C4178" s="22">
        <v>4</v>
      </c>
      <c r="D4178" s="25">
        <v>18230100</v>
      </c>
      <c r="E4178" s="25">
        <v>18410100</v>
      </c>
      <c r="F4178" s="25">
        <v>180000</v>
      </c>
      <c r="G4178" s="26">
        <v>1.0098737801767408</v>
      </c>
      <c r="H4178" s="10">
        <v>2026</v>
      </c>
    </row>
    <row r="4179" spans="1:8" hidden="1" x14ac:dyDescent="0.3">
      <c r="A4179" s="24" t="s">
        <v>68</v>
      </c>
      <c r="B4179" s="24" t="s">
        <v>177</v>
      </c>
      <c r="C4179" s="22">
        <v>1</v>
      </c>
      <c r="D4179" s="25">
        <v>8745000</v>
      </c>
      <c r="E4179" s="25">
        <v>7941333</v>
      </c>
      <c r="F4179" s="25">
        <v>-803667</v>
      </c>
      <c r="G4179" s="26">
        <v>0.90809982847341342</v>
      </c>
      <c r="H4179" s="10">
        <v>2026</v>
      </c>
    </row>
    <row r="4180" spans="1:8" hidden="1" x14ac:dyDescent="0.3">
      <c r="A4180" s="23" t="s">
        <v>68</v>
      </c>
      <c r="B4180" s="23" t="s">
        <v>177</v>
      </c>
      <c r="C4180" s="22">
        <v>2</v>
      </c>
      <c r="D4180" s="25">
        <v>8745000</v>
      </c>
      <c r="E4180" s="25">
        <v>8405000</v>
      </c>
      <c r="F4180" s="25">
        <v>-340000</v>
      </c>
      <c r="G4180" s="26">
        <v>0.96112064036592337</v>
      </c>
      <c r="H4180" s="10">
        <v>2026</v>
      </c>
    </row>
    <row r="4181" spans="1:8" hidden="1" x14ac:dyDescent="0.3">
      <c r="A4181" s="24" t="s">
        <v>68</v>
      </c>
      <c r="B4181" s="24" t="s">
        <v>177</v>
      </c>
      <c r="C4181" s="22">
        <v>3</v>
      </c>
      <c r="D4181" s="25">
        <v>10615000</v>
      </c>
      <c r="E4181" s="25">
        <v>10132500</v>
      </c>
      <c r="F4181" s="25">
        <v>-482500</v>
      </c>
      <c r="G4181" s="26">
        <v>0.95454545454545459</v>
      </c>
      <c r="H4181" s="10">
        <v>2026</v>
      </c>
    </row>
    <row r="4182" spans="1:8" hidden="1" x14ac:dyDescent="0.3">
      <c r="A4182" s="24" t="s">
        <v>68</v>
      </c>
      <c r="B4182" s="24" t="s">
        <v>177</v>
      </c>
      <c r="C4182" s="22">
        <v>4</v>
      </c>
      <c r="D4182" s="25">
        <v>7780000</v>
      </c>
      <c r="E4182" s="25">
        <v>7520667</v>
      </c>
      <c r="F4182" s="25">
        <v>-259333</v>
      </c>
      <c r="G4182" s="26">
        <v>0.96666670951156819</v>
      </c>
      <c r="H4182" s="10">
        <v>2026</v>
      </c>
    </row>
    <row r="4183" spans="1:8" hidden="1" x14ac:dyDescent="0.3">
      <c r="A4183" s="24" t="s">
        <v>68</v>
      </c>
      <c r="B4183" s="24" t="s">
        <v>178</v>
      </c>
      <c r="C4183" s="22">
        <v>1</v>
      </c>
      <c r="D4183" s="25">
        <v>1750905</v>
      </c>
      <c r="E4183" s="25">
        <v>1575815</v>
      </c>
      <c r="F4183" s="25">
        <v>-175090</v>
      </c>
      <c r="G4183" s="26">
        <v>0.90000028556660705</v>
      </c>
      <c r="H4183" s="10">
        <v>2026</v>
      </c>
    </row>
    <row r="4184" spans="1:8" hidden="1" x14ac:dyDescent="0.3">
      <c r="A4184" s="23" t="s">
        <v>68</v>
      </c>
      <c r="B4184" s="23" t="s">
        <v>178</v>
      </c>
      <c r="C4184" s="22">
        <v>2</v>
      </c>
      <c r="D4184" s="25">
        <v>1750905</v>
      </c>
      <c r="E4184" s="25">
        <v>1750906</v>
      </c>
      <c r="F4184" s="25">
        <v>1</v>
      </c>
      <c r="G4184" s="26">
        <v>1.0000005711332141</v>
      </c>
      <c r="H4184" s="10">
        <v>2026</v>
      </c>
    </row>
    <row r="4185" spans="1:8" hidden="1" x14ac:dyDescent="0.3">
      <c r="A4185" s="24" t="s">
        <v>68</v>
      </c>
      <c r="B4185" s="24" t="s">
        <v>178</v>
      </c>
      <c r="C4185" s="22">
        <v>3</v>
      </c>
      <c r="D4185" s="25">
        <v>1750905</v>
      </c>
      <c r="E4185" s="25">
        <v>1750906</v>
      </c>
      <c r="F4185" s="25">
        <v>1</v>
      </c>
      <c r="G4185" s="26">
        <v>1.0000005711332141</v>
      </c>
      <c r="H4185" s="10">
        <v>2026</v>
      </c>
    </row>
    <row r="4186" spans="1:8" hidden="1" x14ac:dyDescent="0.3">
      <c r="A4186" s="24" t="s">
        <v>68</v>
      </c>
      <c r="B4186" s="24" t="s">
        <v>178</v>
      </c>
      <c r="C4186" s="22">
        <v>4</v>
      </c>
      <c r="D4186" s="25">
        <v>875452</v>
      </c>
      <c r="E4186" s="25">
        <v>817089</v>
      </c>
      <c r="F4186" s="25">
        <v>-58363</v>
      </c>
      <c r="G4186" s="26">
        <v>0.93333386639130422</v>
      </c>
      <c r="H4186" s="10">
        <v>2026</v>
      </c>
    </row>
    <row r="4187" spans="1:8" hidden="1" x14ac:dyDescent="0.3">
      <c r="A4187" s="24" t="s">
        <v>68</v>
      </c>
      <c r="B4187" s="24" t="s">
        <v>205</v>
      </c>
      <c r="C4187" s="22">
        <v>1</v>
      </c>
      <c r="D4187" s="25">
        <v>600450</v>
      </c>
      <c r="E4187" s="25">
        <v>719863</v>
      </c>
      <c r="F4187" s="25">
        <v>119413</v>
      </c>
      <c r="G4187" s="26">
        <v>1.1988725122824548</v>
      </c>
      <c r="H4187" s="10">
        <v>2026</v>
      </c>
    </row>
    <row r="4188" spans="1:8" hidden="1" x14ac:dyDescent="0.3">
      <c r="A4188" s="23" t="s">
        <v>68</v>
      </c>
      <c r="B4188" s="23" t="s">
        <v>205</v>
      </c>
      <c r="C4188" s="22">
        <v>2</v>
      </c>
      <c r="D4188" s="25">
        <v>284330</v>
      </c>
      <c r="E4188" s="25">
        <v>879031</v>
      </c>
      <c r="F4188" s="25">
        <v>594701</v>
      </c>
      <c r="G4188" s="26">
        <v>3.0915872401786655</v>
      </c>
      <c r="H4188" s="10">
        <v>2026</v>
      </c>
    </row>
    <row r="4189" spans="1:8" hidden="1" x14ac:dyDescent="0.3">
      <c r="A4189" s="24" t="s">
        <v>68</v>
      </c>
      <c r="B4189" s="24" t="s">
        <v>205</v>
      </c>
      <c r="C4189" s="22">
        <v>3</v>
      </c>
      <c r="D4189" s="25">
        <v>980515</v>
      </c>
      <c r="E4189" s="25">
        <v>831049</v>
      </c>
      <c r="F4189" s="25">
        <v>-149466</v>
      </c>
      <c r="G4189" s="26">
        <v>0.84756378025833368</v>
      </c>
      <c r="H4189" s="10">
        <v>2026</v>
      </c>
    </row>
    <row r="4190" spans="1:8" hidden="1" x14ac:dyDescent="0.3">
      <c r="A4190" s="24" t="s">
        <v>68</v>
      </c>
      <c r="B4190" s="24" t="s">
        <v>205</v>
      </c>
      <c r="C4190" s="22">
        <v>4</v>
      </c>
      <c r="D4190" s="25">
        <v>408161</v>
      </c>
      <c r="E4190" s="25">
        <v>532003</v>
      </c>
      <c r="F4190" s="25">
        <v>123842</v>
      </c>
      <c r="G4190" s="26">
        <v>1.303414583950941</v>
      </c>
      <c r="H4190" s="10">
        <v>2026</v>
      </c>
    </row>
    <row r="4191" spans="1:8" hidden="1" x14ac:dyDescent="0.3">
      <c r="A4191" s="24" t="s">
        <v>43</v>
      </c>
      <c r="B4191" s="24" t="s">
        <v>209</v>
      </c>
      <c r="C4191" s="22">
        <v>1</v>
      </c>
      <c r="D4191" s="25">
        <v>44185626</v>
      </c>
      <c r="E4191" s="25">
        <v>38816431</v>
      </c>
      <c r="F4191" s="25">
        <v>-5369195</v>
      </c>
      <c r="G4191" s="26">
        <v>0.87848548303921281</v>
      </c>
      <c r="H4191" s="10">
        <v>2026</v>
      </c>
    </row>
    <row r="4192" spans="1:8" hidden="1" x14ac:dyDescent="0.3">
      <c r="A4192" s="23" t="s">
        <v>43</v>
      </c>
      <c r="B4192" s="23" t="s">
        <v>209</v>
      </c>
      <c r="C4192" s="22">
        <v>2</v>
      </c>
      <c r="D4192" s="25">
        <v>39655729</v>
      </c>
      <c r="E4192" s="25">
        <v>28749879</v>
      </c>
      <c r="F4192" s="25">
        <v>-10905850</v>
      </c>
      <c r="G4192" s="26">
        <v>0.72498677303347525</v>
      </c>
      <c r="H4192" s="10">
        <v>2026</v>
      </c>
    </row>
    <row r="4193" spans="1:8" hidden="1" x14ac:dyDescent="0.3">
      <c r="A4193" s="24" t="s">
        <v>43</v>
      </c>
      <c r="B4193" s="24" t="s">
        <v>209</v>
      </c>
      <c r="C4193" s="22">
        <v>3</v>
      </c>
      <c r="D4193" s="25">
        <v>39874615</v>
      </c>
      <c r="E4193" s="25">
        <v>44744993</v>
      </c>
      <c r="F4193" s="25">
        <v>4870378</v>
      </c>
      <c r="G4193" s="26">
        <v>1.122142320370993</v>
      </c>
      <c r="H4193" s="10">
        <v>2026</v>
      </c>
    </row>
    <row r="4194" spans="1:8" hidden="1" x14ac:dyDescent="0.3">
      <c r="A4194" s="24" t="s">
        <v>43</v>
      </c>
      <c r="B4194" s="24" t="s">
        <v>209</v>
      </c>
      <c r="C4194" s="22">
        <v>4</v>
      </c>
      <c r="D4194" s="25">
        <v>49219720</v>
      </c>
      <c r="E4194" s="25">
        <v>40195646</v>
      </c>
      <c r="F4194" s="25">
        <v>-9024074</v>
      </c>
      <c r="G4194" s="26">
        <v>0.81665734790852129</v>
      </c>
      <c r="H4194" s="10">
        <v>2026</v>
      </c>
    </row>
    <row r="4195" spans="1:8" hidden="1" x14ac:dyDescent="0.3">
      <c r="A4195" s="24" t="s">
        <v>43</v>
      </c>
      <c r="B4195" s="24" t="s">
        <v>179</v>
      </c>
      <c r="C4195" s="22">
        <v>1</v>
      </c>
      <c r="D4195" s="25">
        <v>0</v>
      </c>
      <c r="E4195" s="25">
        <v>263445</v>
      </c>
      <c r="F4195" s="25">
        <v>263445</v>
      </c>
      <c r="G4195" s="26">
        <v>0</v>
      </c>
      <c r="H4195" s="10">
        <v>2026</v>
      </c>
    </row>
    <row r="4196" spans="1:8" hidden="1" x14ac:dyDescent="0.3">
      <c r="A4196" s="23" t="s">
        <v>43</v>
      </c>
      <c r="B4196" s="23" t="s">
        <v>179</v>
      </c>
      <c r="C4196" s="22">
        <v>2</v>
      </c>
      <c r="D4196" s="25">
        <v>0</v>
      </c>
      <c r="E4196" s="25">
        <v>0</v>
      </c>
      <c r="F4196" s="25">
        <v>0</v>
      </c>
      <c r="G4196" s="26">
        <v>0</v>
      </c>
      <c r="H4196" s="10">
        <v>2026</v>
      </c>
    </row>
    <row r="4197" spans="1:8" hidden="1" x14ac:dyDescent="0.3">
      <c r="A4197" s="24" t="s">
        <v>43</v>
      </c>
      <c r="B4197" s="24" t="s">
        <v>179</v>
      </c>
      <c r="C4197" s="22">
        <v>3</v>
      </c>
      <c r="D4197" s="25">
        <v>0</v>
      </c>
      <c r="E4197" s="25">
        <v>0</v>
      </c>
      <c r="F4197" s="25">
        <v>0</v>
      </c>
      <c r="G4197" s="26">
        <v>0</v>
      </c>
      <c r="H4197" s="10">
        <v>2026</v>
      </c>
    </row>
    <row r="4198" spans="1:8" hidden="1" x14ac:dyDescent="0.3">
      <c r="A4198" s="24" t="s">
        <v>43</v>
      </c>
      <c r="B4198" s="24" t="s">
        <v>179</v>
      </c>
      <c r="C4198" s="22">
        <v>4</v>
      </c>
      <c r="D4198" s="25">
        <v>0</v>
      </c>
      <c r="E4198" s="25">
        <v>0</v>
      </c>
      <c r="F4198" s="25">
        <v>0</v>
      </c>
      <c r="G4198" s="26">
        <v>0</v>
      </c>
      <c r="H4198" s="10">
        <v>2026</v>
      </c>
    </row>
    <row r="4199" spans="1:8" hidden="1" x14ac:dyDescent="0.3">
      <c r="A4199" s="24" t="s">
        <v>68</v>
      </c>
      <c r="B4199" s="24" t="s">
        <v>179</v>
      </c>
      <c r="C4199" s="22">
        <v>2</v>
      </c>
      <c r="D4199" s="25">
        <v>0</v>
      </c>
      <c r="E4199" s="25">
        <v>116727</v>
      </c>
      <c r="F4199" s="25">
        <v>116727</v>
      </c>
      <c r="G4199" s="26">
        <v>0</v>
      </c>
      <c r="H4199" s="10">
        <v>2026</v>
      </c>
    </row>
    <row r="4200" spans="1:8" hidden="1" x14ac:dyDescent="0.3">
      <c r="A4200" s="23" t="s">
        <v>68</v>
      </c>
      <c r="B4200" s="23" t="s">
        <v>179</v>
      </c>
      <c r="C4200" s="22">
        <v>3</v>
      </c>
      <c r="D4200" s="25">
        <v>0</v>
      </c>
      <c r="E4200" s="25">
        <v>291818</v>
      </c>
      <c r="F4200" s="25">
        <v>291818</v>
      </c>
      <c r="G4200" s="26">
        <v>0</v>
      </c>
      <c r="H4200" s="10">
        <v>2026</v>
      </c>
    </row>
    <row r="4201" spans="1:8" hidden="1" x14ac:dyDescent="0.3">
      <c r="A4201" s="24" t="s">
        <v>68</v>
      </c>
      <c r="B4201" s="24" t="s">
        <v>179</v>
      </c>
      <c r="C4201" s="22">
        <v>4</v>
      </c>
      <c r="D4201" s="25">
        <v>0</v>
      </c>
      <c r="E4201" s="25">
        <v>116727</v>
      </c>
      <c r="F4201" s="25">
        <v>116727</v>
      </c>
      <c r="G4201" s="26">
        <v>0</v>
      </c>
      <c r="H4201" s="10">
        <v>2026</v>
      </c>
    </row>
    <row r="4202" spans="1:8" hidden="1" x14ac:dyDescent="0.3">
      <c r="A4202" s="24" t="s">
        <v>43</v>
      </c>
      <c r="B4202" s="24" t="s">
        <v>206</v>
      </c>
      <c r="C4202" s="22">
        <v>1</v>
      </c>
      <c r="D4202" s="25">
        <v>498190</v>
      </c>
      <c r="E4202" s="25">
        <v>481584</v>
      </c>
      <c r="F4202" s="25">
        <v>-16606</v>
      </c>
      <c r="G4202" s="26">
        <v>0.96666733575543473</v>
      </c>
      <c r="H4202" s="10">
        <v>2026</v>
      </c>
    </row>
    <row r="4203" spans="1:8" hidden="1" x14ac:dyDescent="0.3">
      <c r="A4203" s="24" t="s">
        <v>43</v>
      </c>
      <c r="B4203" s="24" t="s">
        <v>206</v>
      </c>
      <c r="C4203" s="22">
        <v>2</v>
      </c>
      <c r="D4203" s="25">
        <v>498190</v>
      </c>
      <c r="E4203" s="25">
        <v>498190</v>
      </c>
      <c r="F4203" s="25">
        <v>0</v>
      </c>
      <c r="G4203" s="26">
        <v>1</v>
      </c>
      <c r="H4203" s="10">
        <v>2026</v>
      </c>
    </row>
    <row r="4204" spans="1:8" hidden="1" x14ac:dyDescent="0.3">
      <c r="A4204" s="23" t="s">
        <v>43</v>
      </c>
      <c r="B4204" s="23" t="s">
        <v>206</v>
      </c>
      <c r="C4204" s="22">
        <v>3</v>
      </c>
      <c r="D4204" s="25">
        <v>423461</v>
      </c>
      <c r="E4204" s="25">
        <v>423462</v>
      </c>
      <c r="F4204" s="25">
        <v>1</v>
      </c>
      <c r="G4204" s="26">
        <v>1.0000023614925577</v>
      </c>
      <c r="H4204" s="10">
        <v>2026</v>
      </c>
    </row>
    <row r="4205" spans="1:8" hidden="1" x14ac:dyDescent="0.3">
      <c r="A4205" s="24" t="s">
        <v>43</v>
      </c>
      <c r="B4205" s="24" t="s">
        <v>206</v>
      </c>
      <c r="C4205" s="22">
        <v>4</v>
      </c>
      <c r="D4205" s="25">
        <v>514796</v>
      </c>
      <c r="E4205" s="25">
        <v>514796</v>
      </c>
      <c r="F4205" s="25">
        <v>0</v>
      </c>
      <c r="G4205" s="26">
        <v>1</v>
      </c>
      <c r="H4205" s="10">
        <v>2026</v>
      </c>
    </row>
    <row r="4206" spans="1:8" hidden="1" x14ac:dyDescent="0.3">
      <c r="A4206" s="24" t="s">
        <v>68</v>
      </c>
      <c r="B4206" s="24" t="s">
        <v>206</v>
      </c>
      <c r="C4206" s="22">
        <v>1</v>
      </c>
      <c r="D4206" s="25">
        <v>996380</v>
      </c>
      <c r="E4206" s="25">
        <v>905046</v>
      </c>
      <c r="F4206" s="25">
        <v>-91334</v>
      </c>
      <c r="G4206" s="26">
        <v>0.90833416969429337</v>
      </c>
      <c r="H4206" s="10">
        <v>2026</v>
      </c>
    </row>
    <row r="4207" spans="1:8" hidden="1" x14ac:dyDescent="0.3">
      <c r="A4207" s="24" t="s">
        <v>68</v>
      </c>
      <c r="B4207" s="24" t="s">
        <v>206</v>
      </c>
      <c r="C4207" s="22">
        <v>2</v>
      </c>
      <c r="D4207" s="25">
        <v>996380</v>
      </c>
      <c r="E4207" s="25">
        <v>979774</v>
      </c>
      <c r="F4207" s="25">
        <v>-16606</v>
      </c>
      <c r="G4207" s="26">
        <v>0.98333366787771737</v>
      </c>
      <c r="H4207" s="10">
        <v>2026</v>
      </c>
    </row>
    <row r="4208" spans="1:8" hidden="1" x14ac:dyDescent="0.3">
      <c r="A4208" s="21" t="s">
        <v>68</v>
      </c>
      <c r="B4208" s="21" t="s">
        <v>206</v>
      </c>
      <c r="C4208" s="22">
        <v>3</v>
      </c>
      <c r="D4208" s="25">
        <v>996380</v>
      </c>
      <c r="E4208" s="25">
        <v>938258</v>
      </c>
      <c r="F4208" s="25">
        <v>-58122</v>
      </c>
      <c r="G4208" s="26">
        <v>0.94166683393885875</v>
      </c>
      <c r="H4208" s="10">
        <v>2026</v>
      </c>
    </row>
    <row r="4209" spans="1:8" hidden="1" x14ac:dyDescent="0.3">
      <c r="A4209" s="23" t="s">
        <v>68</v>
      </c>
      <c r="B4209" s="23" t="s">
        <v>206</v>
      </c>
      <c r="C4209" s="22">
        <v>4</v>
      </c>
      <c r="D4209" s="25">
        <v>622737</v>
      </c>
      <c r="E4209" s="25">
        <v>589525</v>
      </c>
      <c r="F4209" s="25">
        <v>-33212</v>
      </c>
      <c r="G4209" s="26">
        <v>0.94666769438783949</v>
      </c>
      <c r="H4209" s="10">
        <v>2026</v>
      </c>
    </row>
    <row r="4210" spans="1:8" hidden="1" x14ac:dyDescent="0.3">
      <c r="A4210" s="24" t="s">
        <v>43</v>
      </c>
      <c r="B4210" s="24" t="s">
        <v>181</v>
      </c>
      <c r="C4210" s="22">
        <v>1</v>
      </c>
      <c r="D4210" s="25">
        <v>5161544</v>
      </c>
      <c r="E4210" s="25">
        <v>4282034</v>
      </c>
      <c r="F4210" s="25">
        <v>-879510</v>
      </c>
      <c r="G4210" s="26">
        <v>0.82960331249719077</v>
      </c>
      <c r="H4210" s="10">
        <v>2026</v>
      </c>
    </row>
    <row r="4211" spans="1:8" hidden="1" x14ac:dyDescent="0.3">
      <c r="A4211" s="24" t="s">
        <v>43</v>
      </c>
      <c r="B4211" s="24" t="s">
        <v>181</v>
      </c>
      <c r="C4211" s="22">
        <v>2</v>
      </c>
      <c r="D4211" s="25">
        <v>4784203</v>
      </c>
      <c r="E4211" s="25">
        <v>3875748</v>
      </c>
      <c r="F4211" s="25">
        <v>-908455</v>
      </c>
      <c r="G4211" s="26">
        <v>0.81011361767048773</v>
      </c>
      <c r="H4211" s="10">
        <v>2026</v>
      </c>
    </row>
    <row r="4212" spans="1:8" hidden="1" x14ac:dyDescent="0.3">
      <c r="A4212" s="24" t="s">
        <v>43</v>
      </c>
      <c r="B4212" s="24" t="s">
        <v>181</v>
      </c>
      <c r="C4212" s="22">
        <v>3</v>
      </c>
      <c r="D4212" s="25">
        <v>4969892</v>
      </c>
      <c r="E4212" s="25">
        <v>5878697</v>
      </c>
      <c r="F4212" s="25">
        <v>908805</v>
      </c>
      <c r="G4212" s="26">
        <v>1.1828621225571905</v>
      </c>
      <c r="H4212" s="10">
        <v>2026</v>
      </c>
    </row>
    <row r="4213" spans="1:8" hidden="1" x14ac:dyDescent="0.3">
      <c r="A4213" s="23" t="s">
        <v>43</v>
      </c>
      <c r="B4213" s="23" t="s">
        <v>181</v>
      </c>
      <c r="C4213" s="22">
        <v>4</v>
      </c>
      <c r="D4213" s="25">
        <v>5661452</v>
      </c>
      <c r="E4213" s="25">
        <v>4924741</v>
      </c>
      <c r="F4213" s="25">
        <v>-736711</v>
      </c>
      <c r="G4213" s="26">
        <v>0.86987242848654378</v>
      </c>
      <c r="H4213" s="10">
        <v>2026</v>
      </c>
    </row>
    <row r="4214" spans="1:8" hidden="1" x14ac:dyDescent="0.3">
      <c r="A4214" s="24" t="s">
        <v>68</v>
      </c>
      <c r="B4214" s="24" t="s">
        <v>181</v>
      </c>
      <c r="C4214" s="22">
        <v>1</v>
      </c>
      <c r="D4214" s="25">
        <v>1007324</v>
      </c>
      <c r="E4214" s="25">
        <v>879185</v>
      </c>
      <c r="F4214" s="25">
        <v>-128139</v>
      </c>
      <c r="G4214" s="26">
        <v>0.87279266651047727</v>
      </c>
      <c r="H4214" s="10">
        <v>2026</v>
      </c>
    </row>
    <row r="4215" spans="1:8" hidden="1" x14ac:dyDescent="0.3">
      <c r="A4215" s="24" t="s">
        <v>68</v>
      </c>
      <c r="B4215" s="24" t="s">
        <v>181</v>
      </c>
      <c r="C4215" s="22">
        <v>2</v>
      </c>
      <c r="D4215" s="25">
        <v>980992</v>
      </c>
      <c r="E4215" s="25">
        <v>882748</v>
      </c>
      <c r="F4215" s="25">
        <v>-98244</v>
      </c>
      <c r="G4215" s="26">
        <v>0.89985239431106478</v>
      </c>
      <c r="H4215" s="10">
        <v>2026</v>
      </c>
    </row>
    <row r="4216" spans="1:8" hidden="1" x14ac:dyDescent="0.3">
      <c r="A4216" s="24" t="s">
        <v>68</v>
      </c>
      <c r="B4216" s="24" t="s">
        <v>181</v>
      </c>
      <c r="C4216" s="22">
        <v>3</v>
      </c>
      <c r="D4216" s="25">
        <v>1194755</v>
      </c>
      <c r="E4216" s="25">
        <v>1026341</v>
      </c>
      <c r="F4216" s="25">
        <v>-168414</v>
      </c>
      <c r="G4216" s="26">
        <v>0.85903888244870286</v>
      </c>
      <c r="H4216" s="10">
        <v>2026</v>
      </c>
    </row>
    <row r="4217" spans="1:8" hidden="1" x14ac:dyDescent="0.3">
      <c r="A4217" s="23" t="s">
        <v>68</v>
      </c>
      <c r="B4217" s="23" t="s">
        <v>181</v>
      </c>
      <c r="C4217" s="22">
        <v>4</v>
      </c>
      <c r="D4217" s="25">
        <v>806872</v>
      </c>
      <c r="E4217" s="25">
        <v>867617</v>
      </c>
      <c r="F4217" s="25">
        <v>60745</v>
      </c>
      <c r="G4217" s="26">
        <v>1.075284555666822</v>
      </c>
      <c r="H4217" s="10">
        <v>2026</v>
      </c>
    </row>
    <row r="4218" spans="1:8" hidden="1" x14ac:dyDescent="0.3">
      <c r="A4218" s="24" t="s">
        <v>43</v>
      </c>
      <c r="B4218" s="24" t="s">
        <v>182</v>
      </c>
      <c r="C4218" s="22">
        <v>1</v>
      </c>
      <c r="D4218" s="25">
        <v>619385</v>
      </c>
      <c r="E4218" s="25">
        <v>514050</v>
      </c>
      <c r="F4218" s="25">
        <v>-105335</v>
      </c>
      <c r="G4218" s="26">
        <v>0.82993614633870694</v>
      </c>
      <c r="H4218" s="10">
        <v>2026</v>
      </c>
    </row>
    <row r="4219" spans="1:8" hidden="1" x14ac:dyDescent="0.3">
      <c r="A4219" s="24" t="s">
        <v>43</v>
      </c>
      <c r="B4219" s="24" t="s">
        <v>182</v>
      </c>
      <c r="C4219" s="22">
        <v>2</v>
      </c>
      <c r="D4219" s="25">
        <v>574104</v>
      </c>
      <c r="E4219" s="25">
        <v>465277</v>
      </c>
      <c r="F4219" s="25">
        <v>-108827</v>
      </c>
      <c r="G4219" s="26">
        <v>0.81044026866212393</v>
      </c>
      <c r="H4219" s="10">
        <v>2026</v>
      </c>
    </row>
    <row r="4220" spans="1:8" hidden="1" x14ac:dyDescent="0.3">
      <c r="A4220" s="24" t="s">
        <v>43</v>
      </c>
      <c r="B4220" s="24" t="s">
        <v>182</v>
      </c>
      <c r="C4220" s="22">
        <v>3</v>
      </c>
      <c r="D4220" s="25">
        <v>596387</v>
      </c>
      <c r="E4220" s="25">
        <v>705726</v>
      </c>
      <c r="F4220" s="25">
        <v>109339</v>
      </c>
      <c r="G4220" s="26">
        <v>1.1833356528562831</v>
      </c>
      <c r="H4220" s="10">
        <v>2026</v>
      </c>
    </row>
    <row r="4221" spans="1:8" hidden="1" x14ac:dyDescent="0.3">
      <c r="A4221" s="23" t="s">
        <v>43</v>
      </c>
      <c r="B4221" s="23" t="s">
        <v>182</v>
      </c>
      <c r="C4221" s="22">
        <v>4</v>
      </c>
      <c r="D4221" s="25">
        <v>679374</v>
      </c>
      <c r="E4221" s="25">
        <v>591205</v>
      </c>
      <c r="F4221" s="25">
        <v>-88169</v>
      </c>
      <c r="G4221" s="26">
        <v>0.87022023215489552</v>
      </c>
      <c r="H4221" s="10">
        <v>2026</v>
      </c>
    </row>
    <row r="4222" spans="1:8" hidden="1" x14ac:dyDescent="0.3">
      <c r="A4222" s="24" t="s">
        <v>68</v>
      </c>
      <c r="B4222" s="24" t="s">
        <v>182</v>
      </c>
      <c r="C4222" s="22">
        <v>1</v>
      </c>
      <c r="D4222" s="25">
        <v>120878</v>
      </c>
      <c r="E4222" s="25">
        <v>105545</v>
      </c>
      <c r="F4222" s="25">
        <v>-15333</v>
      </c>
      <c r="G4222" s="26">
        <v>0.8731530965105313</v>
      </c>
      <c r="H4222" s="10">
        <v>2026</v>
      </c>
    </row>
    <row r="4223" spans="1:8" hidden="1" x14ac:dyDescent="0.3">
      <c r="A4223" s="24" t="s">
        <v>68</v>
      </c>
      <c r="B4223" s="24" t="s">
        <v>182</v>
      </c>
      <c r="C4223" s="22">
        <v>2</v>
      </c>
      <c r="D4223" s="25">
        <v>117719</v>
      </c>
      <c r="E4223" s="25">
        <v>105973</v>
      </c>
      <c r="F4223" s="25">
        <v>-11746</v>
      </c>
      <c r="G4223" s="26">
        <v>0.90022001546054586</v>
      </c>
      <c r="H4223" s="10">
        <v>2026</v>
      </c>
    </row>
    <row r="4224" spans="1:8" hidden="1" x14ac:dyDescent="0.3">
      <c r="A4224" s="24" t="s">
        <v>68</v>
      </c>
      <c r="B4224" s="24" t="s">
        <v>182</v>
      </c>
      <c r="C4224" s="22">
        <v>3</v>
      </c>
      <c r="D4224" s="25">
        <v>143370</v>
      </c>
      <c r="E4224" s="25">
        <v>123210</v>
      </c>
      <c r="F4224" s="25">
        <v>-20160</v>
      </c>
      <c r="G4224" s="26">
        <v>0.859384808537351</v>
      </c>
      <c r="H4224" s="10">
        <v>2026</v>
      </c>
    </row>
    <row r="4225" spans="1:8" hidden="1" x14ac:dyDescent="0.3">
      <c r="A4225" s="23" t="s">
        <v>68</v>
      </c>
      <c r="B4225" s="23" t="s">
        <v>182</v>
      </c>
      <c r="C4225" s="22">
        <v>4</v>
      </c>
      <c r="D4225" s="25">
        <v>96824</v>
      </c>
      <c r="E4225" s="25">
        <v>104155</v>
      </c>
      <c r="F4225" s="25">
        <v>7331</v>
      </c>
      <c r="G4225" s="26">
        <v>1.0757146988349997</v>
      </c>
      <c r="H4225" s="10">
        <v>2026</v>
      </c>
    </row>
    <row r="4226" spans="1:8" hidden="1" x14ac:dyDescent="0.3">
      <c r="A4226" s="24" t="s">
        <v>43</v>
      </c>
      <c r="B4226" s="24" t="s">
        <v>183</v>
      </c>
      <c r="C4226" s="22">
        <v>1</v>
      </c>
      <c r="D4226" s="25">
        <v>5161544</v>
      </c>
      <c r="E4226" s="25">
        <v>4282034</v>
      </c>
      <c r="F4226" s="25">
        <v>-879510</v>
      </c>
      <c r="G4226" s="26">
        <v>0.82960331249719077</v>
      </c>
      <c r="H4226" s="10">
        <v>2026</v>
      </c>
    </row>
    <row r="4227" spans="1:8" hidden="1" x14ac:dyDescent="0.3">
      <c r="A4227" s="24" t="s">
        <v>43</v>
      </c>
      <c r="B4227" s="24" t="s">
        <v>183</v>
      </c>
      <c r="C4227" s="22">
        <v>2</v>
      </c>
      <c r="D4227" s="25">
        <v>4784203</v>
      </c>
      <c r="E4227" s="25">
        <v>3875748</v>
      </c>
      <c r="F4227" s="25">
        <v>-908455</v>
      </c>
      <c r="G4227" s="26">
        <v>0.81011361767048773</v>
      </c>
      <c r="H4227" s="10">
        <v>2026</v>
      </c>
    </row>
    <row r="4228" spans="1:8" hidden="1" x14ac:dyDescent="0.3">
      <c r="A4228" s="24" t="s">
        <v>43</v>
      </c>
      <c r="B4228" s="24" t="s">
        <v>183</v>
      </c>
      <c r="C4228" s="22">
        <v>3</v>
      </c>
      <c r="D4228" s="25">
        <v>4969892</v>
      </c>
      <c r="E4228" s="25">
        <v>5878697</v>
      </c>
      <c r="F4228" s="25">
        <v>908805</v>
      </c>
      <c r="G4228" s="26">
        <v>1.1828621225571905</v>
      </c>
      <c r="H4228" s="10">
        <v>2026</v>
      </c>
    </row>
    <row r="4229" spans="1:8" hidden="1" x14ac:dyDescent="0.3">
      <c r="A4229" s="23" t="s">
        <v>43</v>
      </c>
      <c r="B4229" s="23" t="s">
        <v>183</v>
      </c>
      <c r="C4229" s="22">
        <v>4</v>
      </c>
      <c r="D4229" s="25">
        <v>5661452</v>
      </c>
      <c r="E4229" s="25">
        <v>4924741</v>
      </c>
      <c r="F4229" s="25">
        <v>-736711</v>
      </c>
      <c r="G4229" s="26">
        <v>0.86987242848654378</v>
      </c>
      <c r="H4229" s="10">
        <v>2026</v>
      </c>
    </row>
    <row r="4230" spans="1:8" hidden="1" x14ac:dyDescent="0.3">
      <c r="A4230" s="24" t="s">
        <v>68</v>
      </c>
      <c r="B4230" s="24" t="s">
        <v>183</v>
      </c>
      <c r="C4230" s="22">
        <v>1</v>
      </c>
      <c r="D4230" s="25">
        <v>1007324</v>
      </c>
      <c r="E4230" s="25">
        <v>879185</v>
      </c>
      <c r="F4230" s="25">
        <v>-128139</v>
      </c>
      <c r="G4230" s="26">
        <v>0.87279266651047727</v>
      </c>
      <c r="H4230" s="10">
        <v>2026</v>
      </c>
    </row>
    <row r="4231" spans="1:8" hidden="1" x14ac:dyDescent="0.3">
      <c r="A4231" s="23" t="s">
        <v>68</v>
      </c>
      <c r="B4231" s="23" t="s">
        <v>183</v>
      </c>
      <c r="C4231" s="22">
        <v>2</v>
      </c>
      <c r="D4231" s="25">
        <v>980992</v>
      </c>
      <c r="E4231" s="25">
        <v>882748</v>
      </c>
      <c r="F4231" s="25">
        <v>-98244</v>
      </c>
      <c r="G4231" s="26">
        <v>0.89985239431106478</v>
      </c>
      <c r="H4231" s="10">
        <v>2026</v>
      </c>
    </row>
    <row r="4232" spans="1:8" hidden="1" x14ac:dyDescent="0.3">
      <c r="A4232" s="24" t="s">
        <v>68</v>
      </c>
      <c r="B4232" s="24" t="s">
        <v>183</v>
      </c>
      <c r="C4232" s="22">
        <v>3</v>
      </c>
      <c r="D4232" s="25">
        <v>1194755</v>
      </c>
      <c r="E4232" s="25">
        <v>1026341</v>
      </c>
      <c r="F4232" s="25">
        <v>-168414</v>
      </c>
      <c r="G4232" s="26">
        <v>0.85903888244870286</v>
      </c>
      <c r="H4232" s="10">
        <v>2026</v>
      </c>
    </row>
    <row r="4233" spans="1:8" hidden="1" x14ac:dyDescent="0.3">
      <c r="A4233" s="24" t="s">
        <v>68</v>
      </c>
      <c r="B4233" s="24" t="s">
        <v>183</v>
      </c>
      <c r="C4233" s="22">
        <v>4</v>
      </c>
      <c r="D4233" s="25">
        <v>806872</v>
      </c>
      <c r="E4233" s="25">
        <v>867617</v>
      </c>
      <c r="F4233" s="25">
        <v>60745</v>
      </c>
      <c r="G4233" s="26">
        <v>1.075284555666822</v>
      </c>
      <c r="H4233" s="10">
        <v>2026</v>
      </c>
    </row>
    <row r="4234" spans="1:8" hidden="1" x14ac:dyDescent="0.3">
      <c r="A4234" s="24" t="s">
        <v>43</v>
      </c>
      <c r="B4234" s="24" t="s">
        <v>184</v>
      </c>
      <c r="C4234" s="22">
        <v>1</v>
      </c>
      <c r="D4234" s="25">
        <v>2563095</v>
      </c>
      <c r="E4234" s="25">
        <v>2123504</v>
      </c>
      <c r="F4234" s="25">
        <v>-439591</v>
      </c>
      <c r="G4234" s="26">
        <v>0.82849211597697314</v>
      </c>
      <c r="H4234" s="10">
        <v>2026</v>
      </c>
    </row>
    <row r="4235" spans="1:8" hidden="1" x14ac:dyDescent="0.3">
      <c r="A4235" s="23" t="s">
        <v>43</v>
      </c>
      <c r="B4235" s="23" t="s">
        <v>184</v>
      </c>
      <c r="C4235" s="22">
        <v>2</v>
      </c>
      <c r="D4235" s="25">
        <v>2374199</v>
      </c>
      <c r="E4235" s="25">
        <v>1919426</v>
      </c>
      <c r="F4235" s="25">
        <v>-454773</v>
      </c>
      <c r="G4235" s="26">
        <v>0.80845202950553008</v>
      </c>
      <c r="H4235" s="10">
        <v>2026</v>
      </c>
    </row>
    <row r="4236" spans="1:8" hidden="1" x14ac:dyDescent="0.3">
      <c r="A4236" s="24" t="s">
        <v>43</v>
      </c>
      <c r="B4236" s="24" t="s">
        <v>184</v>
      </c>
      <c r="C4236" s="22">
        <v>3</v>
      </c>
      <c r="D4236" s="25">
        <v>2470271</v>
      </c>
      <c r="E4236" s="25">
        <v>2925219</v>
      </c>
      <c r="F4236" s="25">
        <v>454948</v>
      </c>
      <c r="G4236" s="26">
        <v>1.1841692672585316</v>
      </c>
      <c r="H4236" s="10">
        <v>2026</v>
      </c>
    </row>
    <row r="4237" spans="1:8" hidden="1" x14ac:dyDescent="0.3">
      <c r="A4237" s="24" t="s">
        <v>43</v>
      </c>
      <c r="B4237" s="24" t="s">
        <v>184</v>
      </c>
      <c r="C4237" s="22">
        <v>4</v>
      </c>
      <c r="D4237" s="25">
        <v>2812657</v>
      </c>
      <c r="E4237" s="25">
        <v>2443861</v>
      </c>
      <c r="F4237" s="25">
        <v>-368796</v>
      </c>
      <c r="G4237" s="26">
        <v>0.86887985275133095</v>
      </c>
      <c r="H4237" s="10">
        <v>2026</v>
      </c>
    </row>
    <row r="4238" spans="1:8" hidden="1" x14ac:dyDescent="0.3">
      <c r="A4238" s="24" t="s">
        <v>68</v>
      </c>
      <c r="B4238" s="24" t="s">
        <v>184</v>
      </c>
      <c r="C4238" s="22">
        <v>1</v>
      </c>
      <c r="D4238" s="25">
        <v>462718</v>
      </c>
      <c r="E4238" s="25">
        <v>402380</v>
      </c>
      <c r="F4238" s="25">
        <v>-60338</v>
      </c>
      <c r="G4238" s="26">
        <v>0.86960092324050509</v>
      </c>
      <c r="H4238" s="10">
        <v>2026</v>
      </c>
    </row>
    <row r="4239" spans="1:8" hidden="1" x14ac:dyDescent="0.3">
      <c r="A4239" s="23" t="s">
        <v>68</v>
      </c>
      <c r="B4239" s="23" t="s">
        <v>184</v>
      </c>
      <c r="C4239" s="22">
        <v>2</v>
      </c>
      <c r="D4239" s="25">
        <v>449535</v>
      </c>
      <c r="E4239" s="25">
        <v>401048</v>
      </c>
      <c r="F4239" s="25">
        <v>-48487</v>
      </c>
      <c r="G4239" s="26">
        <v>0.89213965542171358</v>
      </c>
      <c r="H4239" s="10">
        <v>2026</v>
      </c>
    </row>
    <row r="4240" spans="1:8" hidden="1" x14ac:dyDescent="0.3">
      <c r="A4240" s="24" t="s">
        <v>68</v>
      </c>
      <c r="B4240" s="24" t="s">
        <v>184</v>
      </c>
      <c r="C4240" s="22">
        <v>3</v>
      </c>
      <c r="D4240" s="25">
        <v>556545</v>
      </c>
      <c r="E4240" s="25">
        <v>474662</v>
      </c>
      <c r="F4240" s="25">
        <v>-81883</v>
      </c>
      <c r="G4240" s="26">
        <v>0.85287263383913259</v>
      </c>
      <c r="H4240" s="10">
        <v>2026</v>
      </c>
    </row>
    <row r="4241" spans="1:8" hidden="1" x14ac:dyDescent="0.3">
      <c r="A4241" s="24" t="s">
        <v>68</v>
      </c>
      <c r="B4241" s="24" t="s">
        <v>184</v>
      </c>
      <c r="C4241" s="22">
        <v>4</v>
      </c>
      <c r="D4241" s="25">
        <v>377952</v>
      </c>
      <c r="E4241" s="25">
        <v>409747</v>
      </c>
      <c r="F4241" s="25">
        <v>31795</v>
      </c>
      <c r="G4241" s="26">
        <v>1.0841244390822116</v>
      </c>
      <c r="H4241" s="10">
        <v>2026</v>
      </c>
    </row>
    <row r="4242" spans="1:8" hidden="1" x14ac:dyDescent="0.3">
      <c r="A4242" s="24" t="s">
        <v>43</v>
      </c>
      <c r="B4242" s="24" t="s">
        <v>185</v>
      </c>
      <c r="C4242" s="22">
        <v>1</v>
      </c>
      <c r="D4242" s="25">
        <v>848218</v>
      </c>
      <c r="E4242" s="25">
        <v>702742</v>
      </c>
      <c r="F4242" s="25">
        <v>-145476</v>
      </c>
      <c r="G4242" s="26">
        <v>0.82849220365519249</v>
      </c>
      <c r="H4242" s="10">
        <v>2026</v>
      </c>
    </row>
    <row r="4243" spans="1:8" hidden="1" x14ac:dyDescent="0.3">
      <c r="A4243" s="23" t="s">
        <v>43</v>
      </c>
      <c r="B4243" s="23" t="s">
        <v>185</v>
      </c>
      <c r="C4243" s="22">
        <v>2</v>
      </c>
      <c r="D4243" s="25">
        <v>785706</v>
      </c>
      <c r="E4243" s="25">
        <v>635204</v>
      </c>
      <c r="F4243" s="25">
        <v>-150502</v>
      </c>
      <c r="G4243" s="26">
        <v>0.80844998001797108</v>
      </c>
      <c r="H4243" s="10">
        <v>2026</v>
      </c>
    </row>
    <row r="4244" spans="1:8" hidden="1" x14ac:dyDescent="0.3">
      <c r="A4244" s="24" t="s">
        <v>43</v>
      </c>
      <c r="B4244" s="24" t="s">
        <v>185</v>
      </c>
      <c r="C4244" s="22">
        <v>3</v>
      </c>
      <c r="D4244" s="25">
        <v>817499</v>
      </c>
      <c r="E4244" s="25">
        <v>968057</v>
      </c>
      <c r="F4244" s="25">
        <v>150558</v>
      </c>
      <c r="G4244" s="26">
        <v>1.1841690326226699</v>
      </c>
      <c r="H4244" s="10">
        <v>2026</v>
      </c>
    </row>
    <row r="4245" spans="1:8" hidden="1" x14ac:dyDescent="0.3">
      <c r="A4245" s="24" t="s">
        <v>43</v>
      </c>
      <c r="B4245" s="24" t="s">
        <v>185</v>
      </c>
      <c r="C4245" s="22">
        <v>4</v>
      </c>
      <c r="D4245" s="25">
        <v>930807</v>
      </c>
      <c r="E4245" s="25">
        <v>808758</v>
      </c>
      <c r="F4245" s="25">
        <v>-122049</v>
      </c>
      <c r="G4245" s="26">
        <v>0.86887829593030563</v>
      </c>
      <c r="H4245" s="10">
        <v>2026</v>
      </c>
    </row>
    <row r="4246" spans="1:8" hidden="1" x14ac:dyDescent="0.3">
      <c r="A4246" s="24" t="s">
        <v>68</v>
      </c>
      <c r="B4246" s="24" t="s">
        <v>185</v>
      </c>
      <c r="C4246" s="22">
        <v>1</v>
      </c>
      <c r="D4246" s="25">
        <v>153129</v>
      </c>
      <c r="E4246" s="25">
        <v>133160</v>
      </c>
      <c r="F4246" s="25">
        <v>-19969</v>
      </c>
      <c r="G4246" s="26">
        <v>0.86959361061588603</v>
      </c>
      <c r="H4246" s="10">
        <v>2026</v>
      </c>
    </row>
    <row r="4247" spans="1:8" hidden="1" x14ac:dyDescent="0.3">
      <c r="A4247" s="23" t="s">
        <v>68</v>
      </c>
      <c r="B4247" s="23" t="s">
        <v>185</v>
      </c>
      <c r="C4247" s="22">
        <v>2</v>
      </c>
      <c r="D4247" s="25">
        <v>148767</v>
      </c>
      <c r="E4247" s="25">
        <v>132721</v>
      </c>
      <c r="F4247" s="25">
        <v>-16046</v>
      </c>
      <c r="G4247" s="26">
        <v>0.89214005794295781</v>
      </c>
      <c r="H4247" s="10">
        <v>2026</v>
      </c>
    </row>
    <row r="4248" spans="1:8" hidden="1" x14ac:dyDescent="0.3">
      <c r="A4248" s="24" t="s">
        <v>68</v>
      </c>
      <c r="B4248" s="24" t="s">
        <v>185</v>
      </c>
      <c r="C4248" s="22">
        <v>3</v>
      </c>
      <c r="D4248" s="25">
        <v>184180</v>
      </c>
      <c r="E4248" s="25">
        <v>157083</v>
      </c>
      <c r="F4248" s="25">
        <v>-27097</v>
      </c>
      <c r="G4248" s="26">
        <v>0.85287761971983933</v>
      </c>
      <c r="H4248" s="10">
        <v>2026</v>
      </c>
    </row>
    <row r="4249" spans="1:8" hidden="1" x14ac:dyDescent="0.3">
      <c r="A4249" s="24" t="s">
        <v>68</v>
      </c>
      <c r="B4249" s="24" t="s">
        <v>185</v>
      </c>
      <c r="C4249" s="22">
        <v>4</v>
      </c>
      <c r="D4249" s="25">
        <v>125077</v>
      </c>
      <c r="E4249" s="25">
        <v>135600</v>
      </c>
      <c r="F4249" s="25">
        <v>10523</v>
      </c>
      <c r="G4249" s="26">
        <v>1.0841321745804584</v>
      </c>
      <c r="H4249" s="10">
        <v>2026</v>
      </c>
    </row>
    <row r="4250" spans="1:8" hidden="1" x14ac:dyDescent="0.3">
      <c r="A4250" s="24" t="s">
        <v>43</v>
      </c>
      <c r="B4250" s="24" t="s">
        <v>207</v>
      </c>
      <c r="C4250" s="22">
        <v>1</v>
      </c>
      <c r="D4250" s="25">
        <v>800000</v>
      </c>
      <c r="E4250" s="25">
        <v>560000</v>
      </c>
      <c r="F4250" s="25">
        <v>-240000</v>
      </c>
      <c r="G4250" s="26">
        <v>0.7</v>
      </c>
      <c r="H4250" s="10">
        <v>2026</v>
      </c>
    </row>
    <row r="4251" spans="1:8" hidden="1" x14ac:dyDescent="0.3">
      <c r="A4251" s="23" t="s">
        <v>43</v>
      </c>
      <c r="B4251" s="23" t="s">
        <v>207</v>
      </c>
      <c r="C4251" s="22">
        <v>2</v>
      </c>
      <c r="D4251" s="25">
        <v>800000</v>
      </c>
      <c r="E4251" s="25">
        <v>1550000</v>
      </c>
      <c r="F4251" s="25">
        <v>750000</v>
      </c>
      <c r="G4251" s="26">
        <v>1.9375</v>
      </c>
      <c r="H4251" s="10">
        <v>2026</v>
      </c>
    </row>
    <row r="4252" spans="1:8" hidden="1" x14ac:dyDescent="0.3">
      <c r="A4252" s="24" t="s">
        <v>43</v>
      </c>
      <c r="B4252" s="24" t="s">
        <v>207</v>
      </c>
      <c r="C4252" s="22">
        <v>3</v>
      </c>
      <c r="D4252" s="25">
        <v>400000</v>
      </c>
      <c r="E4252" s="25">
        <v>400000</v>
      </c>
      <c r="F4252" s="25">
        <v>0</v>
      </c>
      <c r="G4252" s="26">
        <v>1</v>
      </c>
      <c r="H4252" s="10">
        <v>2026</v>
      </c>
    </row>
    <row r="4253" spans="1:8" hidden="1" x14ac:dyDescent="0.3">
      <c r="A4253" s="24" t="s">
        <v>43</v>
      </c>
      <c r="B4253" s="24" t="s">
        <v>207</v>
      </c>
      <c r="C4253" s="22">
        <v>4</v>
      </c>
      <c r="D4253" s="25">
        <v>400000</v>
      </c>
      <c r="E4253" s="25">
        <v>400000</v>
      </c>
      <c r="F4253" s="25">
        <v>0</v>
      </c>
      <c r="G4253" s="26">
        <v>1</v>
      </c>
      <c r="H4253" s="10">
        <v>2026</v>
      </c>
    </row>
    <row r="4254" spans="1:8" hidden="1" x14ac:dyDescent="0.3">
      <c r="A4254" s="24" t="s">
        <v>43</v>
      </c>
      <c r="B4254" s="24" t="s">
        <v>186</v>
      </c>
      <c r="C4254" s="22">
        <v>1</v>
      </c>
      <c r="D4254" s="25">
        <v>4061923</v>
      </c>
      <c r="E4254" s="25">
        <v>1651387</v>
      </c>
      <c r="F4254" s="25">
        <v>-2410536</v>
      </c>
      <c r="G4254" s="26">
        <v>0.40655300457443433</v>
      </c>
      <c r="H4254" s="10">
        <v>2026</v>
      </c>
    </row>
    <row r="4255" spans="1:8" hidden="1" x14ac:dyDescent="0.3">
      <c r="A4255" s="23" t="s">
        <v>43</v>
      </c>
      <c r="B4255" s="23" t="s">
        <v>186</v>
      </c>
      <c r="C4255" s="22">
        <v>2</v>
      </c>
      <c r="D4255" s="25">
        <v>15789750</v>
      </c>
      <c r="E4255" s="25">
        <v>9425355</v>
      </c>
      <c r="F4255" s="25">
        <v>-6364395</v>
      </c>
      <c r="G4255" s="26">
        <v>0.59692870374768447</v>
      </c>
      <c r="H4255" s="10">
        <v>2026</v>
      </c>
    </row>
    <row r="4256" spans="1:8" hidden="1" x14ac:dyDescent="0.3">
      <c r="A4256" s="24" t="s">
        <v>43</v>
      </c>
      <c r="B4256" s="24" t="s">
        <v>186</v>
      </c>
      <c r="C4256" s="22">
        <v>3</v>
      </c>
      <c r="D4256" s="25">
        <v>4346317</v>
      </c>
      <c r="E4256" s="25">
        <v>3465125</v>
      </c>
      <c r="F4256" s="25">
        <v>-881192</v>
      </c>
      <c r="G4256" s="26">
        <v>0.79725546940087433</v>
      </c>
      <c r="H4256" s="10">
        <v>2026</v>
      </c>
    </row>
    <row r="4257" spans="1:8" hidden="1" x14ac:dyDescent="0.3">
      <c r="A4257" s="24" t="s">
        <v>43</v>
      </c>
      <c r="B4257" s="24" t="s">
        <v>186</v>
      </c>
      <c r="C4257" s="22">
        <v>4</v>
      </c>
      <c r="D4257" s="25">
        <v>4191585</v>
      </c>
      <c r="E4257" s="25">
        <v>2511139</v>
      </c>
      <c r="F4257" s="25">
        <v>-1680446</v>
      </c>
      <c r="G4257" s="26">
        <v>0.59909055882202078</v>
      </c>
      <c r="H4257" s="10">
        <v>2026</v>
      </c>
    </row>
    <row r="4258" spans="1:8" hidden="1" x14ac:dyDescent="0.3">
      <c r="A4258" s="24" t="s">
        <v>68</v>
      </c>
      <c r="B4258" s="24" t="s">
        <v>186</v>
      </c>
      <c r="C4258" s="22">
        <v>1</v>
      </c>
      <c r="D4258" s="25">
        <v>1192818</v>
      </c>
      <c r="E4258" s="25">
        <v>1217984</v>
      </c>
      <c r="F4258" s="25">
        <v>25166</v>
      </c>
      <c r="G4258" s="26">
        <v>1.0210979378245466</v>
      </c>
      <c r="H4258" s="10">
        <v>2026</v>
      </c>
    </row>
    <row r="4259" spans="1:8" hidden="1" x14ac:dyDescent="0.3">
      <c r="A4259" s="23" t="s">
        <v>68</v>
      </c>
      <c r="B4259" s="23" t="s">
        <v>186</v>
      </c>
      <c r="C4259" s="22">
        <v>2</v>
      </c>
      <c r="D4259" s="25">
        <v>5084250</v>
      </c>
      <c r="E4259" s="25">
        <v>4372500</v>
      </c>
      <c r="F4259" s="25">
        <v>-711750</v>
      </c>
      <c r="G4259" s="26">
        <v>0.8600088508629592</v>
      </c>
      <c r="H4259" s="10">
        <v>2026</v>
      </c>
    </row>
    <row r="4260" spans="1:8" hidden="1" x14ac:dyDescent="0.3">
      <c r="A4260" s="24" t="s">
        <v>68</v>
      </c>
      <c r="B4260" s="24" t="s">
        <v>186</v>
      </c>
      <c r="C4260" s="22">
        <v>3</v>
      </c>
      <c r="D4260" s="25">
        <v>1447886</v>
      </c>
      <c r="E4260" s="25">
        <v>1439256</v>
      </c>
      <c r="F4260" s="25">
        <v>-8630</v>
      </c>
      <c r="G4260" s="26">
        <v>0.9940395859895047</v>
      </c>
      <c r="H4260" s="10">
        <v>2026</v>
      </c>
    </row>
    <row r="4261" spans="1:8" hidden="1" x14ac:dyDescent="0.3">
      <c r="A4261" s="24" t="s">
        <v>68</v>
      </c>
      <c r="B4261" s="24" t="s">
        <v>186</v>
      </c>
      <c r="C4261" s="22">
        <v>4</v>
      </c>
      <c r="D4261" s="25">
        <v>1061192</v>
      </c>
      <c r="E4261" s="25">
        <v>1267705</v>
      </c>
      <c r="F4261" s="25">
        <v>206513</v>
      </c>
      <c r="G4261" s="26">
        <v>1.1946047463606964</v>
      </c>
      <c r="H4261" s="10">
        <v>2026</v>
      </c>
    </row>
    <row r="4262" spans="1:8" hidden="1" x14ac:dyDescent="0.3">
      <c r="A4262" s="23" t="s">
        <v>43</v>
      </c>
      <c r="B4262" s="23" t="s">
        <v>187</v>
      </c>
      <c r="C4262" s="22">
        <v>1</v>
      </c>
      <c r="D4262" s="25">
        <v>720555</v>
      </c>
      <c r="E4262" s="25">
        <v>504859</v>
      </c>
      <c r="F4262" s="25">
        <v>-215696</v>
      </c>
      <c r="G4262" s="26">
        <v>0.70065296889203466</v>
      </c>
      <c r="H4262" s="10">
        <v>2026</v>
      </c>
    </row>
    <row r="4263" spans="1:8" hidden="1" x14ac:dyDescent="0.3">
      <c r="A4263" s="24" t="s">
        <v>43</v>
      </c>
      <c r="B4263" s="24" t="s">
        <v>187</v>
      </c>
      <c r="C4263" s="22">
        <v>2</v>
      </c>
      <c r="D4263" s="25">
        <v>720555</v>
      </c>
      <c r="E4263" s="25">
        <v>720556</v>
      </c>
      <c r="F4263" s="25">
        <v>1</v>
      </c>
      <c r="G4263" s="26">
        <v>1.0000013878191116</v>
      </c>
      <c r="H4263" s="10">
        <v>2026</v>
      </c>
    </row>
    <row r="4264" spans="1:8" hidden="1" x14ac:dyDescent="0.3">
      <c r="A4264" s="24" t="s">
        <v>43</v>
      </c>
      <c r="B4264" s="24" t="s">
        <v>187</v>
      </c>
      <c r="C4264" s="22">
        <v>3</v>
      </c>
      <c r="D4264" s="25">
        <v>807499</v>
      </c>
      <c r="E4264" s="25">
        <v>1059353</v>
      </c>
      <c r="F4264" s="25">
        <v>251854</v>
      </c>
      <c r="G4264" s="26">
        <v>1.3118938846983093</v>
      </c>
      <c r="H4264" s="10">
        <v>2026</v>
      </c>
    </row>
    <row r="4265" spans="1:8" hidden="1" x14ac:dyDescent="0.3">
      <c r="A4265" s="23" t="s">
        <v>43</v>
      </c>
      <c r="B4265" s="23" t="s">
        <v>187</v>
      </c>
      <c r="C4265" s="22">
        <v>4</v>
      </c>
      <c r="D4265" s="25">
        <v>760195</v>
      </c>
      <c r="E4265" s="25">
        <v>767702</v>
      </c>
      <c r="F4265" s="25">
        <v>7507</v>
      </c>
      <c r="G4265" s="26">
        <v>1.0098750978367392</v>
      </c>
      <c r="H4265" s="10">
        <v>2026</v>
      </c>
    </row>
    <row r="4266" spans="1:8" hidden="1" x14ac:dyDescent="0.3">
      <c r="A4266" s="24" t="s">
        <v>68</v>
      </c>
      <c r="B4266" s="24" t="s">
        <v>187</v>
      </c>
      <c r="C4266" s="22">
        <v>1</v>
      </c>
      <c r="D4266" s="25">
        <v>364666</v>
      </c>
      <c r="E4266" s="25">
        <v>372361</v>
      </c>
      <c r="F4266" s="25">
        <v>7695</v>
      </c>
      <c r="G4266" s="26">
        <v>1.0211015010996365</v>
      </c>
      <c r="H4266" s="10">
        <v>2026</v>
      </c>
    </row>
    <row r="4267" spans="1:8" hidden="1" x14ac:dyDescent="0.3">
      <c r="A4267" s="23" t="s">
        <v>68</v>
      </c>
      <c r="B4267" s="23" t="s">
        <v>187</v>
      </c>
      <c r="C4267" s="22">
        <v>2</v>
      </c>
      <c r="D4267" s="25">
        <v>364666</v>
      </c>
      <c r="E4267" s="25">
        <v>364392</v>
      </c>
      <c r="F4267" s="25">
        <v>-274</v>
      </c>
      <c r="G4267" s="26">
        <v>0.99924862751120203</v>
      </c>
      <c r="H4267" s="10">
        <v>2026</v>
      </c>
    </row>
    <row r="4268" spans="1:8" hidden="1" x14ac:dyDescent="0.3">
      <c r="A4268" s="24" t="s">
        <v>68</v>
      </c>
      <c r="B4268" s="24" t="s">
        <v>187</v>
      </c>
      <c r="C4268" s="22">
        <v>3</v>
      </c>
      <c r="D4268" s="25">
        <v>442645</v>
      </c>
      <c r="E4268" s="25">
        <v>440007</v>
      </c>
      <c r="F4268" s="25">
        <v>-2638</v>
      </c>
      <c r="G4268" s="26">
        <v>0.99404037095189146</v>
      </c>
      <c r="H4268" s="10">
        <v>2026</v>
      </c>
    </row>
    <row r="4269" spans="1:8" hidden="1" x14ac:dyDescent="0.3">
      <c r="A4269" s="24" t="s">
        <v>68</v>
      </c>
      <c r="B4269" s="24" t="s">
        <v>187</v>
      </c>
      <c r="C4269" s="22">
        <v>4</v>
      </c>
      <c r="D4269" s="25">
        <v>324426</v>
      </c>
      <c r="E4269" s="25">
        <v>387562</v>
      </c>
      <c r="F4269" s="25">
        <v>63136</v>
      </c>
      <c r="G4269" s="26">
        <v>1.1946083236238774</v>
      </c>
      <c r="H4269" s="10">
        <v>2026</v>
      </c>
    </row>
    <row r="4270" spans="1:8" hidden="1" x14ac:dyDescent="0.3">
      <c r="A4270" s="24" t="s">
        <v>43</v>
      </c>
      <c r="B4270" s="24" t="s">
        <v>188</v>
      </c>
      <c r="C4270" s="22">
        <v>1</v>
      </c>
      <c r="D4270" s="25">
        <v>0</v>
      </c>
      <c r="E4270" s="25">
        <v>0</v>
      </c>
      <c r="F4270" s="25">
        <v>0</v>
      </c>
      <c r="G4270" s="26">
        <v>0</v>
      </c>
      <c r="H4270" s="10">
        <v>2026</v>
      </c>
    </row>
    <row r="4271" spans="1:8" hidden="1" x14ac:dyDescent="0.3">
      <c r="A4271" s="23" t="s">
        <v>43</v>
      </c>
      <c r="B4271" s="23" t="s">
        <v>188</v>
      </c>
      <c r="C4271" s="22">
        <v>2</v>
      </c>
      <c r="D4271" s="25">
        <v>0</v>
      </c>
      <c r="E4271" s="25">
        <v>0</v>
      </c>
      <c r="F4271" s="25">
        <v>0</v>
      </c>
      <c r="G4271" s="26">
        <v>0</v>
      </c>
      <c r="H4271" s="10">
        <v>2026</v>
      </c>
    </row>
    <row r="4272" spans="1:8" hidden="1" x14ac:dyDescent="0.3">
      <c r="A4272" s="24" t="s">
        <v>43</v>
      </c>
      <c r="B4272" s="24" t="s">
        <v>188</v>
      </c>
      <c r="C4272" s="22">
        <v>3</v>
      </c>
      <c r="D4272" s="25">
        <v>686616</v>
      </c>
      <c r="E4272" s="25">
        <v>42480</v>
      </c>
      <c r="F4272" s="25">
        <v>-644136</v>
      </c>
      <c r="G4272" s="26">
        <v>6.1868642734803733E-2</v>
      </c>
      <c r="H4272" s="10">
        <v>2026</v>
      </c>
    </row>
    <row r="4273" spans="1:8" hidden="1" x14ac:dyDescent="0.3">
      <c r="A4273" s="24" t="s">
        <v>43</v>
      </c>
      <c r="B4273" s="24" t="s">
        <v>188</v>
      </c>
      <c r="C4273" s="22">
        <v>4</v>
      </c>
      <c r="D4273" s="25">
        <v>0</v>
      </c>
      <c r="E4273" s="25">
        <v>504000</v>
      </c>
      <c r="F4273" s="25">
        <v>504000</v>
      </c>
      <c r="G4273" s="26">
        <v>0</v>
      </c>
      <c r="H4273" s="10">
        <v>2026</v>
      </c>
    </row>
    <row r="4274" spans="1:8" hidden="1" x14ac:dyDescent="0.3">
      <c r="A4274" s="24" t="s">
        <v>68</v>
      </c>
      <c r="B4274" s="24" t="s">
        <v>188</v>
      </c>
      <c r="C4274" s="22">
        <v>1</v>
      </c>
      <c r="D4274" s="25">
        <v>0</v>
      </c>
      <c r="E4274" s="25">
        <v>0</v>
      </c>
      <c r="F4274" s="25">
        <v>0</v>
      </c>
      <c r="G4274" s="26">
        <v>0</v>
      </c>
      <c r="H4274" s="10">
        <v>2026</v>
      </c>
    </row>
    <row r="4275" spans="1:8" hidden="1" x14ac:dyDescent="0.3">
      <c r="A4275" s="23" t="s">
        <v>68</v>
      </c>
      <c r="B4275" s="23" t="s">
        <v>188</v>
      </c>
      <c r="C4275" s="22">
        <v>2</v>
      </c>
      <c r="D4275" s="25">
        <v>0</v>
      </c>
      <c r="E4275" s="25">
        <v>0</v>
      </c>
      <c r="F4275" s="25">
        <v>0</v>
      </c>
      <c r="G4275" s="26">
        <v>0</v>
      </c>
      <c r="H4275" s="10">
        <v>2026</v>
      </c>
    </row>
    <row r="4276" spans="1:8" hidden="1" x14ac:dyDescent="0.3">
      <c r="A4276" s="24" t="s">
        <v>68</v>
      </c>
      <c r="B4276" s="24" t="s">
        <v>188</v>
      </c>
      <c r="C4276" s="22">
        <v>3</v>
      </c>
      <c r="D4276" s="25">
        <v>0</v>
      </c>
      <c r="E4276" s="25">
        <v>339840</v>
      </c>
      <c r="F4276" s="25">
        <v>339840</v>
      </c>
      <c r="G4276" s="26">
        <v>0</v>
      </c>
      <c r="H4276" s="10">
        <v>2026</v>
      </c>
    </row>
    <row r="4277" spans="1:8" hidden="1" x14ac:dyDescent="0.3">
      <c r="A4277" s="24" t="s">
        <v>68</v>
      </c>
      <c r="B4277" s="24" t="s">
        <v>188</v>
      </c>
      <c r="C4277" s="22">
        <v>4</v>
      </c>
      <c r="D4277" s="25">
        <v>1430100</v>
      </c>
      <c r="E4277" s="25">
        <v>1466000</v>
      </c>
      <c r="F4277" s="25">
        <v>35900</v>
      </c>
      <c r="G4277" s="26">
        <v>1.0251031396405845</v>
      </c>
      <c r="H4277" s="10">
        <v>2026</v>
      </c>
    </row>
    <row r="4278" spans="1:8" hidden="1" x14ac:dyDescent="0.3">
      <c r="A4278" s="24" t="s">
        <v>43</v>
      </c>
      <c r="B4278" s="24" t="s">
        <v>189</v>
      </c>
      <c r="C4278" s="22">
        <v>1</v>
      </c>
      <c r="D4278" s="25">
        <v>217500</v>
      </c>
      <c r="E4278" s="25">
        <v>0</v>
      </c>
      <c r="F4278" s="25">
        <v>-217500</v>
      </c>
      <c r="G4278" s="26">
        <v>0</v>
      </c>
      <c r="H4278" s="10">
        <v>2026</v>
      </c>
    </row>
    <row r="4279" spans="1:8" hidden="1" x14ac:dyDescent="0.3">
      <c r="A4279" s="23" t="s">
        <v>43</v>
      </c>
      <c r="B4279" s="23" t="s">
        <v>189</v>
      </c>
      <c r="C4279" s="22">
        <v>2</v>
      </c>
      <c r="D4279" s="25">
        <v>217500</v>
      </c>
      <c r="E4279" s="25">
        <v>0</v>
      </c>
      <c r="F4279" s="25">
        <v>-217500</v>
      </c>
      <c r="G4279" s="26">
        <v>0</v>
      </c>
      <c r="H4279" s="10">
        <v>2026</v>
      </c>
    </row>
    <row r="4280" spans="1:8" hidden="1" x14ac:dyDescent="0.3">
      <c r="A4280" s="24" t="s">
        <v>43</v>
      </c>
      <c r="B4280" s="24" t="s">
        <v>189</v>
      </c>
      <c r="C4280" s="22">
        <v>3</v>
      </c>
      <c r="D4280" s="25">
        <v>217500</v>
      </c>
      <c r="E4280" s="25">
        <v>92853</v>
      </c>
      <c r="F4280" s="25">
        <v>-124647</v>
      </c>
      <c r="G4280" s="26">
        <v>0.42691034482758622</v>
      </c>
      <c r="H4280" s="10">
        <v>2026</v>
      </c>
    </row>
    <row r="4281" spans="1:8" hidden="1" x14ac:dyDescent="0.3">
      <c r="A4281" s="24" t="s">
        <v>43</v>
      </c>
      <c r="B4281" s="24" t="s">
        <v>189</v>
      </c>
      <c r="C4281" s="22">
        <v>4</v>
      </c>
      <c r="D4281" s="25">
        <v>217500</v>
      </c>
      <c r="E4281" s="25">
        <v>0</v>
      </c>
      <c r="F4281" s="25">
        <v>-217500</v>
      </c>
      <c r="G4281" s="26">
        <v>0</v>
      </c>
      <c r="H4281" s="10">
        <v>2026</v>
      </c>
    </row>
    <row r="4282" spans="1:8" hidden="1" x14ac:dyDescent="0.3">
      <c r="A4282" s="24" t="s">
        <v>68</v>
      </c>
      <c r="B4282" s="24" t="s">
        <v>189</v>
      </c>
      <c r="C4282" s="22">
        <v>1</v>
      </c>
      <c r="D4282" s="25">
        <v>580000</v>
      </c>
      <c r="E4282" s="25">
        <v>126148</v>
      </c>
      <c r="F4282" s="25">
        <v>-453852</v>
      </c>
      <c r="G4282" s="26">
        <v>0.21749655172413793</v>
      </c>
      <c r="H4282" s="10">
        <v>2026</v>
      </c>
    </row>
    <row r="4283" spans="1:8" hidden="1" x14ac:dyDescent="0.3">
      <c r="A4283" s="23" t="s">
        <v>68</v>
      </c>
      <c r="B4283" s="23" t="s">
        <v>189</v>
      </c>
      <c r="C4283" s="22">
        <v>2</v>
      </c>
      <c r="D4283" s="25">
        <v>580000</v>
      </c>
      <c r="E4283" s="25">
        <v>201319</v>
      </c>
      <c r="F4283" s="25">
        <v>-378681</v>
      </c>
      <c r="G4283" s="26">
        <v>0.34710172413793106</v>
      </c>
      <c r="H4283" s="10">
        <v>2026</v>
      </c>
    </row>
    <row r="4284" spans="1:8" hidden="1" x14ac:dyDescent="0.3">
      <c r="A4284" s="24" t="s">
        <v>68</v>
      </c>
      <c r="B4284" s="24" t="s">
        <v>189</v>
      </c>
      <c r="C4284" s="22">
        <v>3</v>
      </c>
      <c r="D4284" s="25">
        <v>580000</v>
      </c>
      <c r="E4284" s="25">
        <v>224358</v>
      </c>
      <c r="F4284" s="25">
        <v>-355642</v>
      </c>
      <c r="G4284" s="26">
        <v>0.38682413793103448</v>
      </c>
      <c r="H4284" s="10">
        <v>2026</v>
      </c>
    </row>
    <row r="4285" spans="1:8" hidden="1" x14ac:dyDescent="0.3">
      <c r="A4285" s="24" t="s">
        <v>68</v>
      </c>
      <c r="B4285" s="24" t="s">
        <v>189</v>
      </c>
      <c r="C4285" s="22">
        <v>4</v>
      </c>
      <c r="D4285" s="25">
        <v>580000</v>
      </c>
      <c r="E4285" s="25">
        <v>219917</v>
      </c>
      <c r="F4285" s="25">
        <v>-360083</v>
      </c>
      <c r="G4285" s="26">
        <v>0.37916724137931035</v>
      </c>
      <c r="H4285" s="10">
        <v>2026</v>
      </c>
    </row>
    <row r="4286" spans="1:8" hidden="1" x14ac:dyDescent="0.3">
      <c r="A4286" s="24" t="s">
        <v>43</v>
      </c>
      <c r="B4286" s="24" t="s">
        <v>191</v>
      </c>
      <c r="C4286" s="22">
        <v>1</v>
      </c>
      <c r="D4286" s="25">
        <v>113636</v>
      </c>
      <c r="E4286" s="25">
        <v>0</v>
      </c>
      <c r="F4286" s="25">
        <v>-113636</v>
      </c>
      <c r="G4286" s="26">
        <v>0</v>
      </c>
      <c r="H4286" s="10">
        <v>2026</v>
      </c>
    </row>
    <row r="4287" spans="1:8" hidden="1" x14ac:dyDescent="0.3">
      <c r="A4287" s="23" t="s">
        <v>43</v>
      </c>
      <c r="B4287" s="23" t="s">
        <v>191</v>
      </c>
      <c r="C4287" s="22">
        <v>2</v>
      </c>
      <c r="D4287" s="25">
        <v>113636</v>
      </c>
      <c r="E4287" s="25">
        <v>0</v>
      </c>
      <c r="F4287" s="25">
        <v>-113636</v>
      </c>
      <c r="G4287" s="26">
        <v>0</v>
      </c>
      <c r="H4287" s="10">
        <v>2026</v>
      </c>
    </row>
    <row r="4288" spans="1:8" hidden="1" x14ac:dyDescent="0.3">
      <c r="A4288" s="24" t="s">
        <v>43</v>
      </c>
      <c r="B4288" s="24" t="s">
        <v>191</v>
      </c>
      <c r="C4288" s="22">
        <v>3</v>
      </c>
      <c r="D4288" s="25">
        <v>113636</v>
      </c>
      <c r="E4288" s="25">
        <v>0</v>
      </c>
      <c r="F4288" s="25">
        <v>-113636</v>
      </c>
      <c r="G4288" s="26">
        <v>0</v>
      </c>
      <c r="H4288" s="10">
        <v>2026</v>
      </c>
    </row>
    <row r="4289" spans="1:8" hidden="1" x14ac:dyDescent="0.3">
      <c r="A4289" s="24" t="s">
        <v>43</v>
      </c>
      <c r="B4289" s="24" t="s">
        <v>191</v>
      </c>
      <c r="C4289" s="22">
        <v>4</v>
      </c>
      <c r="D4289" s="25">
        <v>113636</v>
      </c>
      <c r="E4289" s="25">
        <v>0</v>
      </c>
      <c r="F4289" s="25">
        <v>-113636</v>
      </c>
      <c r="G4289" s="26">
        <v>0</v>
      </c>
      <c r="H4289" s="10">
        <v>2026</v>
      </c>
    </row>
    <row r="4290" spans="1:8" hidden="1" x14ac:dyDescent="0.3">
      <c r="A4290" s="24" t="s">
        <v>68</v>
      </c>
      <c r="B4290" s="24" t="s">
        <v>191</v>
      </c>
      <c r="C4290" s="22">
        <v>1</v>
      </c>
      <c r="D4290" s="25">
        <v>113636</v>
      </c>
      <c r="E4290" s="25">
        <v>0</v>
      </c>
      <c r="F4290" s="25">
        <v>-113636</v>
      </c>
      <c r="G4290" s="26">
        <v>0</v>
      </c>
      <c r="H4290" s="10">
        <v>2026</v>
      </c>
    </row>
    <row r="4291" spans="1:8" hidden="1" x14ac:dyDescent="0.3">
      <c r="A4291" s="23" t="s">
        <v>68</v>
      </c>
      <c r="B4291" s="23" t="s">
        <v>191</v>
      </c>
      <c r="C4291" s="22">
        <v>2</v>
      </c>
      <c r="D4291" s="25">
        <v>113636</v>
      </c>
      <c r="E4291" s="25">
        <v>0</v>
      </c>
      <c r="F4291" s="25">
        <v>-113636</v>
      </c>
      <c r="G4291" s="26">
        <v>0</v>
      </c>
      <c r="H4291" s="10">
        <v>2026</v>
      </c>
    </row>
    <row r="4292" spans="1:8" hidden="1" x14ac:dyDescent="0.3">
      <c r="A4292" s="24" t="s">
        <v>68</v>
      </c>
      <c r="B4292" s="24" t="s">
        <v>191</v>
      </c>
      <c r="C4292" s="22">
        <v>3</v>
      </c>
      <c r="D4292" s="25">
        <v>113636</v>
      </c>
      <c r="E4292" s="25">
        <v>0</v>
      </c>
      <c r="F4292" s="25">
        <v>-113636</v>
      </c>
      <c r="G4292" s="26">
        <v>0</v>
      </c>
      <c r="H4292" s="10">
        <v>2026</v>
      </c>
    </row>
    <row r="4293" spans="1:8" hidden="1" x14ac:dyDescent="0.3">
      <c r="A4293" s="24" t="s">
        <v>68</v>
      </c>
      <c r="B4293" s="24" t="s">
        <v>191</v>
      </c>
      <c r="C4293" s="22">
        <v>4</v>
      </c>
      <c r="D4293" s="25">
        <v>113636</v>
      </c>
      <c r="E4293" s="25">
        <v>0</v>
      </c>
      <c r="F4293" s="25">
        <v>-113636</v>
      </c>
      <c r="G4293" s="26">
        <v>0</v>
      </c>
      <c r="H4293" s="10">
        <v>2026</v>
      </c>
    </row>
    <row r="4294" spans="1:8" hidden="1" x14ac:dyDescent="0.3">
      <c r="A4294" s="24" t="s">
        <v>43</v>
      </c>
      <c r="B4294" s="24" t="s">
        <v>192</v>
      </c>
      <c r="C4294" s="22">
        <v>1</v>
      </c>
      <c r="D4294" s="25">
        <v>660262</v>
      </c>
      <c r="E4294" s="25">
        <v>951500</v>
      </c>
      <c r="F4294" s="25">
        <v>291238</v>
      </c>
      <c r="G4294" s="26">
        <v>1.4410945957816745</v>
      </c>
      <c r="H4294" s="10">
        <v>2026</v>
      </c>
    </row>
    <row r="4295" spans="1:8" hidden="1" x14ac:dyDescent="0.3">
      <c r="A4295" s="23" t="s">
        <v>43</v>
      </c>
      <c r="B4295" s="23" t="s">
        <v>192</v>
      </c>
      <c r="C4295" s="22">
        <v>2</v>
      </c>
      <c r="D4295" s="25">
        <v>611601</v>
      </c>
      <c r="E4295" s="25">
        <v>958672</v>
      </c>
      <c r="F4295" s="25">
        <v>347071</v>
      </c>
      <c r="G4295" s="26">
        <v>1.567479451472447</v>
      </c>
      <c r="H4295" s="10">
        <v>2026</v>
      </c>
    </row>
    <row r="4296" spans="1:8" hidden="1" x14ac:dyDescent="0.3">
      <c r="A4296" s="24" t="s">
        <v>43</v>
      </c>
      <c r="B4296" s="24" t="s">
        <v>192</v>
      </c>
      <c r="C4296" s="22">
        <v>3</v>
      </c>
      <c r="D4296" s="25">
        <v>636350</v>
      </c>
      <c r="E4296" s="25">
        <v>1090400</v>
      </c>
      <c r="F4296" s="25">
        <v>454050</v>
      </c>
      <c r="G4296" s="26">
        <v>1.7135224326235563</v>
      </c>
      <c r="H4296" s="10">
        <v>2026</v>
      </c>
    </row>
    <row r="4297" spans="1:8" hidden="1" x14ac:dyDescent="0.3">
      <c r="A4297" s="24" t="s">
        <v>43</v>
      </c>
      <c r="B4297" s="24" t="s">
        <v>192</v>
      </c>
      <c r="C4297" s="22">
        <v>4</v>
      </c>
      <c r="D4297" s="25">
        <v>724550</v>
      </c>
      <c r="E4297" s="25">
        <v>493500</v>
      </c>
      <c r="F4297" s="25">
        <v>-231050</v>
      </c>
      <c r="G4297" s="26">
        <v>0.68111241460216687</v>
      </c>
      <c r="H4297" s="10">
        <v>2026</v>
      </c>
    </row>
    <row r="4298" spans="1:8" hidden="1" x14ac:dyDescent="0.3">
      <c r="A4298" s="24" t="s">
        <v>68</v>
      </c>
      <c r="B4298" s="24" t="s">
        <v>192</v>
      </c>
      <c r="C4298" s="22">
        <v>1</v>
      </c>
      <c r="D4298" s="25">
        <v>277408</v>
      </c>
      <c r="E4298" s="25">
        <v>280900</v>
      </c>
      <c r="F4298" s="25">
        <v>3492</v>
      </c>
      <c r="G4298" s="26">
        <v>1.0125879570884762</v>
      </c>
      <c r="H4298" s="10">
        <v>2026</v>
      </c>
    </row>
    <row r="4299" spans="1:8" hidden="1" x14ac:dyDescent="0.3">
      <c r="A4299" s="23" t="s">
        <v>68</v>
      </c>
      <c r="B4299" s="23" t="s">
        <v>192</v>
      </c>
      <c r="C4299" s="22">
        <v>2</v>
      </c>
      <c r="D4299" s="25">
        <v>269505</v>
      </c>
      <c r="E4299" s="25">
        <v>311550</v>
      </c>
      <c r="F4299" s="25">
        <v>42045</v>
      </c>
      <c r="G4299" s="26">
        <v>1.1560082373239828</v>
      </c>
      <c r="H4299" s="10">
        <v>2026</v>
      </c>
    </row>
    <row r="4300" spans="1:8" hidden="1" x14ac:dyDescent="0.3">
      <c r="A4300" s="24" t="s">
        <v>68</v>
      </c>
      <c r="B4300" s="24" t="s">
        <v>192</v>
      </c>
      <c r="C4300" s="22">
        <v>3</v>
      </c>
      <c r="D4300" s="25">
        <v>333660</v>
      </c>
      <c r="E4300" s="25">
        <v>347400</v>
      </c>
      <c r="F4300" s="25">
        <v>13740</v>
      </c>
      <c r="G4300" s="26">
        <v>1.04117964394893</v>
      </c>
      <c r="H4300" s="10">
        <v>2026</v>
      </c>
    </row>
    <row r="4301" spans="1:8" hidden="1" x14ac:dyDescent="0.3">
      <c r="A4301" s="24" t="s">
        <v>68</v>
      </c>
      <c r="B4301" s="24" t="s">
        <v>192</v>
      </c>
      <c r="C4301" s="22">
        <v>4</v>
      </c>
      <c r="D4301" s="25">
        <v>226590</v>
      </c>
      <c r="E4301" s="25">
        <v>214750</v>
      </c>
      <c r="F4301" s="25">
        <v>-11840</v>
      </c>
      <c r="G4301" s="26">
        <v>0.94774703208438149</v>
      </c>
      <c r="H4301" s="10">
        <v>2026</v>
      </c>
    </row>
    <row r="4302" spans="1:8" hidden="1" x14ac:dyDescent="0.3">
      <c r="A4302" s="24" t="s">
        <v>43</v>
      </c>
      <c r="B4302" s="24" t="s">
        <v>193</v>
      </c>
      <c r="C4302" s="22">
        <v>1</v>
      </c>
      <c r="D4302" s="25">
        <v>2276012</v>
      </c>
      <c r="E4302" s="25">
        <v>1131400</v>
      </c>
      <c r="F4302" s="25">
        <v>-1144612</v>
      </c>
      <c r="G4302" s="26">
        <v>0.49709755484593227</v>
      </c>
      <c r="H4302" s="10">
        <v>2026</v>
      </c>
    </row>
    <row r="4303" spans="1:8" hidden="1" x14ac:dyDescent="0.3">
      <c r="A4303" s="23" t="s">
        <v>43</v>
      </c>
      <c r="B4303" s="23" t="s">
        <v>193</v>
      </c>
      <c r="C4303" s="22">
        <v>2</v>
      </c>
      <c r="D4303" s="25">
        <v>2108273</v>
      </c>
      <c r="E4303" s="25">
        <v>3395200</v>
      </c>
      <c r="F4303" s="25">
        <v>1286927</v>
      </c>
      <c r="G4303" s="26">
        <v>1.6104176261802907</v>
      </c>
      <c r="H4303" s="10">
        <v>2026</v>
      </c>
    </row>
    <row r="4304" spans="1:8" hidden="1" x14ac:dyDescent="0.3">
      <c r="A4304" s="24" t="s">
        <v>43</v>
      </c>
      <c r="B4304" s="24" t="s">
        <v>193</v>
      </c>
      <c r="C4304" s="22">
        <v>3</v>
      </c>
      <c r="D4304" s="25">
        <v>2193584</v>
      </c>
      <c r="E4304" s="25">
        <v>1944400</v>
      </c>
      <c r="F4304" s="25">
        <v>-249184</v>
      </c>
      <c r="G4304" s="26">
        <v>0.88640325604125492</v>
      </c>
      <c r="H4304" s="10">
        <v>2026</v>
      </c>
    </row>
    <row r="4305" spans="1:8" hidden="1" x14ac:dyDescent="0.3">
      <c r="A4305" s="24" t="s">
        <v>43</v>
      </c>
      <c r="B4305" s="24" t="s">
        <v>193</v>
      </c>
      <c r="C4305" s="22">
        <v>4</v>
      </c>
      <c r="D4305" s="25">
        <v>2497621</v>
      </c>
      <c r="E4305" s="25">
        <v>1770500</v>
      </c>
      <c r="F4305" s="25">
        <v>-727121</v>
      </c>
      <c r="G4305" s="26">
        <v>0.70887456503608837</v>
      </c>
      <c r="H4305" s="10">
        <v>2026</v>
      </c>
    </row>
    <row r="4306" spans="1:8" hidden="1" x14ac:dyDescent="0.3">
      <c r="A4306" s="24" t="s">
        <v>68</v>
      </c>
      <c r="B4306" s="24" t="s">
        <v>193</v>
      </c>
      <c r="C4306" s="22">
        <v>4</v>
      </c>
      <c r="D4306" s="25">
        <v>0</v>
      </c>
      <c r="E4306" s="25">
        <v>-400</v>
      </c>
      <c r="F4306" s="25">
        <v>-400</v>
      </c>
      <c r="G4306" s="26">
        <v>0</v>
      </c>
      <c r="H4306" s="10">
        <v>2026</v>
      </c>
    </row>
    <row r="4307" spans="1:8" hidden="1" x14ac:dyDescent="0.3">
      <c r="A4307" s="23" t="s">
        <v>43</v>
      </c>
      <c r="B4307" s="23" t="s">
        <v>194</v>
      </c>
      <c r="C4307" s="22">
        <v>1</v>
      </c>
      <c r="D4307" s="25">
        <v>7375815</v>
      </c>
      <c r="E4307" s="25">
        <v>5329400</v>
      </c>
      <c r="F4307" s="25">
        <v>-2046415</v>
      </c>
      <c r="G4307" s="26">
        <v>0.72255066050327998</v>
      </c>
      <c r="H4307" s="10">
        <v>2026</v>
      </c>
    </row>
    <row r="4308" spans="1:8" hidden="1" x14ac:dyDescent="0.3">
      <c r="A4308" s="24" t="s">
        <v>43</v>
      </c>
      <c r="B4308" s="24" t="s">
        <v>194</v>
      </c>
      <c r="C4308" s="22">
        <v>2</v>
      </c>
      <c r="D4308" s="25">
        <v>6832227</v>
      </c>
      <c r="E4308" s="25">
        <v>6920763</v>
      </c>
      <c r="F4308" s="25">
        <v>88536</v>
      </c>
      <c r="G4308" s="26">
        <v>1.0129585858315304</v>
      </c>
      <c r="H4308" s="10">
        <v>2026</v>
      </c>
    </row>
    <row r="4309" spans="1:8" hidden="1" x14ac:dyDescent="0.3">
      <c r="A4309" s="24" t="s">
        <v>43</v>
      </c>
      <c r="B4309" s="24" t="s">
        <v>194</v>
      </c>
      <c r="C4309" s="22">
        <v>3</v>
      </c>
      <c r="D4309" s="25">
        <v>7108693</v>
      </c>
      <c r="E4309" s="25">
        <v>6295400</v>
      </c>
      <c r="F4309" s="25">
        <v>-813293</v>
      </c>
      <c r="G4309" s="26">
        <v>0.88559176771313664</v>
      </c>
      <c r="H4309" s="10">
        <v>2026</v>
      </c>
    </row>
    <row r="4310" spans="1:8" hidden="1" x14ac:dyDescent="0.3">
      <c r="A4310" s="24" t="s">
        <v>43</v>
      </c>
      <c r="B4310" s="24" t="s">
        <v>194</v>
      </c>
      <c r="C4310" s="22">
        <v>4</v>
      </c>
      <c r="D4310" s="25">
        <v>8093978</v>
      </c>
      <c r="E4310" s="25">
        <v>7033300</v>
      </c>
      <c r="F4310" s="25">
        <v>-1060678</v>
      </c>
      <c r="G4310" s="26">
        <v>0.8689546722266851</v>
      </c>
      <c r="H4310" s="10">
        <v>2026</v>
      </c>
    </row>
    <row r="4311" spans="1:8" hidden="1" x14ac:dyDescent="0.3">
      <c r="A4311" s="23" t="s">
        <v>68</v>
      </c>
      <c r="B4311" s="23" t="s">
        <v>194</v>
      </c>
      <c r="C4311" s="22">
        <v>1</v>
      </c>
      <c r="D4311" s="25">
        <v>1331562</v>
      </c>
      <c r="E4311" s="25">
        <v>1362300</v>
      </c>
      <c r="F4311" s="25">
        <v>30738</v>
      </c>
      <c r="G4311" s="26">
        <v>1.0230841673162798</v>
      </c>
      <c r="H4311" s="10">
        <v>2026</v>
      </c>
    </row>
    <row r="4312" spans="1:8" hidden="1" x14ac:dyDescent="0.3">
      <c r="A4312" s="24" t="s">
        <v>68</v>
      </c>
      <c r="B4312" s="24" t="s">
        <v>194</v>
      </c>
      <c r="C4312" s="22">
        <v>2</v>
      </c>
      <c r="D4312" s="25">
        <v>1293628</v>
      </c>
      <c r="E4312" s="25">
        <v>1364400</v>
      </c>
      <c r="F4312" s="25">
        <v>70772</v>
      </c>
      <c r="G4312" s="26">
        <v>1.0547081541215868</v>
      </c>
      <c r="H4312" s="10">
        <v>2026</v>
      </c>
    </row>
    <row r="4313" spans="1:8" hidden="1" x14ac:dyDescent="0.3">
      <c r="A4313" s="24" t="s">
        <v>68</v>
      </c>
      <c r="B4313" s="24" t="s">
        <v>194</v>
      </c>
      <c r="C4313" s="22">
        <v>3</v>
      </c>
      <c r="D4313" s="25">
        <v>1601570</v>
      </c>
      <c r="E4313" s="25">
        <v>1578700</v>
      </c>
      <c r="F4313" s="25">
        <v>-22870</v>
      </c>
      <c r="G4313" s="26">
        <v>0.9857202619929194</v>
      </c>
      <c r="H4313" s="10">
        <v>2026</v>
      </c>
    </row>
    <row r="4314" spans="1:8" hidden="1" x14ac:dyDescent="0.3">
      <c r="A4314" s="24" t="s">
        <v>68</v>
      </c>
      <c r="B4314" s="24" t="s">
        <v>194</v>
      </c>
      <c r="C4314" s="22">
        <v>4</v>
      </c>
      <c r="D4314" s="25">
        <v>1087633</v>
      </c>
      <c r="E4314" s="25">
        <v>1096250</v>
      </c>
      <c r="F4314" s="25">
        <v>8617</v>
      </c>
      <c r="G4314" s="26">
        <v>1.0079227092226881</v>
      </c>
      <c r="H4314" s="10">
        <v>2026</v>
      </c>
    </row>
    <row r="4315" spans="1:8" hidden="1" x14ac:dyDescent="0.3">
      <c r="A4315" s="23" t="s">
        <v>43</v>
      </c>
      <c r="B4315" s="23" t="s">
        <v>195</v>
      </c>
      <c r="C4315" s="22">
        <v>1</v>
      </c>
      <c r="D4315" s="25">
        <v>2458605</v>
      </c>
      <c r="E4315" s="25">
        <v>2006000</v>
      </c>
      <c r="F4315" s="25">
        <v>-452605</v>
      </c>
      <c r="G4315" s="26">
        <v>0.81590983504873704</v>
      </c>
      <c r="H4315" s="10">
        <v>2026</v>
      </c>
    </row>
    <row r="4316" spans="1:8" hidden="1" x14ac:dyDescent="0.3">
      <c r="A4316" s="24" t="s">
        <v>43</v>
      </c>
      <c r="B4316" s="24" t="s">
        <v>195</v>
      </c>
      <c r="C4316" s="22">
        <v>2</v>
      </c>
      <c r="D4316" s="25">
        <v>2277409</v>
      </c>
      <c r="E4316" s="25">
        <v>2456474</v>
      </c>
      <c r="F4316" s="25">
        <v>179065</v>
      </c>
      <c r="G4316" s="26">
        <v>1.0786266322825633</v>
      </c>
      <c r="H4316" s="10">
        <v>2026</v>
      </c>
    </row>
    <row r="4317" spans="1:8" hidden="1" x14ac:dyDescent="0.3">
      <c r="A4317" s="24" t="s">
        <v>43</v>
      </c>
      <c r="B4317" s="24" t="s">
        <v>195</v>
      </c>
      <c r="C4317" s="22">
        <v>3</v>
      </c>
      <c r="D4317" s="25">
        <v>2369564</v>
      </c>
      <c r="E4317" s="25">
        <v>2180200</v>
      </c>
      <c r="F4317" s="25">
        <v>-189364</v>
      </c>
      <c r="G4317" s="26">
        <v>0.92008487637388148</v>
      </c>
      <c r="H4317" s="10">
        <v>2026</v>
      </c>
    </row>
    <row r="4318" spans="1:8" hidden="1" x14ac:dyDescent="0.3">
      <c r="A4318" s="24" t="s">
        <v>43</v>
      </c>
      <c r="B4318" s="24" t="s">
        <v>195</v>
      </c>
      <c r="C4318" s="22">
        <v>4</v>
      </c>
      <c r="D4318" s="25">
        <v>2697992</v>
      </c>
      <c r="E4318" s="25">
        <v>2344500</v>
      </c>
      <c r="F4318" s="25">
        <v>-353492</v>
      </c>
      <c r="G4318" s="26">
        <v>0.86897959667782554</v>
      </c>
      <c r="H4318" s="10">
        <v>2026</v>
      </c>
    </row>
    <row r="4319" spans="1:8" hidden="1" x14ac:dyDescent="0.3">
      <c r="A4319" s="23" t="s">
        <v>68</v>
      </c>
      <c r="B4319" s="23" t="s">
        <v>195</v>
      </c>
      <c r="C4319" s="22">
        <v>1</v>
      </c>
      <c r="D4319" s="25">
        <v>443854</v>
      </c>
      <c r="E4319" s="25">
        <v>449400</v>
      </c>
      <c r="F4319" s="25">
        <v>5546</v>
      </c>
      <c r="G4319" s="26">
        <v>1.0124950997400046</v>
      </c>
      <c r="H4319" s="10">
        <v>2026</v>
      </c>
    </row>
    <row r="4320" spans="1:8" hidden="1" x14ac:dyDescent="0.3">
      <c r="A4320" s="24" t="s">
        <v>68</v>
      </c>
      <c r="B4320" s="24" t="s">
        <v>195</v>
      </c>
      <c r="C4320" s="22">
        <v>2</v>
      </c>
      <c r="D4320" s="25">
        <v>431209</v>
      </c>
      <c r="E4320" s="25">
        <v>450350</v>
      </c>
      <c r="F4320" s="25">
        <v>19141</v>
      </c>
      <c r="G4320" s="26">
        <v>1.0443891477218703</v>
      </c>
      <c r="H4320" s="10">
        <v>2026</v>
      </c>
    </row>
    <row r="4321" spans="1:8" hidden="1" x14ac:dyDescent="0.3">
      <c r="A4321" s="24" t="s">
        <v>68</v>
      </c>
      <c r="B4321" s="24" t="s">
        <v>195</v>
      </c>
      <c r="C4321" s="22">
        <v>3</v>
      </c>
      <c r="D4321" s="25">
        <v>533856</v>
      </c>
      <c r="E4321" s="25">
        <v>514000</v>
      </c>
      <c r="F4321" s="25">
        <v>-19856</v>
      </c>
      <c r="G4321" s="26">
        <v>0.96280644967931428</v>
      </c>
      <c r="H4321" s="10">
        <v>2026</v>
      </c>
    </row>
    <row r="4322" spans="1:8" hidden="1" x14ac:dyDescent="0.3">
      <c r="A4322" s="24" t="s">
        <v>68</v>
      </c>
      <c r="B4322" s="24" t="s">
        <v>195</v>
      </c>
      <c r="C4322" s="22">
        <v>4</v>
      </c>
      <c r="D4322" s="25">
        <v>362544</v>
      </c>
      <c r="E4322" s="25">
        <v>388550</v>
      </c>
      <c r="F4322" s="25">
        <v>26006</v>
      </c>
      <c r="G4322" s="26">
        <v>1.0717319828765612</v>
      </c>
      <c r="H4322" s="10">
        <v>2026</v>
      </c>
    </row>
    <row r="4323" spans="1:8" hidden="1" x14ac:dyDescent="0.3">
      <c r="A4323" s="23" t="s">
        <v>43</v>
      </c>
      <c r="B4323" s="23" t="s">
        <v>196</v>
      </c>
      <c r="C4323" s="22">
        <v>1</v>
      </c>
      <c r="D4323" s="25">
        <v>799065</v>
      </c>
      <c r="E4323" s="25">
        <v>642900</v>
      </c>
      <c r="F4323" s="25">
        <v>-156165</v>
      </c>
      <c r="G4323" s="26">
        <v>0.80456533573614164</v>
      </c>
      <c r="H4323" s="10">
        <v>2026</v>
      </c>
    </row>
    <row r="4324" spans="1:8" hidden="1" x14ac:dyDescent="0.3">
      <c r="A4324" s="24" t="s">
        <v>43</v>
      </c>
      <c r="B4324" s="24" t="s">
        <v>196</v>
      </c>
      <c r="C4324" s="22">
        <v>2</v>
      </c>
      <c r="D4324" s="25">
        <v>740175</v>
      </c>
      <c r="E4324" s="25">
        <v>1248233</v>
      </c>
      <c r="F4324" s="25">
        <v>508058</v>
      </c>
      <c r="G4324" s="26">
        <v>1.686402539939879</v>
      </c>
      <c r="H4324" s="10">
        <v>2026</v>
      </c>
    </row>
    <row r="4325" spans="1:8" hidden="1" x14ac:dyDescent="0.3">
      <c r="A4325" s="24" t="s">
        <v>43</v>
      </c>
      <c r="B4325" s="24" t="s">
        <v>196</v>
      </c>
      <c r="C4325" s="22">
        <v>3</v>
      </c>
      <c r="D4325" s="25">
        <v>770127</v>
      </c>
      <c r="E4325" s="25">
        <v>686200</v>
      </c>
      <c r="F4325" s="25">
        <v>-83927</v>
      </c>
      <c r="G4325" s="26">
        <v>0.89102187041877512</v>
      </c>
      <c r="H4325" s="10">
        <v>2026</v>
      </c>
    </row>
    <row r="4326" spans="1:8" hidden="1" x14ac:dyDescent="0.3">
      <c r="A4326" s="24" t="s">
        <v>43</v>
      </c>
      <c r="B4326" s="24" t="s">
        <v>196</v>
      </c>
      <c r="C4326" s="22">
        <v>4</v>
      </c>
      <c r="D4326" s="25">
        <v>876868</v>
      </c>
      <c r="E4326" s="25">
        <v>756400</v>
      </c>
      <c r="F4326" s="25">
        <v>-120468</v>
      </c>
      <c r="G4326" s="26">
        <v>0.86261558182075304</v>
      </c>
      <c r="H4326" s="10">
        <v>2026</v>
      </c>
    </row>
    <row r="4327" spans="1:8" hidden="1" x14ac:dyDescent="0.3">
      <c r="A4327" s="23" t="s">
        <v>43</v>
      </c>
      <c r="B4327" s="23" t="s">
        <v>197</v>
      </c>
      <c r="C4327" s="22">
        <v>1</v>
      </c>
      <c r="D4327" s="25">
        <v>532774</v>
      </c>
      <c r="E4327" s="25">
        <v>428500</v>
      </c>
      <c r="F4327" s="25">
        <v>-104274</v>
      </c>
      <c r="G4327" s="26">
        <v>0.80428098968793527</v>
      </c>
      <c r="H4327" s="10">
        <v>2026</v>
      </c>
    </row>
    <row r="4328" spans="1:8" hidden="1" x14ac:dyDescent="0.3">
      <c r="A4328" s="24" t="s">
        <v>43</v>
      </c>
      <c r="B4328" s="24" t="s">
        <v>197</v>
      </c>
      <c r="C4328" s="22">
        <v>2</v>
      </c>
      <c r="D4328" s="25">
        <v>493509</v>
      </c>
      <c r="E4328" s="25">
        <v>832160</v>
      </c>
      <c r="F4328" s="25">
        <v>338651</v>
      </c>
      <c r="G4328" s="26">
        <v>1.6862103831946329</v>
      </c>
      <c r="H4328" s="10">
        <v>2026</v>
      </c>
    </row>
    <row r="4329" spans="1:8" hidden="1" x14ac:dyDescent="0.3">
      <c r="A4329" s="24" t="s">
        <v>43</v>
      </c>
      <c r="B4329" s="24" t="s">
        <v>197</v>
      </c>
      <c r="C4329" s="22">
        <v>3</v>
      </c>
      <c r="D4329" s="25">
        <v>513479</v>
      </c>
      <c r="E4329" s="25">
        <v>457500</v>
      </c>
      <c r="F4329" s="25">
        <v>-55979</v>
      </c>
      <c r="G4329" s="26">
        <v>0.89098093592922012</v>
      </c>
      <c r="H4329" s="10">
        <v>2026</v>
      </c>
    </row>
    <row r="4330" spans="1:8" hidden="1" x14ac:dyDescent="0.3">
      <c r="A4330" s="24" t="s">
        <v>43</v>
      </c>
      <c r="B4330" s="24" t="s">
        <v>197</v>
      </c>
      <c r="C4330" s="22">
        <v>4</v>
      </c>
      <c r="D4330" s="25">
        <v>584649</v>
      </c>
      <c r="E4330" s="25">
        <v>504300</v>
      </c>
      <c r="F4330" s="25">
        <v>-80349</v>
      </c>
      <c r="G4330" s="26">
        <v>0.86256882334528928</v>
      </c>
      <c r="H4330" s="10">
        <v>2026</v>
      </c>
    </row>
    <row r="4331" spans="1:8" hidden="1" x14ac:dyDescent="0.3">
      <c r="A4331" s="23" t="s">
        <v>77</v>
      </c>
      <c r="B4331" s="24" t="s">
        <v>199</v>
      </c>
      <c r="C4331" s="22">
        <v>1</v>
      </c>
      <c r="D4331" s="25">
        <v>78000</v>
      </c>
      <c r="E4331" s="25">
        <v>263831</v>
      </c>
      <c r="F4331" s="25">
        <v>185831</v>
      </c>
      <c r="G4331" s="26">
        <v>3.3824487179487179</v>
      </c>
      <c r="H4331" s="10">
        <v>2026</v>
      </c>
    </row>
    <row r="4332" spans="1:8" hidden="1" x14ac:dyDescent="0.3">
      <c r="A4332" s="23" t="s">
        <v>77</v>
      </c>
      <c r="B4332" s="24" t="s">
        <v>199</v>
      </c>
      <c r="C4332" s="22">
        <v>2</v>
      </c>
      <c r="D4332" s="25">
        <v>78000</v>
      </c>
      <c r="E4332" s="25">
        <v>81500</v>
      </c>
      <c r="F4332" s="25">
        <v>3500</v>
      </c>
      <c r="G4332" s="26">
        <v>1.0448717948717949</v>
      </c>
      <c r="H4332" s="10">
        <v>2026</v>
      </c>
    </row>
    <row r="4333" spans="1:8" hidden="1" x14ac:dyDescent="0.3">
      <c r="A4333" s="23" t="s">
        <v>77</v>
      </c>
      <c r="B4333" s="24" t="s">
        <v>199</v>
      </c>
      <c r="C4333" s="22">
        <v>3</v>
      </c>
      <c r="D4333" s="25">
        <v>78000</v>
      </c>
      <c r="E4333" s="25">
        <v>0</v>
      </c>
      <c r="F4333" s="25">
        <v>-78000</v>
      </c>
      <c r="G4333" s="26">
        <v>0</v>
      </c>
      <c r="H4333" s="10">
        <v>2026</v>
      </c>
    </row>
    <row r="4334" spans="1:8" hidden="1" x14ac:dyDescent="0.3">
      <c r="A4334" s="23" t="s">
        <v>77</v>
      </c>
      <c r="B4334" s="23" t="s">
        <v>199</v>
      </c>
      <c r="C4334" s="22">
        <v>4</v>
      </c>
      <c r="D4334" s="25">
        <v>78000</v>
      </c>
      <c r="E4334" s="25">
        <v>0</v>
      </c>
      <c r="F4334" s="25">
        <v>-78000</v>
      </c>
      <c r="G4334" s="26">
        <v>0</v>
      </c>
      <c r="H4334" s="10">
        <v>2026</v>
      </c>
    </row>
    <row r="4335" spans="1:8" hidden="1" x14ac:dyDescent="0.3">
      <c r="A4335" s="23" t="s">
        <v>253</v>
      </c>
      <c r="B4335" s="24" t="s">
        <v>199</v>
      </c>
      <c r="C4335" s="22">
        <v>1</v>
      </c>
      <c r="D4335" s="25">
        <v>42168</v>
      </c>
      <c r="E4335" s="25">
        <v>328000</v>
      </c>
      <c r="F4335" s="25">
        <v>285832</v>
      </c>
      <c r="G4335" s="26">
        <v>7.7784101688484162</v>
      </c>
      <c r="H4335" s="10">
        <v>2026</v>
      </c>
    </row>
    <row r="4336" spans="1:8" hidden="1" x14ac:dyDescent="0.3">
      <c r="A4336" s="23" t="s">
        <v>253</v>
      </c>
      <c r="B4336" s="24" t="s">
        <v>199</v>
      </c>
      <c r="C4336" s="22">
        <v>2</v>
      </c>
      <c r="D4336" s="25">
        <v>42168</v>
      </c>
      <c r="E4336" s="25">
        <v>108000</v>
      </c>
      <c r="F4336" s="25">
        <v>65832</v>
      </c>
      <c r="G4336" s="26">
        <v>2.5611838360842345</v>
      </c>
      <c r="H4336" s="10">
        <v>2026</v>
      </c>
    </row>
    <row r="4337" spans="1:8" hidden="1" x14ac:dyDescent="0.3">
      <c r="A4337" s="23" t="s">
        <v>253</v>
      </c>
      <c r="B4337" s="23" t="s">
        <v>199</v>
      </c>
      <c r="C4337" s="22">
        <v>3</v>
      </c>
      <c r="D4337" s="25">
        <v>42168</v>
      </c>
      <c r="E4337" s="25">
        <v>0</v>
      </c>
      <c r="F4337" s="25">
        <v>-42168</v>
      </c>
      <c r="G4337" s="26">
        <v>0</v>
      </c>
      <c r="H4337" s="10">
        <v>2026</v>
      </c>
    </row>
    <row r="4338" spans="1:8" hidden="1" x14ac:dyDescent="0.3">
      <c r="A4338" s="23" t="s">
        <v>253</v>
      </c>
      <c r="B4338" s="24" t="s">
        <v>199</v>
      </c>
      <c r="C4338" s="22">
        <v>4</v>
      </c>
      <c r="D4338" s="25">
        <v>42168</v>
      </c>
      <c r="E4338" s="25">
        <v>41800</v>
      </c>
      <c r="F4338" s="25">
        <v>-368</v>
      </c>
      <c r="G4338" s="26">
        <v>0.99127300322519452</v>
      </c>
      <c r="H4338" s="10">
        <v>2026</v>
      </c>
    </row>
    <row r="4339" spans="1:8" hidden="1" x14ac:dyDescent="0.3">
      <c r="A4339" s="24" t="s">
        <v>103</v>
      </c>
      <c r="B4339" s="24" t="s">
        <v>199</v>
      </c>
      <c r="C4339" s="22">
        <v>1</v>
      </c>
      <c r="D4339" s="25">
        <v>0</v>
      </c>
      <c r="E4339" s="25">
        <v>82000</v>
      </c>
      <c r="F4339" s="25">
        <v>82000</v>
      </c>
      <c r="G4339" s="26">
        <v>0</v>
      </c>
      <c r="H4339" s="10">
        <v>2026</v>
      </c>
    </row>
    <row r="4340" spans="1:8" hidden="1" x14ac:dyDescent="0.3">
      <c r="A4340" s="24" t="s">
        <v>103</v>
      </c>
      <c r="B4340" s="24" t="s">
        <v>199</v>
      </c>
      <c r="C4340" s="22">
        <v>2</v>
      </c>
      <c r="D4340" s="25">
        <v>0</v>
      </c>
      <c r="E4340" s="25">
        <v>0</v>
      </c>
      <c r="F4340" s="25">
        <v>0</v>
      </c>
      <c r="G4340" s="26">
        <v>0</v>
      </c>
      <c r="H4340" s="10">
        <v>2026</v>
      </c>
    </row>
    <row r="4341" spans="1:8" hidden="1" x14ac:dyDescent="0.3">
      <c r="A4341" s="21" t="s">
        <v>103</v>
      </c>
      <c r="B4341" s="21" t="s">
        <v>199</v>
      </c>
      <c r="C4341" s="22">
        <v>3</v>
      </c>
      <c r="D4341" s="25">
        <v>0</v>
      </c>
      <c r="E4341" s="25">
        <v>0</v>
      </c>
      <c r="F4341" s="25">
        <v>0</v>
      </c>
      <c r="G4341" s="26">
        <v>0</v>
      </c>
      <c r="H4341" s="10">
        <v>2026</v>
      </c>
    </row>
    <row r="4342" spans="1:8" hidden="1" x14ac:dyDescent="0.3">
      <c r="A4342" s="23" t="s">
        <v>103</v>
      </c>
      <c r="B4342" s="23" t="s">
        <v>199</v>
      </c>
      <c r="C4342" s="22">
        <v>4</v>
      </c>
      <c r="D4342" s="25">
        <v>0</v>
      </c>
      <c r="E4342" s="25">
        <v>0</v>
      </c>
      <c r="F4342" s="25">
        <v>0</v>
      </c>
      <c r="G4342" s="26">
        <v>0</v>
      </c>
      <c r="H4342" s="10">
        <v>2026</v>
      </c>
    </row>
    <row r="4343" spans="1:8" hidden="1" x14ac:dyDescent="0.3">
      <c r="A4343" s="23" t="s">
        <v>252</v>
      </c>
      <c r="B4343" s="24" t="s">
        <v>199</v>
      </c>
      <c r="C4343" s="22">
        <v>1</v>
      </c>
      <c r="D4343" s="25">
        <v>0</v>
      </c>
      <c r="E4343" s="25">
        <v>246000</v>
      </c>
      <c r="F4343" s="25">
        <v>246000</v>
      </c>
      <c r="G4343" s="26">
        <v>0</v>
      </c>
      <c r="H4343" s="10">
        <v>2026</v>
      </c>
    </row>
    <row r="4344" spans="1:8" hidden="1" x14ac:dyDescent="0.3">
      <c r="A4344" s="23" t="s">
        <v>252</v>
      </c>
      <c r="B4344" s="24" t="s">
        <v>199</v>
      </c>
      <c r="C4344" s="22">
        <v>2</v>
      </c>
      <c r="D4344" s="25">
        <v>0</v>
      </c>
      <c r="E4344" s="25">
        <v>0</v>
      </c>
      <c r="F4344" s="25">
        <v>0</v>
      </c>
      <c r="G4344" s="26">
        <v>0</v>
      </c>
      <c r="H4344" s="10">
        <v>2026</v>
      </c>
    </row>
    <row r="4345" spans="1:8" hidden="1" x14ac:dyDescent="0.3">
      <c r="A4345" s="23" t="s">
        <v>252</v>
      </c>
      <c r="B4345" s="24" t="s">
        <v>199</v>
      </c>
      <c r="C4345" s="22">
        <v>3</v>
      </c>
      <c r="D4345" s="25">
        <v>0</v>
      </c>
      <c r="E4345" s="25">
        <v>-246000</v>
      </c>
      <c r="F4345" s="25">
        <v>-246000</v>
      </c>
      <c r="G4345" s="26">
        <v>0</v>
      </c>
      <c r="H4345" s="10">
        <v>2026</v>
      </c>
    </row>
    <row r="4346" spans="1:8" hidden="1" x14ac:dyDescent="0.3">
      <c r="A4346" s="23" t="s">
        <v>79</v>
      </c>
      <c r="B4346" s="23" t="s">
        <v>199</v>
      </c>
      <c r="C4346" s="22">
        <v>1</v>
      </c>
      <c r="D4346" s="25">
        <v>78000</v>
      </c>
      <c r="E4346" s="25">
        <v>410000</v>
      </c>
      <c r="F4346" s="25">
        <v>332000</v>
      </c>
      <c r="G4346" s="26">
        <v>5.2564102564102564</v>
      </c>
      <c r="H4346" s="10">
        <v>2026</v>
      </c>
    </row>
    <row r="4347" spans="1:8" hidden="1" x14ac:dyDescent="0.3">
      <c r="A4347" s="23" t="s">
        <v>79</v>
      </c>
      <c r="B4347" s="24" t="s">
        <v>199</v>
      </c>
      <c r="C4347" s="22">
        <v>2</v>
      </c>
      <c r="D4347" s="25">
        <v>78000</v>
      </c>
      <c r="E4347" s="25">
        <v>104539</v>
      </c>
      <c r="F4347" s="25">
        <v>26539</v>
      </c>
      <c r="G4347" s="26">
        <v>1.3402435897435898</v>
      </c>
      <c r="H4347" s="10">
        <v>2026</v>
      </c>
    </row>
    <row r="4348" spans="1:8" hidden="1" x14ac:dyDescent="0.3">
      <c r="A4348" s="23" t="s">
        <v>79</v>
      </c>
      <c r="B4348" s="24" t="s">
        <v>199</v>
      </c>
      <c r="C4348" s="22">
        <v>3</v>
      </c>
      <c r="D4348" s="25">
        <v>78000</v>
      </c>
      <c r="E4348" s="25">
        <v>0</v>
      </c>
      <c r="F4348" s="25">
        <v>-78000</v>
      </c>
      <c r="G4348" s="26">
        <v>0</v>
      </c>
      <c r="H4348" s="10">
        <v>2026</v>
      </c>
    </row>
    <row r="4349" spans="1:8" hidden="1" x14ac:dyDescent="0.3">
      <c r="A4349" s="23" t="s">
        <v>79</v>
      </c>
      <c r="B4349" s="23" t="s">
        <v>199</v>
      </c>
      <c r="C4349" s="22">
        <v>4</v>
      </c>
      <c r="D4349" s="25">
        <v>78000</v>
      </c>
      <c r="E4349" s="25">
        <v>0</v>
      </c>
      <c r="F4349" s="25">
        <v>-78000</v>
      </c>
      <c r="G4349" s="26">
        <v>0</v>
      </c>
      <c r="H4349" s="10">
        <v>2026</v>
      </c>
    </row>
    <row r="4350" spans="1:8" hidden="1" x14ac:dyDescent="0.3">
      <c r="A4350" s="24" t="s">
        <v>64</v>
      </c>
      <c r="B4350" s="24" t="s">
        <v>199</v>
      </c>
      <c r="C4350" s="22">
        <v>1</v>
      </c>
      <c r="D4350" s="25">
        <v>14056</v>
      </c>
      <c r="E4350" s="25">
        <v>246000</v>
      </c>
      <c r="F4350" s="25">
        <v>231944</v>
      </c>
      <c r="G4350" s="26">
        <v>17.501422879908937</v>
      </c>
      <c r="H4350" s="10">
        <v>2026</v>
      </c>
    </row>
    <row r="4351" spans="1:8" hidden="1" x14ac:dyDescent="0.3">
      <c r="A4351" s="23" t="s">
        <v>64</v>
      </c>
      <c r="B4351" s="23" t="s">
        <v>199</v>
      </c>
      <c r="C4351" s="22">
        <v>2</v>
      </c>
      <c r="D4351" s="25">
        <v>14056</v>
      </c>
      <c r="E4351" s="25">
        <v>0</v>
      </c>
      <c r="F4351" s="25">
        <v>-14056</v>
      </c>
      <c r="G4351" s="26">
        <v>0</v>
      </c>
      <c r="H4351" s="10">
        <v>2026</v>
      </c>
    </row>
    <row r="4352" spans="1:8" hidden="1" x14ac:dyDescent="0.3">
      <c r="A4352" s="24" t="s">
        <v>64</v>
      </c>
      <c r="B4352" s="24" t="s">
        <v>199</v>
      </c>
      <c r="C4352" s="22">
        <v>3</v>
      </c>
      <c r="D4352" s="25">
        <v>14056</v>
      </c>
      <c r="E4352" s="25">
        <v>0</v>
      </c>
      <c r="F4352" s="25">
        <v>-14056</v>
      </c>
      <c r="G4352" s="26">
        <v>0</v>
      </c>
      <c r="H4352" s="10">
        <v>2026</v>
      </c>
    </row>
    <row r="4353" spans="1:8" hidden="1" x14ac:dyDescent="0.3">
      <c r="A4353" s="24" t="s">
        <v>64</v>
      </c>
      <c r="B4353" s="24" t="s">
        <v>199</v>
      </c>
      <c r="C4353" s="22">
        <v>4</v>
      </c>
      <c r="D4353" s="25">
        <v>14056</v>
      </c>
      <c r="E4353" s="25">
        <v>0</v>
      </c>
      <c r="F4353" s="25">
        <v>-14056</v>
      </c>
      <c r="G4353" s="26">
        <v>0</v>
      </c>
      <c r="H4353" s="10">
        <v>2026</v>
      </c>
    </row>
    <row r="4354" spans="1:8" hidden="1" x14ac:dyDescent="0.3">
      <c r="A4354" s="24" t="s">
        <v>67</v>
      </c>
      <c r="B4354" s="24" t="s">
        <v>199</v>
      </c>
      <c r="C4354" s="22">
        <v>1</v>
      </c>
      <c r="D4354" s="25">
        <v>130000</v>
      </c>
      <c r="E4354" s="25">
        <v>205000</v>
      </c>
      <c r="F4354" s="25">
        <v>75000</v>
      </c>
      <c r="G4354" s="26">
        <v>1.5769230769230771</v>
      </c>
      <c r="H4354" s="10">
        <v>2026</v>
      </c>
    </row>
    <row r="4355" spans="1:8" hidden="1" x14ac:dyDescent="0.3">
      <c r="A4355" s="23" t="s">
        <v>67</v>
      </c>
      <c r="B4355" s="23" t="s">
        <v>199</v>
      </c>
      <c r="C4355" s="22">
        <v>2</v>
      </c>
      <c r="D4355" s="25">
        <v>130000</v>
      </c>
      <c r="E4355" s="25">
        <v>0</v>
      </c>
      <c r="F4355" s="25">
        <v>-130000</v>
      </c>
      <c r="G4355" s="26">
        <v>0</v>
      </c>
      <c r="H4355" s="10">
        <v>2026</v>
      </c>
    </row>
    <row r="4356" spans="1:8" hidden="1" x14ac:dyDescent="0.3">
      <c r="A4356" s="24" t="s">
        <v>67</v>
      </c>
      <c r="B4356" s="24" t="s">
        <v>199</v>
      </c>
      <c r="C4356" s="22">
        <v>3</v>
      </c>
      <c r="D4356" s="25">
        <v>130000</v>
      </c>
      <c r="E4356" s="25">
        <v>320878</v>
      </c>
      <c r="F4356" s="25">
        <v>190878</v>
      </c>
      <c r="G4356" s="26">
        <v>2.468292307692308</v>
      </c>
      <c r="H4356" s="10">
        <v>2026</v>
      </c>
    </row>
    <row r="4357" spans="1:8" hidden="1" x14ac:dyDescent="0.3">
      <c r="A4357" s="24" t="s">
        <v>67</v>
      </c>
      <c r="B4357" s="24" t="s">
        <v>199</v>
      </c>
      <c r="C4357" s="22">
        <v>4</v>
      </c>
      <c r="D4357" s="25">
        <v>130000</v>
      </c>
      <c r="E4357" s="25">
        <v>0</v>
      </c>
      <c r="F4357" s="25">
        <v>-130000</v>
      </c>
      <c r="G4357" s="26">
        <v>0</v>
      </c>
      <c r="H4357" s="10">
        <v>2026</v>
      </c>
    </row>
    <row r="4358" spans="1:8" x14ac:dyDescent="0.3">
      <c r="A4358" s="23" t="s">
        <v>75</v>
      </c>
      <c r="B4358" s="24" t="s">
        <v>199</v>
      </c>
      <c r="C4358" s="22">
        <v>1</v>
      </c>
      <c r="D4358" s="25">
        <v>135000</v>
      </c>
      <c r="E4358" s="25">
        <v>572000</v>
      </c>
      <c r="F4358" s="25">
        <v>437000</v>
      </c>
      <c r="G4358" s="26">
        <v>4.2370370370370374</v>
      </c>
      <c r="H4358" s="10">
        <v>2026</v>
      </c>
    </row>
    <row r="4359" spans="1:8" x14ac:dyDescent="0.3">
      <c r="A4359" s="23" t="s">
        <v>75</v>
      </c>
      <c r="B4359" s="21" t="s">
        <v>199</v>
      </c>
      <c r="C4359" s="22">
        <v>2</v>
      </c>
      <c r="D4359" s="25">
        <v>135000</v>
      </c>
      <c r="E4359" s="25">
        <v>342988</v>
      </c>
      <c r="F4359" s="25">
        <v>207988</v>
      </c>
      <c r="G4359" s="26">
        <v>2.5406518518518522</v>
      </c>
      <c r="H4359" s="10">
        <v>2026</v>
      </c>
    </row>
    <row r="4360" spans="1:8" x14ac:dyDescent="0.3">
      <c r="A4360" s="23" t="s">
        <v>75</v>
      </c>
      <c r="B4360" s="23" t="s">
        <v>199</v>
      </c>
      <c r="C4360" s="22">
        <v>3</v>
      </c>
      <c r="D4360" s="25">
        <v>135000</v>
      </c>
      <c r="E4360" s="25">
        <v>185188</v>
      </c>
      <c r="F4360" s="25">
        <v>50188</v>
      </c>
      <c r="G4360" s="26">
        <v>1.3717629629629629</v>
      </c>
      <c r="H4360" s="10">
        <v>2026</v>
      </c>
    </row>
    <row r="4361" spans="1:8" x14ac:dyDescent="0.3">
      <c r="A4361" s="23" t="s">
        <v>75</v>
      </c>
      <c r="B4361" s="24" t="s">
        <v>199</v>
      </c>
      <c r="C4361" s="22">
        <v>4</v>
      </c>
      <c r="D4361" s="25">
        <v>135000</v>
      </c>
      <c r="E4361" s="25">
        <v>113913</v>
      </c>
      <c r="F4361" s="25">
        <v>-21087</v>
      </c>
      <c r="G4361" s="26">
        <v>0.84379999999999999</v>
      </c>
      <c r="H4361" s="10">
        <v>2026</v>
      </c>
    </row>
    <row r="4362" spans="1:8" hidden="1" x14ac:dyDescent="0.3">
      <c r="A4362" s="24" t="s">
        <v>146</v>
      </c>
      <c r="B4362" s="24" t="s">
        <v>199</v>
      </c>
      <c r="C4362" s="22">
        <v>1</v>
      </c>
      <c r="D4362" s="25">
        <v>192000</v>
      </c>
      <c r="E4362" s="25">
        <v>132000</v>
      </c>
      <c r="F4362" s="25">
        <v>-60000</v>
      </c>
      <c r="G4362" s="26">
        <v>0.6875</v>
      </c>
      <c r="H4362" s="10">
        <v>2026</v>
      </c>
    </row>
    <row r="4363" spans="1:8" hidden="1" x14ac:dyDescent="0.3">
      <c r="A4363" s="24" t="s">
        <v>146</v>
      </c>
      <c r="B4363" s="24" t="s">
        <v>199</v>
      </c>
      <c r="C4363" s="22">
        <v>2</v>
      </c>
      <c r="D4363" s="25">
        <v>192000</v>
      </c>
      <c r="E4363" s="25">
        <v>0</v>
      </c>
      <c r="F4363" s="25">
        <v>-192000</v>
      </c>
      <c r="G4363" s="26">
        <v>0</v>
      </c>
      <c r="H4363" s="10">
        <v>2026</v>
      </c>
    </row>
    <row r="4364" spans="1:8" hidden="1" x14ac:dyDescent="0.3">
      <c r="A4364" s="23" t="s">
        <v>146</v>
      </c>
      <c r="B4364" s="23" t="s">
        <v>199</v>
      </c>
      <c r="C4364" s="22">
        <v>3</v>
      </c>
      <c r="D4364" s="25">
        <v>192000</v>
      </c>
      <c r="E4364" s="25">
        <v>209078</v>
      </c>
      <c r="F4364" s="25">
        <v>17078</v>
      </c>
      <c r="G4364" s="26">
        <v>1.0889479166666667</v>
      </c>
      <c r="H4364" s="10">
        <v>2026</v>
      </c>
    </row>
    <row r="4365" spans="1:8" hidden="1" x14ac:dyDescent="0.3">
      <c r="A4365" s="24" t="s">
        <v>146</v>
      </c>
      <c r="B4365" s="24" t="s">
        <v>199</v>
      </c>
      <c r="C4365" s="22">
        <v>4</v>
      </c>
      <c r="D4365" s="25">
        <v>192000</v>
      </c>
      <c r="E4365" s="25">
        <v>154539</v>
      </c>
      <c r="F4365" s="25">
        <v>-37461</v>
      </c>
      <c r="G4365" s="26">
        <v>0.80489062499999997</v>
      </c>
      <c r="H4365" s="10">
        <v>2026</v>
      </c>
    </row>
    <row r="4366" spans="1:8" hidden="1" x14ac:dyDescent="0.3">
      <c r="A4366" s="24" t="s">
        <v>147</v>
      </c>
      <c r="B4366" s="24" t="s">
        <v>199</v>
      </c>
      <c r="C4366" s="22">
        <v>1</v>
      </c>
      <c r="D4366" s="25">
        <v>1092500</v>
      </c>
      <c r="E4366" s="25">
        <v>4133920</v>
      </c>
      <c r="F4366" s="25">
        <v>3041420</v>
      </c>
      <c r="G4366" s="26">
        <v>3.7839084668192222</v>
      </c>
      <c r="H4366" s="10">
        <v>2026</v>
      </c>
    </row>
    <row r="4367" spans="1:8" hidden="1" x14ac:dyDescent="0.3">
      <c r="A4367" s="23" t="s">
        <v>147</v>
      </c>
      <c r="B4367" s="23" t="s">
        <v>199</v>
      </c>
      <c r="C4367" s="22">
        <v>2</v>
      </c>
      <c r="D4367" s="25">
        <v>1092500</v>
      </c>
      <c r="E4367" s="25">
        <v>1333257</v>
      </c>
      <c r="F4367" s="25">
        <v>240757</v>
      </c>
      <c r="G4367" s="26">
        <v>1.2203725400457666</v>
      </c>
      <c r="H4367" s="10">
        <v>2026</v>
      </c>
    </row>
    <row r="4368" spans="1:8" hidden="1" x14ac:dyDescent="0.3">
      <c r="A4368" s="24" t="s">
        <v>147</v>
      </c>
      <c r="B4368" s="24" t="s">
        <v>199</v>
      </c>
      <c r="C4368" s="22">
        <v>3</v>
      </c>
      <c r="D4368" s="25">
        <v>1092500</v>
      </c>
      <c r="E4368" s="25">
        <v>1911600</v>
      </c>
      <c r="F4368" s="25">
        <v>819100</v>
      </c>
      <c r="G4368" s="26">
        <v>1.7497482837528604</v>
      </c>
      <c r="H4368" s="10">
        <v>2026</v>
      </c>
    </row>
    <row r="4369" spans="1:8" hidden="1" x14ac:dyDescent="0.3">
      <c r="A4369" s="24" t="s">
        <v>147</v>
      </c>
      <c r="B4369" s="24" t="s">
        <v>199</v>
      </c>
      <c r="C4369" s="22">
        <v>4</v>
      </c>
      <c r="D4369" s="25">
        <v>1092500</v>
      </c>
      <c r="E4369" s="25">
        <v>1564296</v>
      </c>
      <c r="F4369" s="25">
        <v>471796</v>
      </c>
      <c r="G4369" s="26">
        <v>1.431849885583524</v>
      </c>
      <c r="H4369" s="10">
        <v>2026</v>
      </c>
    </row>
    <row r="4370" spans="1:8" hidden="1" x14ac:dyDescent="0.3">
      <c r="A4370" s="24" t="s">
        <v>67</v>
      </c>
      <c r="B4370" s="24" t="s">
        <v>203</v>
      </c>
      <c r="C4370" s="22">
        <v>1</v>
      </c>
      <c r="D4370" s="25">
        <v>0</v>
      </c>
      <c r="E4370" s="25">
        <v>0</v>
      </c>
      <c r="F4370" s="25">
        <v>0</v>
      </c>
      <c r="G4370" s="26">
        <v>0</v>
      </c>
      <c r="H4370" s="10">
        <v>2026</v>
      </c>
    </row>
    <row r="4371" spans="1:8" hidden="1" x14ac:dyDescent="0.3">
      <c r="A4371" s="24" t="s">
        <v>67</v>
      </c>
      <c r="B4371" s="24" t="s">
        <v>203</v>
      </c>
      <c r="C4371" s="22">
        <v>2</v>
      </c>
      <c r="D4371" s="25">
        <v>0</v>
      </c>
      <c r="E4371" s="25">
        <v>0</v>
      </c>
      <c r="F4371" s="25">
        <v>0</v>
      </c>
      <c r="G4371" s="26">
        <v>0</v>
      </c>
      <c r="H4371" s="10">
        <v>2026</v>
      </c>
    </row>
    <row r="4372" spans="1:8" hidden="1" x14ac:dyDescent="0.3">
      <c r="A4372" s="23" t="s">
        <v>67</v>
      </c>
      <c r="B4372" s="23" t="s">
        <v>203</v>
      </c>
      <c r="C4372" s="22">
        <v>3</v>
      </c>
      <c r="D4372" s="25">
        <v>0</v>
      </c>
      <c r="E4372" s="25">
        <v>0</v>
      </c>
      <c r="F4372" s="25">
        <v>0</v>
      </c>
      <c r="G4372" s="26">
        <v>0</v>
      </c>
      <c r="H4372" s="10">
        <v>2026</v>
      </c>
    </row>
    <row r="4373" spans="1:8" hidden="1" x14ac:dyDescent="0.3">
      <c r="A4373" s="24" t="s">
        <v>67</v>
      </c>
      <c r="B4373" s="24" t="s">
        <v>203</v>
      </c>
      <c r="C4373" s="22">
        <v>4</v>
      </c>
      <c r="D4373" s="25">
        <v>0</v>
      </c>
      <c r="E4373" s="25">
        <v>0</v>
      </c>
      <c r="F4373" s="25">
        <v>0</v>
      </c>
      <c r="G4373" s="26">
        <v>0</v>
      </c>
      <c r="H4373" s="10">
        <v>2026</v>
      </c>
    </row>
    <row r="4374" spans="1:8" hidden="1" x14ac:dyDescent="0.3">
      <c r="A4374" s="24" t="s">
        <v>146</v>
      </c>
      <c r="B4374" s="24" t="s">
        <v>203</v>
      </c>
      <c r="C4374" s="22">
        <v>1</v>
      </c>
      <c r="D4374" s="25">
        <v>0</v>
      </c>
      <c r="E4374" s="25">
        <v>0</v>
      </c>
      <c r="F4374" s="25">
        <v>0</v>
      </c>
      <c r="G4374" s="26">
        <v>0</v>
      </c>
      <c r="H4374" s="10">
        <v>2026</v>
      </c>
    </row>
    <row r="4375" spans="1:8" hidden="1" x14ac:dyDescent="0.3">
      <c r="A4375" s="24" t="s">
        <v>146</v>
      </c>
      <c r="B4375" s="24" t="s">
        <v>203</v>
      </c>
      <c r="C4375" s="22">
        <v>2</v>
      </c>
      <c r="D4375" s="25">
        <v>0</v>
      </c>
      <c r="E4375" s="25">
        <v>0</v>
      </c>
      <c r="F4375" s="25">
        <v>0</v>
      </c>
      <c r="G4375" s="26">
        <v>0</v>
      </c>
      <c r="H4375" s="10">
        <v>2026</v>
      </c>
    </row>
    <row r="4376" spans="1:8" hidden="1" x14ac:dyDescent="0.3">
      <c r="A4376" s="23" t="s">
        <v>146</v>
      </c>
      <c r="B4376" s="23" t="s">
        <v>203</v>
      </c>
      <c r="C4376" s="22">
        <v>3</v>
      </c>
      <c r="D4376" s="25">
        <v>289797</v>
      </c>
      <c r="E4376" s="25">
        <v>0</v>
      </c>
      <c r="F4376" s="25">
        <v>-289797</v>
      </c>
      <c r="G4376" s="26">
        <v>0</v>
      </c>
      <c r="H4376" s="10">
        <v>2026</v>
      </c>
    </row>
    <row r="4377" spans="1:8" hidden="1" x14ac:dyDescent="0.3">
      <c r="A4377" s="24" t="s">
        <v>146</v>
      </c>
      <c r="B4377" s="24" t="s">
        <v>203</v>
      </c>
      <c r="C4377" s="22">
        <v>4</v>
      </c>
      <c r="D4377" s="25">
        <v>0</v>
      </c>
      <c r="E4377" s="25">
        <v>0</v>
      </c>
      <c r="F4377" s="25">
        <v>0</v>
      </c>
      <c r="G4377" s="26">
        <v>0</v>
      </c>
      <c r="H4377" s="10">
        <v>2026</v>
      </c>
    </row>
    <row r="4378" spans="1:8" hidden="1" x14ac:dyDescent="0.3">
      <c r="A4378" s="24" t="s">
        <v>147</v>
      </c>
      <c r="B4378" s="24" t="s">
        <v>203</v>
      </c>
      <c r="C4378" s="22">
        <v>1</v>
      </c>
      <c r="D4378" s="25">
        <v>0</v>
      </c>
      <c r="E4378" s="25">
        <v>0</v>
      </c>
      <c r="F4378" s="25">
        <v>0</v>
      </c>
      <c r="G4378" s="26">
        <v>0</v>
      </c>
      <c r="H4378" s="10">
        <v>2026</v>
      </c>
    </row>
    <row r="4379" spans="1:8" hidden="1" x14ac:dyDescent="0.3">
      <c r="A4379" s="24" t="s">
        <v>147</v>
      </c>
      <c r="B4379" s="24" t="s">
        <v>203</v>
      </c>
      <c r="C4379" s="22">
        <v>2</v>
      </c>
      <c r="D4379" s="25">
        <v>0</v>
      </c>
      <c r="E4379" s="25">
        <v>405106</v>
      </c>
      <c r="F4379" s="25">
        <v>405106</v>
      </c>
      <c r="G4379" s="26">
        <v>0</v>
      </c>
      <c r="H4379" s="10">
        <v>2026</v>
      </c>
    </row>
    <row r="4380" spans="1:8" hidden="1" x14ac:dyDescent="0.3">
      <c r="A4380" s="23" t="s">
        <v>147</v>
      </c>
      <c r="B4380" s="23" t="s">
        <v>203</v>
      </c>
      <c r="C4380" s="22">
        <v>3</v>
      </c>
      <c r="D4380" s="25">
        <v>289797</v>
      </c>
      <c r="E4380" s="25">
        <v>0</v>
      </c>
      <c r="F4380" s="25">
        <v>-289797</v>
      </c>
      <c r="G4380" s="26">
        <v>0</v>
      </c>
      <c r="H4380" s="10">
        <v>2026</v>
      </c>
    </row>
    <row r="4381" spans="1:8" hidden="1" x14ac:dyDescent="0.3">
      <c r="A4381" s="24" t="s">
        <v>147</v>
      </c>
      <c r="B4381" s="24" t="s">
        <v>203</v>
      </c>
      <c r="C4381" s="22">
        <v>4</v>
      </c>
      <c r="D4381" s="25">
        <v>0</v>
      </c>
      <c r="E4381" s="25">
        <v>0</v>
      </c>
      <c r="F4381" s="25">
        <v>0</v>
      </c>
      <c r="G4381" s="26">
        <v>0</v>
      </c>
      <c r="H4381" s="10">
        <v>2026</v>
      </c>
    </row>
    <row r="4382" spans="1:8" hidden="1" x14ac:dyDescent="0.3">
      <c r="A4382" s="23" t="s">
        <v>252</v>
      </c>
      <c r="B4382" s="24" t="s">
        <v>203</v>
      </c>
      <c r="C4382" s="22">
        <v>1</v>
      </c>
      <c r="D4382" s="25">
        <v>0</v>
      </c>
      <c r="E4382" s="25">
        <v>0</v>
      </c>
      <c r="F4382" s="25">
        <v>0</v>
      </c>
      <c r="G4382" s="26">
        <v>0</v>
      </c>
      <c r="H4382" s="10">
        <v>2026</v>
      </c>
    </row>
    <row r="4383" spans="1:8" hidden="1" x14ac:dyDescent="0.3">
      <c r="A4383" s="23" t="s">
        <v>252</v>
      </c>
      <c r="B4383" s="24" t="s">
        <v>203</v>
      </c>
      <c r="C4383" s="22">
        <v>2</v>
      </c>
      <c r="D4383" s="25">
        <v>0</v>
      </c>
      <c r="E4383" s="25">
        <v>0</v>
      </c>
      <c r="F4383" s="25">
        <v>0</v>
      </c>
      <c r="G4383" s="26">
        <v>0</v>
      </c>
      <c r="H4383" s="10">
        <v>2026</v>
      </c>
    </row>
    <row r="4384" spans="1:8" hidden="1" x14ac:dyDescent="0.3">
      <c r="A4384" s="23" t="s">
        <v>252</v>
      </c>
      <c r="B4384" s="24" t="s">
        <v>203</v>
      </c>
      <c r="C4384" s="22">
        <v>3</v>
      </c>
      <c r="D4384" s="25">
        <v>527716</v>
      </c>
      <c r="E4384" s="25">
        <v>0</v>
      </c>
      <c r="F4384" s="25">
        <v>-527716</v>
      </c>
      <c r="G4384" s="26">
        <v>0</v>
      </c>
      <c r="H4384" s="10">
        <v>2026</v>
      </c>
    </row>
    <row r="4385" spans="1:8" hidden="1" x14ac:dyDescent="0.3">
      <c r="A4385" s="23" t="s">
        <v>252</v>
      </c>
      <c r="B4385" s="23" t="s">
        <v>203</v>
      </c>
      <c r="C4385" s="22">
        <v>4</v>
      </c>
      <c r="D4385" s="25">
        <v>0</v>
      </c>
      <c r="E4385" s="25">
        <v>0</v>
      </c>
      <c r="F4385" s="25">
        <v>0</v>
      </c>
      <c r="G4385" s="26">
        <v>0</v>
      </c>
      <c r="H4385" s="10">
        <v>2026</v>
      </c>
    </row>
    <row r="4386" spans="1:8" hidden="1" x14ac:dyDescent="0.3">
      <c r="A4386" s="24" t="s">
        <v>43</v>
      </c>
      <c r="B4386" s="24" t="s">
        <v>199</v>
      </c>
      <c r="C4386" s="22">
        <v>1</v>
      </c>
      <c r="D4386" s="25">
        <v>70800</v>
      </c>
      <c r="E4386" s="25">
        <v>379900</v>
      </c>
      <c r="F4386" s="25">
        <v>309100</v>
      </c>
      <c r="G4386" s="26">
        <v>5.3658192090395485</v>
      </c>
      <c r="H4386" s="10">
        <v>2026</v>
      </c>
    </row>
    <row r="4387" spans="1:8" hidden="1" x14ac:dyDescent="0.3">
      <c r="A4387" s="24" t="s">
        <v>43</v>
      </c>
      <c r="B4387" s="24" t="s">
        <v>199</v>
      </c>
      <c r="C4387" s="22">
        <v>2</v>
      </c>
      <c r="D4387" s="25">
        <v>70800</v>
      </c>
      <c r="E4387" s="25">
        <v>0</v>
      </c>
      <c r="F4387" s="25">
        <v>-70800</v>
      </c>
      <c r="G4387" s="26">
        <v>0</v>
      </c>
      <c r="H4387" s="10">
        <v>2026</v>
      </c>
    </row>
    <row r="4388" spans="1:8" hidden="1" x14ac:dyDescent="0.3">
      <c r="A4388" s="24" t="s">
        <v>43</v>
      </c>
      <c r="B4388" s="24" t="s">
        <v>199</v>
      </c>
      <c r="C4388" s="22">
        <v>3</v>
      </c>
      <c r="D4388" s="25">
        <v>70800</v>
      </c>
      <c r="E4388" s="25">
        <v>335850</v>
      </c>
      <c r="F4388" s="25">
        <v>265050</v>
      </c>
      <c r="G4388" s="26">
        <v>4.7436440677966107</v>
      </c>
      <c r="H4388" s="10">
        <v>2026</v>
      </c>
    </row>
    <row r="4389" spans="1:8" hidden="1" x14ac:dyDescent="0.3">
      <c r="A4389" s="23" t="s">
        <v>43</v>
      </c>
      <c r="B4389" s="23" t="s">
        <v>199</v>
      </c>
      <c r="C4389" s="22">
        <v>4</v>
      </c>
      <c r="D4389" s="25">
        <v>70800</v>
      </c>
      <c r="E4389" s="25">
        <v>121200</v>
      </c>
      <c r="F4389" s="25">
        <v>50400</v>
      </c>
      <c r="G4389" s="26">
        <v>1.7118644067796611</v>
      </c>
      <c r="H4389" s="10">
        <v>2026</v>
      </c>
    </row>
    <row r="4390" spans="1:8" hidden="1" x14ac:dyDescent="0.3">
      <c r="A4390" s="24" t="s">
        <v>68</v>
      </c>
      <c r="B4390" s="24" t="s">
        <v>199</v>
      </c>
      <c r="C4390" s="22">
        <v>1</v>
      </c>
      <c r="D4390" s="25">
        <v>130000</v>
      </c>
      <c r="E4390" s="25">
        <v>593000</v>
      </c>
      <c r="F4390" s="25">
        <v>463000</v>
      </c>
      <c r="G4390" s="26">
        <v>4.5615384615384613</v>
      </c>
      <c r="H4390" s="10">
        <v>2026</v>
      </c>
    </row>
    <row r="4391" spans="1:8" hidden="1" x14ac:dyDescent="0.3">
      <c r="A4391" s="24" t="s">
        <v>68</v>
      </c>
      <c r="B4391" s="24" t="s">
        <v>199</v>
      </c>
      <c r="C4391" s="22">
        <v>2</v>
      </c>
      <c r="D4391" s="25">
        <v>130000</v>
      </c>
      <c r="E4391" s="25">
        <v>223240</v>
      </c>
      <c r="F4391" s="25">
        <v>93240</v>
      </c>
      <c r="G4391" s="26">
        <v>1.7172307692307693</v>
      </c>
      <c r="H4391" s="10">
        <v>2026</v>
      </c>
    </row>
    <row r="4392" spans="1:8" hidden="1" x14ac:dyDescent="0.3">
      <c r="A4392" s="24" t="s">
        <v>68</v>
      </c>
      <c r="B4392" s="24" t="s">
        <v>199</v>
      </c>
      <c r="C4392" s="22">
        <v>3</v>
      </c>
      <c r="D4392" s="25">
        <v>130000</v>
      </c>
      <c r="E4392" s="25">
        <v>228139</v>
      </c>
      <c r="F4392" s="25">
        <v>98139</v>
      </c>
      <c r="G4392" s="26">
        <v>1.7549153846153847</v>
      </c>
      <c r="H4392" s="10">
        <v>2026</v>
      </c>
    </row>
    <row r="4393" spans="1:8" hidden="1" x14ac:dyDescent="0.3">
      <c r="A4393" s="23" t="s">
        <v>68</v>
      </c>
      <c r="B4393" s="23" t="s">
        <v>199</v>
      </c>
      <c r="C4393" s="22">
        <v>4</v>
      </c>
      <c r="D4393" s="25">
        <v>130000</v>
      </c>
      <c r="E4393" s="25">
        <v>348991</v>
      </c>
      <c r="F4393" s="25">
        <v>218991</v>
      </c>
      <c r="G4393" s="26">
        <v>2.6845461538461541</v>
      </c>
      <c r="H4393" s="10">
        <v>2026</v>
      </c>
    </row>
    <row r="4394" spans="1:8" hidden="1" x14ac:dyDescent="0.3">
      <c r="A4394" s="24" t="s">
        <v>43</v>
      </c>
      <c r="B4394" s="24" t="s">
        <v>200</v>
      </c>
      <c r="C4394" s="22">
        <v>1</v>
      </c>
      <c r="D4394" s="25">
        <v>57483203</v>
      </c>
      <c r="E4394" s="25">
        <v>59854126</v>
      </c>
      <c r="F4394" s="25">
        <v>2370923</v>
      </c>
      <c r="G4394" s="26">
        <v>1.0412454921831686</v>
      </c>
      <c r="H4394" s="10">
        <v>2026</v>
      </c>
    </row>
    <row r="4395" spans="1:8" hidden="1" x14ac:dyDescent="0.3">
      <c r="A4395" s="24" t="s">
        <v>43</v>
      </c>
      <c r="B4395" s="24" t="s">
        <v>200</v>
      </c>
      <c r="C4395" s="22">
        <v>2</v>
      </c>
      <c r="D4395" s="25">
        <v>62346308</v>
      </c>
      <c r="E4395" s="25">
        <v>59791655</v>
      </c>
      <c r="F4395" s="25">
        <v>-2554653</v>
      </c>
      <c r="G4395" s="26">
        <v>0.95902479101088078</v>
      </c>
      <c r="H4395" s="10">
        <v>2026</v>
      </c>
    </row>
    <row r="4396" spans="1:8" hidden="1" x14ac:dyDescent="0.3">
      <c r="A4396" s="24" t="s">
        <v>43</v>
      </c>
      <c r="B4396" s="24" t="s">
        <v>200</v>
      </c>
      <c r="C4396" s="22">
        <v>3</v>
      </c>
      <c r="D4396" s="25">
        <v>66576419</v>
      </c>
      <c r="E4396" s="25">
        <v>77814087</v>
      </c>
      <c r="F4396" s="25">
        <v>11237668</v>
      </c>
      <c r="G4396" s="26">
        <v>1.1687935183176494</v>
      </c>
      <c r="H4396" s="10">
        <v>2026</v>
      </c>
    </row>
    <row r="4397" spans="1:8" hidden="1" x14ac:dyDescent="0.3">
      <c r="A4397" s="23" t="s">
        <v>43</v>
      </c>
      <c r="B4397" s="23" t="s">
        <v>200</v>
      </c>
      <c r="C4397" s="22">
        <v>4</v>
      </c>
      <c r="D4397" s="25">
        <v>52369667</v>
      </c>
      <c r="E4397" s="25">
        <v>71332384</v>
      </c>
      <c r="F4397" s="25">
        <v>18962717</v>
      </c>
      <c r="G4397" s="26">
        <v>1.3620935187539001</v>
      </c>
      <c r="H4397" s="10">
        <v>2026</v>
      </c>
    </row>
    <row r="4398" spans="1:8" hidden="1" x14ac:dyDescent="0.3">
      <c r="A4398" s="24" t="s">
        <v>68</v>
      </c>
      <c r="B4398" s="24" t="s">
        <v>200</v>
      </c>
      <c r="C4398" s="22">
        <v>1</v>
      </c>
      <c r="D4398" s="25">
        <v>23477213</v>
      </c>
      <c r="E4398" s="25">
        <v>24521679</v>
      </c>
      <c r="F4398" s="25">
        <v>1044466</v>
      </c>
      <c r="G4398" s="26">
        <v>1.0444885004024966</v>
      </c>
      <c r="H4398" s="10">
        <v>2026</v>
      </c>
    </row>
    <row r="4399" spans="1:8" hidden="1" x14ac:dyDescent="0.3">
      <c r="A4399" s="24" t="s">
        <v>68</v>
      </c>
      <c r="B4399" s="24" t="s">
        <v>200</v>
      </c>
      <c r="C4399" s="22">
        <v>2</v>
      </c>
      <c r="D4399" s="25">
        <v>22759249</v>
      </c>
      <c r="E4399" s="25">
        <v>25213314</v>
      </c>
      <c r="F4399" s="25">
        <v>2454065</v>
      </c>
      <c r="G4399" s="26">
        <v>1.107827151941613</v>
      </c>
      <c r="H4399" s="10">
        <v>2026</v>
      </c>
    </row>
    <row r="4400" spans="1:8" hidden="1" x14ac:dyDescent="0.3">
      <c r="A4400" s="24" t="s">
        <v>68</v>
      </c>
      <c r="B4400" s="24" t="s">
        <v>200</v>
      </c>
      <c r="C4400" s="22">
        <v>3</v>
      </c>
      <c r="D4400" s="25">
        <v>29199381</v>
      </c>
      <c r="E4400" s="25">
        <v>33359343</v>
      </c>
      <c r="F4400" s="25">
        <v>4159962</v>
      </c>
      <c r="G4400" s="26">
        <v>1.1424674721700436</v>
      </c>
      <c r="H4400" s="10">
        <v>2026</v>
      </c>
    </row>
    <row r="4401" spans="1:8" hidden="1" x14ac:dyDescent="0.3">
      <c r="A4401" s="23" t="s">
        <v>68</v>
      </c>
      <c r="B4401" s="23" t="s">
        <v>200</v>
      </c>
      <c r="C4401" s="22">
        <v>4</v>
      </c>
      <c r="D4401" s="25">
        <v>28641831</v>
      </c>
      <c r="E4401" s="25">
        <v>31540004</v>
      </c>
      <c r="F4401" s="25">
        <v>2898173</v>
      </c>
      <c r="G4401" s="26">
        <v>1.1011867223153435</v>
      </c>
      <c r="H4401" s="10">
        <v>2026</v>
      </c>
    </row>
    <row r="4402" spans="1:8" hidden="1" x14ac:dyDescent="0.3">
      <c r="A4402" s="24" t="s">
        <v>43</v>
      </c>
      <c r="B4402" s="24" t="s">
        <v>201</v>
      </c>
      <c r="C4402" s="22">
        <v>1</v>
      </c>
      <c r="D4402" s="25">
        <v>2801792</v>
      </c>
      <c r="E4402" s="25">
        <v>2404082</v>
      </c>
      <c r="F4402" s="25">
        <v>-397710</v>
      </c>
      <c r="G4402" s="26">
        <v>0.85805156128649096</v>
      </c>
      <c r="H4402" s="10">
        <v>2026</v>
      </c>
    </row>
    <row r="4403" spans="1:8" hidden="1" x14ac:dyDescent="0.3">
      <c r="A4403" s="24" t="s">
        <v>43</v>
      </c>
      <c r="B4403" s="24" t="s">
        <v>201</v>
      </c>
      <c r="C4403" s="22">
        <v>2</v>
      </c>
      <c r="D4403" s="25">
        <v>10270500</v>
      </c>
      <c r="E4403" s="25">
        <v>9269000</v>
      </c>
      <c r="F4403" s="25">
        <v>-1001500</v>
      </c>
      <c r="G4403" s="26">
        <v>0.90248770751180574</v>
      </c>
      <c r="H4403" s="10">
        <v>2026</v>
      </c>
    </row>
    <row r="4404" spans="1:8" hidden="1" x14ac:dyDescent="0.3">
      <c r="A4404" s="24" t="s">
        <v>43</v>
      </c>
      <c r="B4404" s="24" t="s">
        <v>201</v>
      </c>
      <c r="C4404" s="22">
        <v>3</v>
      </c>
      <c r="D4404" s="25">
        <v>3250821</v>
      </c>
      <c r="E4404" s="25">
        <v>3300798</v>
      </c>
      <c r="F4404" s="25">
        <v>49977</v>
      </c>
      <c r="G4404" s="26">
        <v>1.0153736548398082</v>
      </c>
      <c r="H4404" s="10">
        <v>2026</v>
      </c>
    </row>
    <row r="4405" spans="1:8" hidden="1" x14ac:dyDescent="0.3">
      <c r="A4405" s="23" t="s">
        <v>43</v>
      </c>
      <c r="B4405" s="23" t="s">
        <v>201</v>
      </c>
      <c r="C4405" s="22">
        <v>4</v>
      </c>
      <c r="D4405" s="25">
        <v>2878994</v>
      </c>
      <c r="E4405" s="25">
        <v>2662046</v>
      </c>
      <c r="F4405" s="25">
        <v>-216948</v>
      </c>
      <c r="G4405" s="26">
        <v>0.92464451124246871</v>
      </c>
      <c r="H4405" s="10">
        <v>2026</v>
      </c>
    </row>
    <row r="4406" spans="1:8" hidden="1" x14ac:dyDescent="0.3">
      <c r="A4406" s="24" t="s">
        <v>68</v>
      </c>
      <c r="B4406" s="24" t="s">
        <v>201</v>
      </c>
      <c r="C4406" s="22">
        <v>1</v>
      </c>
      <c r="D4406" s="25">
        <v>1816237</v>
      </c>
      <c r="E4406" s="25">
        <v>1816238</v>
      </c>
      <c r="F4406" s="25">
        <v>1</v>
      </c>
      <c r="G4406" s="26">
        <v>1.0000005505889376</v>
      </c>
      <c r="H4406" s="10">
        <v>2026</v>
      </c>
    </row>
    <row r="4407" spans="1:8" hidden="1" x14ac:dyDescent="0.3">
      <c r="A4407" s="24" t="s">
        <v>68</v>
      </c>
      <c r="B4407" s="24" t="s">
        <v>201</v>
      </c>
      <c r="C4407" s="22">
        <v>2</v>
      </c>
      <c r="D4407" s="25">
        <v>6318000</v>
      </c>
      <c r="E4407" s="25">
        <v>6318000</v>
      </c>
      <c r="F4407" s="25">
        <v>0</v>
      </c>
      <c r="G4407" s="26">
        <v>1</v>
      </c>
      <c r="H4407" s="10">
        <v>2026</v>
      </c>
    </row>
    <row r="4408" spans="1:8" hidden="1" x14ac:dyDescent="0.3">
      <c r="A4408" s="24" t="s">
        <v>68</v>
      </c>
      <c r="B4408" s="24" t="s">
        <v>201</v>
      </c>
      <c r="C4408" s="22">
        <v>3</v>
      </c>
      <c r="D4408" s="25">
        <v>2255793</v>
      </c>
      <c r="E4408" s="25">
        <v>2530741</v>
      </c>
      <c r="F4408" s="25">
        <v>274948</v>
      </c>
      <c r="G4408" s="26">
        <v>1.1218852970995123</v>
      </c>
      <c r="H4408" s="10">
        <v>2026</v>
      </c>
    </row>
    <row r="4409" spans="1:8" hidden="1" x14ac:dyDescent="0.3">
      <c r="A4409" s="23" t="s">
        <v>68</v>
      </c>
      <c r="B4409" s="23" t="s">
        <v>201</v>
      </c>
      <c r="C4409" s="22">
        <v>4</v>
      </c>
      <c r="D4409" s="25">
        <v>2295175</v>
      </c>
      <c r="E4409" s="25">
        <v>2256210</v>
      </c>
      <c r="F4409" s="25">
        <v>-38965</v>
      </c>
      <c r="G4409" s="26">
        <v>0.98302308102867975</v>
      </c>
      <c r="H4409" s="10">
        <v>2026</v>
      </c>
    </row>
    <row r="4410" spans="1:8" hidden="1" x14ac:dyDescent="0.3">
      <c r="A4410" s="24" t="s">
        <v>43</v>
      </c>
      <c r="B4410" s="24" t="s">
        <v>202</v>
      </c>
      <c r="C4410" s="22">
        <v>1</v>
      </c>
      <c r="D4410" s="25">
        <v>856559</v>
      </c>
      <c r="E4410" s="25">
        <v>734973</v>
      </c>
      <c r="F4410" s="25">
        <v>-121586</v>
      </c>
      <c r="G4410" s="26">
        <v>0.85805297708622519</v>
      </c>
      <c r="H4410" s="10">
        <v>2026</v>
      </c>
    </row>
    <row r="4411" spans="1:8" hidden="1" x14ac:dyDescent="0.3">
      <c r="A4411" s="24" t="s">
        <v>43</v>
      </c>
      <c r="B4411" s="24" t="s">
        <v>202</v>
      </c>
      <c r="C4411" s="22">
        <v>2</v>
      </c>
      <c r="D4411" s="25">
        <v>856559</v>
      </c>
      <c r="E4411" s="25">
        <v>0</v>
      </c>
      <c r="F4411" s="25">
        <v>-856559</v>
      </c>
      <c r="G4411" s="26">
        <v>0</v>
      </c>
      <c r="H4411" s="10">
        <v>2026</v>
      </c>
    </row>
    <row r="4412" spans="1:8" hidden="1" x14ac:dyDescent="0.3">
      <c r="A4412" s="24" t="s">
        <v>43</v>
      </c>
      <c r="B4412" s="24" t="s">
        <v>202</v>
      </c>
      <c r="C4412" s="22">
        <v>3</v>
      </c>
      <c r="D4412" s="25">
        <v>993836</v>
      </c>
      <c r="E4412" s="25">
        <v>1009115</v>
      </c>
      <c r="F4412" s="25">
        <v>15279</v>
      </c>
      <c r="G4412" s="26">
        <v>1.0153737638805598</v>
      </c>
      <c r="H4412" s="10">
        <v>2026</v>
      </c>
    </row>
    <row r="4413" spans="1:8" hidden="1" x14ac:dyDescent="0.3">
      <c r="A4413" s="23" t="s">
        <v>43</v>
      </c>
      <c r="B4413" s="23" t="s">
        <v>202</v>
      </c>
      <c r="C4413" s="22">
        <v>4</v>
      </c>
      <c r="D4413" s="25">
        <v>880161</v>
      </c>
      <c r="E4413" s="25">
        <v>813837</v>
      </c>
      <c r="F4413" s="25">
        <v>-66324</v>
      </c>
      <c r="G4413" s="26">
        <v>0.92464560461097467</v>
      </c>
      <c r="H4413" s="10">
        <v>2026</v>
      </c>
    </row>
    <row r="4414" spans="1:8" hidden="1" x14ac:dyDescent="0.3">
      <c r="A4414" s="24" t="s">
        <v>68</v>
      </c>
      <c r="B4414" s="24" t="s">
        <v>202</v>
      </c>
      <c r="C4414" s="22">
        <v>1</v>
      </c>
      <c r="D4414" s="25">
        <v>555257</v>
      </c>
      <c r="E4414" s="25">
        <v>555256</v>
      </c>
      <c r="F4414" s="25">
        <v>-1</v>
      </c>
      <c r="G4414" s="26">
        <v>0.99999819903215992</v>
      </c>
      <c r="H4414" s="10">
        <v>2026</v>
      </c>
    </row>
    <row r="4415" spans="1:8" hidden="1" x14ac:dyDescent="0.3">
      <c r="A4415" s="24" t="s">
        <v>68</v>
      </c>
      <c r="B4415" s="24" t="s">
        <v>202</v>
      </c>
      <c r="C4415" s="22">
        <v>2</v>
      </c>
      <c r="D4415" s="25">
        <v>555257</v>
      </c>
      <c r="E4415" s="25">
        <v>0</v>
      </c>
      <c r="F4415" s="25">
        <v>-555257</v>
      </c>
      <c r="G4415" s="26">
        <v>0</v>
      </c>
      <c r="H4415" s="10">
        <v>2026</v>
      </c>
    </row>
    <row r="4416" spans="1:8" hidden="1" x14ac:dyDescent="0.3">
      <c r="A4416" s="24" t="s">
        <v>68</v>
      </c>
      <c r="B4416" s="24" t="s">
        <v>202</v>
      </c>
      <c r="C4416" s="22">
        <v>3</v>
      </c>
      <c r="D4416" s="25">
        <v>689637</v>
      </c>
      <c r="E4416" s="25">
        <v>773695</v>
      </c>
      <c r="F4416" s="25">
        <v>84058</v>
      </c>
      <c r="G4416" s="26">
        <v>1.1218873117306642</v>
      </c>
      <c r="H4416" s="10">
        <v>2026</v>
      </c>
    </row>
    <row r="4417" spans="1:8" hidden="1" x14ac:dyDescent="0.3">
      <c r="A4417" s="23" t="s">
        <v>68</v>
      </c>
      <c r="B4417" s="23" t="s">
        <v>202</v>
      </c>
      <c r="C4417" s="22">
        <v>4</v>
      </c>
      <c r="D4417" s="25">
        <v>701677</v>
      </c>
      <c r="E4417" s="25">
        <v>729380</v>
      </c>
      <c r="F4417" s="25">
        <v>27703</v>
      </c>
      <c r="G4417" s="26">
        <v>1.0394811287814765</v>
      </c>
      <c r="H4417" s="10">
        <v>2026</v>
      </c>
    </row>
    <row r="4418" spans="1:8" hidden="1" x14ac:dyDescent="0.3">
      <c r="A4418" s="24" t="s">
        <v>43</v>
      </c>
      <c r="B4418" s="24" t="s">
        <v>203</v>
      </c>
      <c r="C4418" s="22">
        <v>1</v>
      </c>
      <c r="D4418" s="25">
        <v>0</v>
      </c>
      <c r="E4418" s="25">
        <v>0</v>
      </c>
      <c r="F4418" s="25">
        <v>0</v>
      </c>
      <c r="G4418" s="26">
        <v>0</v>
      </c>
      <c r="H4418" s="10">
        <v>2026</v>
      </c>
    </row>
    <row r="4419" spans="1:8" hidden="1" x14ac:dyDescent="0.3">
      <c r="A4419" s="24" t="s">
        <v>43</v>
      </c>
      <c r="B4419" s="24" t="s">
        <v>203</v>
      </c>
      <c r="C4419" s="22">
        <v>2</v>
      </c>
      <c r="D4419" s="25">
        <v>0</v>
      </c>
      <c r="E4419" s="25">
        <v>0</v>
      </c>
      <c r="F4419" s="25">
        <v>0</v>
      </c>
      <c r="G4419" s="26">
        <v>0</v>
      </c>
      <c r="H4419" s="10">
        <v>2026</v>
      </c>
    </row>
    <row r="4420" spans="1:8" hidden="1" x14ac:dyDescent="0.3">
      <c r="A4420" s="24" t="s">
        <v>43</v>
      </c>
      <c r="B4420" s="24" t="s">
        <v>203</v>
      </c>
      <c r="C4420" s="22">
        <v>3</v>
      </c>
      <c r="D4420" s="25">
        <v>268858</v>
      </c>
      <c r="E4420" s="25">
        <v>0</v>
      </c>
      <c r="F4420" s="25">
        <v>-268858</v>
      </c>
      <c r="G4420" s="26">
        <v>0</v>
      </c>
      <c r="H4420" s="10">
        <v>2026</v>
      </c>
    </row>
    <row r="4421" spans="1:8" hidden="1" x14ac:dyDescent="0.3">
      <c r="A4421" s="23" t="s">
        <v>43</v>
      </c>
      <c r="B4421" s="23" t="s">
        <v>203</v>
      </c>
      <c r="C4421" s="22">
        <v>4</v>
      </c>
      <c r="D4421" s="25">
        <v>0</v>
      </c>
      <c r="E4421" s="25">
        <v>373470</v>
      </c>
      <c r="F4421" s="25">
        <v>373470</v>
      </c>
      <c r="G4421" s="26">
        <v>0</v>
      </c>
      <c r="H4421" s="10">
        <v>2026</v>
      </c>
    </row>
    <row r="4422" spans="1:8" hidden="1" x14ac:dyDescent="0.3">
      <c r="A4422" s="24" t="s">
        <v>68</v>
      </c>
      <c r="B4422" s="24" t="s">
        <v>203</v>
      </c>
      <c r="C4422" s="22">
        <v>1</v>
      </c>
      <c r="D4422" s="25">
        <v>0</v>
      </c>
      <c r="E4422" s="25">
        <v>0</v>
      </c>
      <c r="F4422" s="25">
        <v>0</v>
      </c>
      <c r="G4422" s="26">
        <v>0</v>
      </c>
      <c r="H4422" s="10">
        <v>2026</v>
      </c>
    </row>
    <row r="4423" spans="1:8" hidden="1" x14ac:dyDescent="0.3">
      <c r="A4423" s="24" t="s">
        <v>68</v>
      </c>
      <c r="B4423" s="24" t="s">
        <v>203</v>
      </c>
      <c r="C4423" s="22">
        <v>2</v>
      </c>
      <c r="D4423" s="25">
        <v>268858</v>
      </c>
      <c r="E4423" s="25">
        <v>210770</v>
      </c>
      <c r="F4423" s="25">
        <v>-58088</v>
      </c>
      <c r="G4423" s="26">
        <v>0.78394542844177972</v>
      </c>
      <c r="H4423" s="10">
        <v>2026</v>
      </c>
    </row>
    <row r="4424" spans="1:8" hidden="1" x14ac:dyDescent="0.3">
      <c r="A4424" s="24" t="s">
        <v>68</v>
      </c>
      <c r="B4424" s="24" t="s">
        <v>203</v>
      </c>
      <c r="C4424" s="22">
        <v>3</v>
      </c>
      <c r="D4424" s="25">
        <v>268858</v>
      </c>
      <c r="E4424" s="25">
        <v>186735</v>
      </c>
      <c r="F4424" s="25">
        <v>-82123</v>
      </c>
      <c r="G4424" s="26">
        <v>0.69454879527482916</v>
      </c>
      <c r="H4424" s="10">
        <v>2026</v>
      </c>
    </row>
    <row r="4425" spans="1:8" hidden="1" x14ac:dyDescent="0.3">
      <c r="A4425" s="23" t="s">
        <v>68</v>
      </c>
      <c r="B4425" s="23" t="s">
        <v>203</v>
      </c>
      <c r="C4425" s="22">
        <v>4</v>
      </c>
      <c r="D4425" s="25">
        <v>268858</v>
      </c>
      <c r="E4425" s="25">
        <v>463694</v>
      </c>
      <c r="F4425" s="25">
        <v>194836</v>
      </c>
      <c r="G4425" s="26">
        <v>1.7246799425719153</v>
      </c>
      <c r="H4425" s="10">
        <v>2026</v>
      </c>
    </row>
    <row r="4426" spans="1:8" hidden="1" x14ac:dyDescent="0.3">
      <c r="A4426" s="23" t="s">
        <v>82</v>
      </c>
      <c r="B4426" s="23" t="s">
        <v>208</v>
      </c>
      <c r="C4426" s="22">
        <v>1</v>
      </c>
      <c r="D4426" s="25">
        <v>32097.166669999999</v>
      </c>
      <c r="E4426" s="25">
        <v>0</v>
      </c>
      <c r="F4426" s="25">
        <v>-32097.166669999999</v>
      </c>
      <c r="G4426" s="26">
        <v>0</v>
      </c>
      <c r="H4426" s="10">
        <v>2026</v>
      </c>
    </row>
    <row r="4427" spans="1:8" hidden="1" x14ac:dyDescent="0.3">
      <c r="A4427" s="23" t="s">
        <v>82</v>
      </c>
      <c r="B4427" s="24" t="s">
        <v>208</v>
      </c>
      <c r="C4427" s="22">
        <v>2</v>
      </c>
      <c r="D4427" s="25">
        <v>32097.166669999999</v>
      </c>
      <c r="E4427" s="25">
        <v>0</v>
      </c>
      <c r="F4427" s="25">
        <v>-32097.166669999999</v>
      </c>
      <c r="G4427" s="26">
        <v>0</v>
      </c>
      <c r="H4427" s="10">
        <v>2026</v>
      </c>
    </row>
    <row r="4428" spans="1:8" hidden="1" x14ac:dyDescent="0.3">
      <c r="A4428" s="23" t="s">
        <v>82</v>
      </c>
      <c r="B4428" s="24" t="s">
        <v>208</v>
      </c>
      <c r="C4428" s="22">
        <v>3</v>
      </c>
      <c r="D4428" s="25">
        <v>32097.166669999999</v>
      </c>
      <c r="E4428" s="25">
        <v>0</v>
      </c>
      <c r="F4428" s="25">
        <v>-32097.166669999999</v>
      </c>
      <c r="G4428" s="26">
        <v>0</v>
      </c>
      <c r="H4428" s="10">
        <v>2026</v>
      </c>
    </row>
    <row r="4429" spans="1:8" hidden="1" x14ac:dyDescent="0.3">
      <c r="A4429" s="23" t="s">
        <v>82</v>
      </c>
      <c r="B4429" s="24" t="s">
        <v>208</v>
      </c>
      <c r="C4429" s="22">
        <v>4</v>
      </c>
      <c r="D4429" s="25">
        <v>32097.166669999999</v>
      </c>
      <c r="E4429" s="25">
        <v>0</v>
      </c>
      <c r="F4429" s="25">
        <v>-32097.166669999999</v>
      </c>
      <c r="G4429" s="26">
        <v>0</v>
      </c>
      <c r="H4429" s="10">
        <v>2026</v>
      </c>
    </row>
    <row r="4430" spans="1:8" hidden="1" x14ac:dyDescent="0.3">
      <c r="A4430" s="23" t="s">
        <v>253</v>
      </c>
      <c r="B4430" s="23" t="s">
        <v>208</v>
      </c>
      <c r="C4430" s="22">
        <v>3</v>
      </c>
      <c r="D4430" s="25">
        <v>0</v>
      </c>
      <c r="E4430" s="25">
        <v>0</v>
      </c>
      <c r="F4430" s="25">
        <v>0</v>
      </c>
      <c r="G4430" s="26">
        <v>0</v>
      </c>
      <c r="H4430" s="10">
        <v>2026</v>
      </c>
    </row>
    <row r="4431" spans="1:8" hidden="1" x14ac:dyDescent="0.3">
      <c r="A4431" s="23" t="s">
        <v>79</v>
      </c>
      <c r="B4431" s="24" t="s">
        <v>208</v>
      </c>
      <c r="C4431" s="22">
        <v>1</v>
      </c>
      <c r="D4431" s="25">
        <v>0</v>
      </c>
      <c r="E4431" s="25">
        <v>0</v>
      </c>
      <c r="F4431" s="25">
        <v>0</v>
      </c>
      <c r="G4431" s="26">
        <v>0</v>
      </c>
      <c r="H4431" s="10">
        <v>2026</v>
      </c>
    </row>
    <row r="4432" spans="1:8" hidden="1" x14ac:dyDescent="0.3">
      <c r="A4432" s="23" t="s">
        <v>79</v>
      </c>
      <c r="B4432" s="24" t="s">
        <v>208</v>
      </c>
      <c r="C4432" s="22">
        <v>2</v>
      </c>
      <c r="D4432" s="25">
        <v>0</v>
      </c>
      <c r="E4432" s="25">
        <v>0</v>
      </c>
      <c r="F4432" s="25">
        <v>0</v>
      </c>
      <c r="G4432" s="26">
        <v>0</v>
      </c>
      <c r="H4432" s="10">
        <v>2026</v>
      </c>
    </row>
    <row r="4433" spans="1:8" hidden="1" x14ac:dyDescent="0.3">
      <c r="A4433" s="23" t="s">
        <v>79</v>
      </c>
      <c r="B4433" s="24" t="s">
        <v>208</v>
      </c>
      <c r="C4433" s="22">
        <v>3</v>
      </c>
      <c r="D4433" s="25">
        <v>0</v>
      </c>
      <c r="E4433" s="25">
        <v>0</v>
      </c>
      <c r="F4433" s="25">
        <v>0</v>
      </c>
      <c r="G4433" s="26">
        <v>0</v>
      </c>
      <c r="H4433" s="10">
        <v>2026</v>
      </c>
    </row>
    <row r="4434" spans="1:8" hidden="1" x14ac:dyDescent="0.3">
      <c r="A4434" s="23" t="s">
        <v>79</v>
      </c>
      <c r="B4434" s="23" t="s">
        <v>208</v>
      </c>
      <c r="C4434" s="22">
        <v>4</v>
      </c>
      <c r="D4434" s="25">
        <v>269399</v>
      </c>
      <c r="E4434" s="25">
        <v>0</v>
      </c>
      <c r="F4434" s="25">
        <v>-269399</v>
      </c>
      <c r="G4434" s="26">
        <v>0</v>
      </c>
      <c r="H4434" s="10">
        <v>2026</v>
      </c>
    </row>
    <row r="4435" spans="1:8" x14ac:dyDescent="0.3">
      <c r="A4435" s="23" t="s">
        <v>75</v>
      </c>
      <c r="B4435" s="24" t="s">
        <v>208</v>
      </c>
      <c r="C4435" s="22">
        <v>2</v>
      </c>
      <c r="D4435" s="25">
        <v>0</v>
      </c>
      <c r="E4435" s="25">
        <v>702162</v>
      </c>
      <c r="F4435" s="25">
        <v>702162</v>
      </c>
      <c r="G4435" s="26">
        <v>0</v>
      </c>
      <c r="H4435" s="10">
        <v>2026</v>
      </c>
    </row>
    <row r="4436" spans="1:8" x14ac:dyDescent="0.3">
      <c r="A4436" s="23" t="s">
        <v>75</v>
      </c>
      <c r="B4436" s="24" t="s">
        <v>208</v>
      </c>
      <c r="C4436" s="22">
        <v>3</v>
      </c>
      <c r="D4436" s="25">
        <v>0</v>
      </c>
      <c r="E4436" s="25">
        <v>0</v>
      </c>
      <c r="F4436" s="25">
        <v>0</v>
      </c>
      <c r="G4436" s="26">
        <v>0</v>
      </c>
      <c r="H4436" s="10">
        <v>2026</v>
      </c>
    </row>
    <row r="4437" spans="1:8" x14ac:dyDescent="0.3">
      <c r="A4437" s="23" t="s">
        <v>75</v>
      </c>
      <c r="B4437" s="24" t="s">
        <v>208</v>
      </c>
      <c r="C4437" s="22">
        <v>4</v>
      </c>
      <c r="D4437" s="25">
        <v>0</v>
      </c>
      <c r="E4437" s="25">
        <v>0</v>
      </c>
      <c r="F4437" s="25">
        <v>0</v>
      </c>
      <c r="G4437" s="26">
        <v>0</v>
      </c>
      <c r="H4437" s="10">
        <v>2026</v>
      </c>
    </row>
    <row r="4438" spans="1:8" hidden="1" x14ac:dyDescent="0.3">
      <c r="A4438" s="23" t="s">
        <v>146</v>
      </c>
      <c r="B4438" s="23" t="s">
        <v>208</v>
      </c>
      <c r="C4438" s="22">
        <v>3</v>
      </c>
      <c r="D4438" s="25">
        <v>0</v>
      </c>
      <c r="E4438" s="25">
        <v>24480</v>
      </c>
      <c r="F4438" s="25">
        <v>24480</v>
      </c>
      <c r="G4438" s="26">
        <v>0</v>
      </c>
      <c r="H4438" s="10">
        <v>2026</v>
      </c>
    </row>
    <row r="4439" spans="1:8" hidden="1" x14ac:dyDescent="0.3">
      <c r="A4439" s="24" t="s">
        <v>146</v>
      </c>
      <c r="B4439" s="24" t="s">
        <v>208</v>
      </c>
      <c r="C4439" s="22">
        <v>4</v>
      </c>
      <c r="D4439" s="25">
        <v>0</v>
      </c>
      <c r="E4439" s="25">
        <v>0</v>
      </c>
      <c r="F4439" s="25">
        <v>0</v>
      </c>
      <c r="G4439" s="26">
        <v>0</v>
      </c>
      <c r="H4439" s="10">
        <v>2026</v>
      </c>
    </row>
    <row r="4440" spans="1:8" hidden="1" x14ac:dyDescent="0.3">
      <c r="A4440" s="24" t="s">
        <v>147</v>
      </c>
      <c r="B4440" s="24" t="s">
        <v>208</v>
      </c>
      <c r="C4440" s="22">
        <v>1</v>
      </c>
      <c r="D4440" s="25">
        <v>370388</v>
      </c>
      <c r="E4440" s="25">
        <v>0</v>
      </c>
      <c r="F4440" s="25">
        <v>-370388</v>
      </c>
      <c r="G4440" s="26">
        <v>0</v>
      </c>
      <c r="H4440" s="10">
        <v>2026</v>
      </c>
    </row>
    <row r="4441" spans="1:8" hidden="1" x14ac:dyDescent="0.3">
      <c r="A4441" s="24" t="s">
        <v>147</v>
      </c>
      <c r="B4441" s="24" t="s">
        <v>208</v>
      </c>
      <c r="C4441" s="22">
        <v>2</v>
      </c>
      <c r="D4441" s="25">
        <v>1153901</v>
      </c>
      <c r="E4441" s="25">
        <v>1040057</v>
      </c>
      <c r="F4441" s="25">
        <v>-113844</v>
      </c>
      <c r="G4441" s="26">
        <v>0.90133988964391232</v>
      </c>
      <c r="H4441" s="10">
        <v>2026</v>
      </c>
    </row>
    <row r="4442" spans="1:8" hidden="1" x14ac:dyDescent="0.3">
      <c r="A4442" s="23" t="s">
        <v>147</v>
      </c>
      <c r="B4442" s="23" t="s">
        <v>208</v>
      </c>
      <c r="C4442" s="22">
        <v>3</v>
      </c>
      <c r="D4442" s="25">
        <v>483169</v>
      </c>
      <c r="E4442" s="25">
        <v>1631386</v>
      </c>
      <c r="F4442" s="25">
        <v>1148217</v>
      </c>
      <c r="G4442" s="26">
        <v>3.3764293652945452</v>
      </c>
      <c r="H4442" s="10">
        <v>2026</v>
      </c>
    </row>
    <row r="4443" spans="1:8" hidden="1" x14ac:dyDescent="0.3">
      <c r="A4443" s="24" t="s">
        <v>147</v>
      </c>
      <c r="B4443" s="24" t="s">
        <v>208</v>
      </c>
      <c r="C4443" s="22">
        <v>4</v>
      </c>
      <c r="D4443" s="25">
        <v>175463</v>
      </c>
      <c r="E4443" s="25">
        <v>625000</v>
      </c>
      <c r="F4443" s="25">
        <v>449537</v>
      </c>
      <c r="G4443" s="26">
        <v>3.5620045251705488</v>
      </c>
      <c r="H4443" s="10">
        <v>2026</v>
      </c>
    </row>
    <row r="4444" spans="1:8" hidden="1" x14ac:dyDescent="0.3">
      <c r="A4444" s="24" t="s">
        <v>7</v>
      </c>
      <c r="B4444" s="24" t="s">
        <v>204</v>
      </c>
      <c r="C4444" s="22">
        <v>1</v>
      </c>
      <c r="D4444" s="25">
        <v>0</v>
      </c>
      <c r="E4444" s="25">
        <v>0</v>
      </c>
      <c r="F4444" s="25">
        <v>0</v>
      </c>
      <c r="G4444" s="26">
        <v>0</v>
      </c>
      <c r="H4444" s="10">
        <v>2026</v>
      </c>
    </row>
    <row r="4445" spans="1:8" hidden="1" x14ac:dyDescent="0.3">
      <c r="A4445" s="24" t="s">
        <v>7</v>
      </c>
      <c r="B4445" s="24" t="s">
        <v>204</v>
      </c>
      <c r="C4445" s="22">
        <v>2</v>
      </c>
      <c r="D4445" s="25">
        <v>5018230</v>
      </c>
      <c r="E4445" s="25">
        <v>5018230</v>
      </c>
      <c r="F4445" s="25">
        <v>0</v>
      </c>
      <c r="G4445" s="26">
        <v>1</v>
      </c>
      <c r="H4445" s="10">
        <v>2026</v>
      </c>
    </row>
    <row r="4446" spans="1:8" hidden="1" x14ac:dyDescent="0.3">
      <c r="A4446" s="23" t="s">
        <v>7</v>
      </c>
      <c r="B4446" s="23" t="s">
        <v>204</v>
      </c>
      <c r="C4446" s="22">
        <v>3</v>
      </c>
      <c r="D4446" s="25">
        <v>0</v>
      </c>
      <c r="E4446" s="25">
        <v>0</v>
      </c>
      <c r="F4446" s="25">
        <v>0</v>
      </c>
      <c r="G4446" s="26">
        <v>0</v>
      </c>
      <c r="H4446" s="10">
        <v>2026</v>
      </c>
    </row>
    <row r="4447" spans="1:8" hidden="1" x14ac:dyDescent="0.3">
      <c r="A4447" s="24" t="s">
        <v>7</v>
      </c>
      <c r="B4447" s="24" t="s">
        <v>204</v>
      </c>
      <c r="C4447" s="22">
        <v>4</v>
      </c>
      <c r="D4447" s="25">
        <v>11200000</v>
      </c>
      <c r="E4447" s="25">
        <v>11200000</v>
      </c>
      <c r="F4447" s="25">
        <v>0</v>
      </c>
      <c r="G4447" s="26">
        <v>1</v>
      </c>
      <c r="H4447" s="10">
        <v>2026</v>
      </c>
    </row>
    <row r="4448" spans="1:8" hidden="1" x14ac:dyDescent="0.3">
      <c r="A4448" s="24" t="s">
        <v>56</v>
      </c>
      <c r="B4448" s="24" t="s">
        <v>204</v>
      </c>
      <c r="C4448" s="22">
        <v>1</v>
      </c>
      <c r="D4448" s="25">
        <v>0</v>
      </c>
      <c r="E4448" s="25">
        <v>0</v>
      </c>
      <c r="F4448" s="25">
        <v>0</v>
      </c>
      <c r="G4448" s="26">
        <v>0</v>
      </c>
      <c r="H4448" s="10">
        <v>2026</v>
      </c>
    </row>
    <row r="4449" spans="1:8" hidden="1" x14ac:dyDescent="0.3">
      <c r="A4449" s="24" t="s">
        <v>56</v>
      </c>
      <c r="B4449" s="24" t="s">
        <v>204</v>
      </c>
      <c r="C4449" s="22">
        <v>2</v>
      </c>
      <c r="D4449" s="25">
        <v>108600000</v>
      </c>
      <c r="E4449" s="25">
        <v>108600000</v>
      </c>
      <c r="F4449" s="25">
        <v>0</v>
      </c>
      <c r="G4449" s="26">
        <v>1</v>
      </c>
      <c r="H4449" s="10">
        <v>2026</v>
      </c>
    </row>
    <row r="4450" spans="1:8" hidden="1" x14ac:dyDescent="0.3">
      <c r="A4450" s="23" t="s">
        <v>56</v>
      </c>
      <c r="B4450" s="23" t="s">
        <v>204</v>
      </c>
      <c r="C4450" s="22">
        <v>3</v>
      </c>
      <c r="D4450" s="25">
        <v>108600000</v>
      </c>
      <c r="E4450" s="25">
        <v>108600000</v>
      </c>
      <c r="F4450" s="25">
        <v>0</v>
      </c>
      <c r="G4450" s="26">
        <v>1</v>
      </c>
      <c r="H4450" s="10">
        <v>2026</v>
      </c>
    </row>
    <row r="4451" spans="1:8" hidden="1" x14ac:dyDescent="0.3">
      <c r="A4451" s="24" t="s">
        <v>56</v>
      </c>
      <c r="B4451" s="24" t="s">
        <v>204</v>
      </c>
      <c r="C4451" s="22">
        <v>4</v>
      </c>
      <c r="D4451" s="25">
        <v>108600000</v>
      </c>
      <c r="E4451" s="25">
        <v>108600000</v>
      </c>
      <c r="F4451" s="25">
        <v>0</v>
      </c>
      <c r="G4451" s="26">
        <v>1</v>
      </c>
      <c r="H4451" s="10">
        <v>2026</v>
      </c>
    </row>
    <row r="4452" spans="1:8" hidden="1" x14ac:dyDescent="0.3">
      <c r="A4452" s="24" t="s">
        <v>68</v>
      </c>
      <c r="B4452" s="24" t="s">
        <v>208</v>
      </c>
      <c r="C4452" s="22">
        <v>2</v>
      </c>
      <c r="D4452" s="25">
        <v>0</v>
      </c>
      <c r="E4452" s="25">
        <v>29750</v>
      </c>
      <c r="F4452" s="25">
        <v>29750</v>
      </c>
      <c r="G4452" s="26">
        <v>0</v>
      </c>
      <c r="H4452" s="10">
        <v>2026</v>
      </c>
    </row>
    <row r="4453" spans="1:8" hidden="1" x14ac:dyDescent="0.3">
      <c r="A4453" s="24" t="s">
        <v>68</v>
      </c>
      <c r="B4453" s="24" t="s">
        <v>208</v>
      </c>
      <c r="C4453" s="22">
        <v>3</v>
      </c>
      <c r="D4453" s="25">
        <v>0</v>
      </c>
      <c r="E4453" s="25">
        <v>21429</v>
      </c>
      <c r="F4453" s="25">
        <v>21429</v>
      </c>
      <c r="G4453" s="26">
        <v>0</v>
      </c>
      <c r="H4453" s="10">
        <v>2026</v>
      </c>
    </row>
    <row r="4454" spans="1:8" hidden="1" x14ac:dyDescent="0.3">
      <c r="A4454" s="24" t="s">
        <v>68</v>
      </c>
      <c r="B4454" s="24" t="s">
        <v>208</v>
      </c>
      <c r="C4454" s="22">
        <v>4</v>
      </c>
      <c r="D4454" s="25">
        <v>0</v>
      </c>
      <c r="E4454" s="25">
        <v>0</v>
      </c>
      <c r="F4454" s="25">
        <v>0</v>
      </c>
      <c r="G4454" s="26">
        <v>0</v>
      </c>
      <c r="H4454" s="10">
        <v>2026</v>
      </c>
    </row>
    <row r="4455" spans="1:8" hidden="1" x14ac:dyDescent="0.3">
      <c r="A4455" s="24" t="s">
        <v>43</v>
      </c>
      <c r="B4455" s="24" t="s">
        <v>204</v>
      </c>
      <c r="C4455" s="22">
        <v>2</v>
      </c>
      <c r="D4455" s="25">
        <v>0</v>
      </c>
      <c r="E4455" s="25">
        <v>5543105</v>
      </c>
      <c r="F4455" s="25">
        <v>5543105</v>
      </c>
      <c r="G4455" s="26">
        <v>0</v>
      </c>
      <c r="H4455" s="10">
        <v>2026</v>
      </c>
    </row>
    <row r="4456" spans="1:8" hidden="1" x14ac:dyDescent="0.3">
      <c r="A4456" s="24" t="s">
        <v>43</v>
      </c>
      <c r="B4456" s="24" t="s">
        <v>204</v>
      </c>
      <c r="C4456" s="22">
        <v>3</v>
      </c>
      <c r="D4456" s="25">
        <v>0</v>
      </c>
      <c r="E4456" s="25">
        <v>0</v>
      </c>
      <c r="F4456" s="25">
        <v>0</v>
      </c>
      <c r="G4456" s="26">
        <v>0</v>
      </c>
      <c r="H4456" s="10">
        <v>2026</v>
      </c>
    </row>
    <row r="4457" spans="1:8" hidden="1" x14ac:dyDescent="0.3">
      <c r="A4457" s="24" t="s">
        <v>43</v>
      </c>
      <c r="B4457" s="24" t="s">
        <v>204</v>
      </c>
      <c r="C4457" s="22">
        <v>4</v>
      </c>
      <c r="D4457" s="25">
        <v>0</v>
      </c>
      <c r="E4457" s="25">
        <v>0</v>
      </c>
      <c r="F4457" s="25">
        <v>0</v>
      </c>
      <c r="G4457" s="26">
        <v>0</v>
      </c>
      <c r="H4457" s="10">
        <v>2026</v>
      </c>
    </row>
  </sheetData>
  <autoFilter ref="A1:H4457" xr:uid="{5FED231D-A8ED-4301-BFD9-010CEBDED17F}">
    <filterColumn colId="0">
      <filters>
        <filter val="MANTENIMIENTO"/>
      </filters>
    </filterColumn>
    <filterColumn colId="7">
      <filters>
        <filter val="202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6C90-96F0-455B-B0C6-22F349FBE6D8}">
  <sheetPr filterMode="1"/>
  <dimension ref="A1:I3802"/>
  <sheetViews>
    <sheetView workbookViewId="0">
      <selection activeCell="A2932" sqref="A2932"/>
    </sheetView>
  </sheetViews>
  <sheetFormatPr baseColWidth="10" defaultRowHeight="14.4" x14ac:dyDescent="0.3"/>
  <cols>
    <col min="1" max="1" width="35.5546875" bestFit="1" customWidth="1"/>
    <col min="2" max="2" width="39.88671875" bestFit="1" customWidth="1"/>
    <col min="3" max="3" width="6.77734375" customWidth="1"/>
    <col min="4" max="4" width="12.109375" bestFit="1" customWidth="1"/>
    <col min="5" max="5" width="15.33203125" bestFit="1" customWidth="1"/>
    <col min="6" max="6" width="12.109375" bestFit="1" customWidth="1"/>
    <col min="7" max="7" width="10.109375" bestFit="1" customWidth="1"/>
    <col min="8" max="8" width="12.21875" style="11" customWidth="1"/>
  </cols>
  <sheetData>
    <row r="1" spans="1:9" s="8" customFormat="1" x14ac:dyDescent="0.3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9" t="s">
        <v>172</v>
      </c>
      <c r="I1" s="9" t="s">
        <v>238</v>
      </c>
    </row>
    <row r="2" spans="1:9" hidden="1" x14ac:dyDescent="0.3">
      <c r="A2" s="16" t="s">
        <v>7</v>
      </c>
      <c r="B2" s="16" t="s">
        <v>8</v>
      </c>
      <c r="C2" s="15">
        <v>1</v>
      </c>
      <c r="D2" s="17">
        <v>3250000</v>
      </c>
      <c r="E2" s="17">
        <v>3250000</v>
      </c>
      <c r="F2" s="17">
        <v>0</v>
      </c>
      <c r="G2" s="18">
        <v>1</v>
      </c>
      <c r="H2" s="10" t="str">
        <f>+IF(OR(A2="ADMINISTRACION",A2="COMERCIAL",A2="COMERCIAL-EXPORTACIONES",A2="LEASING DE LA BODEGA",A2="LOGISTICA-SALIDA",A2="OTROS GASTOS",A2="BODEGA ALQUILADA", A2="BODEGA CARTOPLAST", A2="BODEGA CARTOPLAS", A2= "GESTION HUMANA-OTROS GASTOS"),"GASTOS","COSTOS")</f>
        <v>GASTOS</v>
      </c>
      <c r="I2" s="19">
        <v>2025</v>
      </c>
    </row>
    <row r="3" spans="1:9" hidden="1" x14ac:dyDescent="0.3">
      <c r="A3" s="16" t="s">
        <v>7</v>
      </c>
      <c r="B3" s="16" t="s">
        <v>8</v>
      </c>
      <c r="C3" s="15">
        <v>2</v>
      </c>
      <c r="D3" s="17">
        <v>3558750</v>
      </c>
      <c r="E3" s="17">
        <v>3558750</v>
      </c>
      <c r="F3" s="17">
        <v>0</v>
      </c>
      <c r="G3" s="18">
        <v>1</v>
      </c>
      <c r="H3" s="10" t="str">
        <f t="shared" ref="H3:H66" si="0">+IF(OR(A3="ADMINISTRACION",A3="COMERCIAL",A3="COMERCIAL-EXPORTACIONES",A3="LEASING DE LA BODEGA",A3="LOGISTICA-SALIDA",A3="OTROS GASTOS",A3="BODEGA ALQUILADA", A3="BODEGA CARTOPLAST", A3="BODEGA CARTOPLAS", A3= "GESTION HUMANA-OTROS GASTOS"),"GASTOS","COSTOS")</f>
        <v>GASTOS</v>
      </c>
      <c r="I3" s="19">
        <v>2025</v>
      </c>
    </row>
    <row r="4" spans="1:9" hidden="1" x14ac:dyDescent="0.3">
      <c r="A4" s="16" t="s">
        <v>7</v>
      </c>
      <c r="B4" s="16" t="s">
        <v>8</v>
      </c>
      <c r="C4" s="15">
        <v>3</v>
      </c>
      <c r="D4" s="17">
        <v>3558750</v>
      </c>
      <c r="E4" s="17">
        <v>3558750</v>
      </c>
      <c r="F4" s="17">
        <v>0</v>
      </c>
      <c r="G4" s="18">
        <v>1</v>
      </c>
      <c r="H4" s="10" t="str">
        <f t="shared" si="0"/>
        <v>GASTOS</v>
      </c>
      <c r="I4" s="19">
        <v>2025</v>
      </c>
    </row>
    <row r="5" spans="1:9" hidden="1" x14ac:dyDescent="0.3">
      <c r="A5" s="16" t="s">
        <v>7</v>
      </c>
      <c r="B5" s="16" t="s">
        <v>8</v>
      </c>
      <c r="C5" s="15">
        <v>4</v>
      </c>
      <c r="D5" s="17">
        <v>3558750</v>
      </c>
      <c r="E5" s="17">
        <v>3558750</v>
      </c>
      <c r="F5" s="17">
        <v>0</v>
      </c>
      <c r="G5" s="18">
        <v>1</v>
      </c>
      <c r="H5" s="10" t="str">
        <f t="shared" si="0"/>
        <v>GASTOS</v>
      </c>
      <c r="I5" s="19">
        <v>2025</v>
      </c>
    </row>
    <row r="6" spans="1:9" hidden="1" x14ac:dyDescent="0.3">
      <c r="A6" s="16" t="s">
        <v>7</v>
      </c>
      <c r="B6" s="16" t="s">
        <v>8</v>
      </c>
      <c r="C6" s="15">
        <v>5</v>
      </c>
      <c r="D6" s="17">
        <v>3558750</v>
      </c>
      <c r="E6" s="17">
        <v>3558750</v>
      </c>
      <c r="F6" s="17">
        <v>0</v>
      </c>
      <c r="G6" s="18">
        <v>1</v>
      </c>
      <c r="H6" s="10" t="str">
        <f t="shared" si="0"/>
        <v>GASTOS</v>
      </c>
      <c r="I6" s="19">
        <v>2025</v>
      </c>
    </row>
    <row r="7" spans="1:9" hidden="1" x14ac:dyDescent="0.3">
      <c r="A7" s="16" t="s">
        <v>7</v>
      </c>
      <c r="B7" s="16" t="s">
        <v>8</v>
      </c>
      <c r="C7" s="15">
        <v>6</v>
      </c>
      <c r="D7" s="17">
        <v>3558750</v>
      </c>
      <c r="E7" s="17">
        <v>3558750</v>
      </c>
      <c r="F7" s="17">
        <v>0</v>
      </c>
      <c r="G7" s="18">
        <v>1</v>
      </c>
      <c r="H7" s="10" t="str">
        <f t="shared" si="0"/>
        <v>GASTOS</v>
      </c>
      <c r="I7" s="19">
        <v>2025</v>
      </c>
    </row>
    <row r="8" spans="1:9" hidden="1" x14ac:dyDescent="0.3">
      <c r="A8" s="16" t="s">
        <v>7</v>
      </c>
      <c r="B8" s="16" t="s">
        <v>8</v>
      </c>
      <c r="C8" s="15">
        <v>7</v>
      </c>
      <c r="D8" s="17">
        <v>3558750</v>
      </c>
      <c r="E8" s="17">
        <v>3558750</v>
      </c>
      <c r="F8" s="17">
        <v>0</v>
      </c>
      <c r="G8" s="18">
        <v>1</v>
      </c>
      <c r="H8" s="10" t="str">
        <f t="shared" si="0"/>
        <v>GASTOS</v>
      </c>
      <c r="I8" s="19">
        <v>2025</v>
      </c>
    </row>
    <row r="9" spans="1:9" hidden="1" x14ac:dyDescent="0.3">
      <c r="A9" s="16" t="s">
        <v>7</v>
      </c>
      <c r="B9" s="16" t="s">
        <v>8</v>
      </c>
      <c r="C9" s="15">
        <v>8</v>
      </c>
      <c r="D9" s="17">
        <v>3558750</v>
      </c>
      <c r="E9" s="17">
        <v>3558750</v>
      </c>
      <c r="F9" s="17">
        <v>0</v>
      </c>
      <c r="G9" s="18">
        <v>1</v>
      </c>
      <c r="H9" s="10" t="str">
        <f t="shared" si="0"/>
        <v>GASTOS</v>
      </c>
      <c r="I9" s="19">
        <v>2025</v>
      </c>
    </row>
    <row r="10" spans="1:9" hidden="1" x14ac:dyDescent="0.3">
      <c r="A10" s="16" t="s">
        <v>7</v>
      </c>
      <c r="B10" s="16" t="s">
        <v>8</v>
      </c>
      <c r="C10" s="15">
        <v>9</v>
      </c>
      <c r="D10" s="17">
        <v>3558750</v>
      </c>
      <c r="E10" s="17">
        <v>3558750</v>
      </c>
      <c r="F10" s="17">
        <v>0</v>
      </c>
      <c r="G10" s="18">
        <v>1</v>
      </c>
      <c r="H10" s="10" t="str">
        <f t="shared" si="0"/>
        <v>GASTOS</v>
      </c>
      <c r="I10" s="19">
        <v>2025</v>
      </c>
    </row>
    <row r="11" spans="1:9" hidden="1" x14ac:dyDescent="0.3">
      <c r="A11" s="16" t="s">
        <v>7</v>
      </c>
      <c r="B11" s="16" t="s">
        <v>8</v>
      </c>
      <c r="C11" s="15">
        <v>10</v>
      </c>
      <c r="D11" s="17">
        <v>3558750</v>
      </c>
      <c r="E11" s="17">
        <v>3558750</v>
      </c>
      <c r="F11" s="17">
        <v>0</v>
      </c>
      <c r="G11" s="18">
        <v>1</v>
      </c>
      <c r="H11" s="10" t="str">
        <f t="shared" si="0"/>
        <v>GASTOS</v>
      </c>
      <c r="I11" s="19">
        <v>2025</v>
      </c>
    </row>
    <row r="12" spans="1:9" hidden="1" x14ac:dyDescent="0.3">
      <c r="A12" s="16" t="s">
        <v>7</v>
      </c>
      <c r="B12" s="16" t="s">
        <v>9</v>
      </c>
      <c r="C12" s="15">
        <v>1</v>
      </c>
      <c r="D12" s="17">
        <v>0</v>
      </c>
      <c r="E12" s="17">
        <v>1300000</v>
      </c>
      <c r="F12" s="17">
        <v>1300000</v>
      </c>
      <c r="G12" s="18">
        <v>0</v>
      </c>
      <c r="H12" s="10" t="str">
        <f t="shared" si="0"/>
        <v>GASTOS</v>
      </c>
      <c r="I12" s="19">
        <v>2025</v>
      </c>
    </row>
    <row r="13" spans="1:9" hidden="1" x14ac:dyDescent="0.3">
      <c r="A13" s="16" t="s">
        <v>7</v>
      </c>
      <c r="B13" s="16" t="s">
        <v>9</v>
      </c>
      <c r="C13" s="15">
        <v>3</v>
      </c>
      <c r="D13" s="17">
        <v>0</v>
      </c>
      <c r="E13" s="17">
        <v>1600000</v>
      </c>
      <c r="F13" s="17">
        <v>1600000</v>
      </c>
      <c r="G13" s="18">
        <v>0</v>
      </c>
      <c r="H13" s="10" t="str">
        <f t="shared" si="0"/>
        <v>GASTOS</v>
      </c>
      <c r="I13" s="19">
        <v>2025</v>
      </c>
    </row>
    <row r="14" spans="1:9" hidden="1" x14ac:dyDescent="0.3">
      <c r="A14" s="16" t="s">
        <v>7</v>
      </c>
      <c r="B14" s="16" t="s">
        <v>9</v>
      </c>
      <c r="C14" s="15">
        <v>5</v>
      </c>
      <c r="D14" s="17">
        <v>1500000</v>
      </c>
      <c r="E14" s="17">
        <v>0</v>
      </c>
      <c r="F14" s="17">
        <v>-1500000</v>
      </c>
      <c r="G14" s="18">
        <v>0</v>
      </c>
      <c r="H14" s="10" t="str">
        <f t="shared" si="0"/>
        <v>GASTOS</v>
      </c>
      <c r="I14" s="19">
        <v>2025</v>
      </c>
    </row>
    <row r="15" spans="1:9" hidden="1" x14ac:dyDescent="0.3">
      <c r="A15" s="16" t="s">
        <v>7</v>
      </c>
      <c r="B15" s="16" t="s">
        <v>9</v>
      </c>
      <c r="C15" s="15">
        <v>9</v>
      </c>
      <c r="D15" s="17">
        <v>0</v>
      </c>
      <c r="E15" s="17">
        <v>2000000</v>
      </c>
      <c r="F15" s="17">
        <v>2000000</v>
      </c>
      <c r="G15" s="18">
        <v>0</v>
      </c>
      <c r="H15" s="10" t="str">
        <f t="shared" si="0"/>
        <v>GASTOS</v>
      </c>
      <c r="I15" s="19">
        <v>2025</v>
      </c>
    </row>
    <row r="16" spans="1:9" hidden="1" x14ac:dyDescent="0.3">
      <c r="A16" s="16" t="s">
        <v>7</v>
      </c>
      <c r="B16" s="16" t="s">
        <v>10</v>
      </c>
      <c r="C16" s="15">
        <v>1</v>
      </c>
      <c r="D16" s="17">
        <v>1423500</v>
      </c>
      <c r="E16" s="17">
        <v>1423500</v>
      </c>
      <c r="F16" s="17">
        <v>0</v>
      </c>
      <c r="G16" s="18">
        <v>1</v>
      </c>
      <c r="H16" s="10" t="str">
        <f t="shared" si="0"/>
        <v>GASTOS</v>
      </c>
      <c r="I16" s="19">
        <v>2025</v>
      </c>
    </row>
    <row r="17" spans="1:9" hidden="1" x14ac:dyDescent="0.3">
      <c r="A17" s="16" t="s">
        <v>7</v>
      </c>
      <c r="B17" s="16" t="s">
        <v>10</v>
      </c>
      <c r="C17" s="15">
        <v>2</v>
      </c>
      <c r="D17" s="17">
        <v>1423500</v>
      </c>
      <c r="E17" s="17">
        <v>1423500</v>
      </c>
      <c r="F17" s="17">
        <v>0</v>
      </c>
      <c r="G17" s="18">
        <v>1</v>
      </c>
      <c r="H17" s="10" t="str">
        <f t="shared" si="0"/>
        <v>GASTOS</v>
      </c>
      <c r="I17" s="19">
        <v>2025</v>
      </c>
    </row>
    <row r="18" spans="1:9" hidden="1" x14ac:dyDescent="0.3">
      <c r="A18" s="16" t="s">
        <v>7</v>
      </c>
      <c r="B18" s="16" t="s">
        <v>10</v>
      </c>
      <c r="C18" s="15">
        <v>3</v>
      </c>
      <c r="D18" s="17">
        <v>1423500</v>
      </c>
      <c r="E18" s="17">
        <v>1423500</v>
      </c>
      <c r="F18" s="17">
        <v>0</v>
      </c>
      <c r="G18" s="18">
        <v>1</v>
      </c>
      <c r="H18" s="10" t="str">
        <f t="shared" si="0"/>
        <v>GASTOS</v>
      </c>
      <c r="I18" s="19">
        <v>2025</v>
      </c>
    </row>
    <row r="19" spans="1:9" hidden="1" x14ac:dyDescent="0.3">
      <c r="A19" s="16" t="s">
        <v>7</v>
      </c>
      <c r="B19" s="16" t="s">
        <v>10</v>
      </c>
      <c r="C19" s="15">
        <v>4</v>
      </c>
      <c r="D19" s="17">
        <v>1423500</v>
      </c>
      <c r="E19" s="17">
        <v>1423500</v>
      </c>
      <c r="F19" s="17">
        <v>0</v>
      </c>
      <c r="G19" s="18">
        <v>1</v>
      </c>
      <c r="H19" s="10" t="str">
        <f t="shared" si="0"/>
        <v>GASTOS</v>
      </c>
      <c r="I19" s="19">
        <v>2025</v>
      </c>
    </row>
    <row r="20" spans="1:9" hidden="1" x14ac:dyDescent="0.3">
      <c r="A20" s="16" t="s">
        <v>7</v>
      </c>
      <c r="B20" s="16" t="s">
        <v>10</v>
      </c>
      <c r="C20" s="15">
        <v>5</v>
      </c>
      <c r="D20" s="17">
        <v>1423500</v>
      </c>
      <c r="E20" s="17">
        <v>1423500</v>
      </c>
      <c r="F20" s="17">
        <v>0</v>
      </c>
      <c r="G20" s="18">
        <v>1</v>
      </c>
      <c r="H20" s="10" t="str">
        <f t="shared" si="0"/>
        <v>GASTOS</v>
      </c>
      <c r="I20" s="19">
        <v>2025</v>
      </c>
    </row>
    <row r="21" spans="1:9" hidden="1" x14ac:dyDescent="0.3">
      <c r="A21" s="16" t="s">
        <v>7</v>
      </c>
      <c r="B21" s="16" t="s">
        <v>10</v>
      </c>
      <c r="C21" s="15">
        <v>6</v>
      </c>
      <c r="D21" s="17">
        <v>1423500</v>
      </c>
      <c r="E21" s="17">
        <v>1423500</v>
      </c>
      <c r="F21" s="17">
        <v>0</v>
      </c>
      <c r="G21" s="18">
        <v>1</v>
      </c>
      <c r="H21" s="10" t="str">
        <f t="shared" si="0"/>
        <v>GASTOS</v>
      </c>
      <c r="I21" s="19">
        <v>2025</v>
      </c>
    </row>
    <row r="22" spans="1:9" hidden="1" x14ac:dyDescent="0.3">
      <c r="A22" s="16" t="s">
        <v>7</v>
      </c>
      <c r="B22" s="16" t="s">
        <v>10</v>
      </c>
      <c r="C22" s="15">
        <v>7</v>
      </c>
      <c r="D22" s="17">
        <v>1423500</v>
      </c>
      <c r="E22" s="17">
        <v>1423500</v>
      </c>
      <c r="F22" s="17">
        <v>0</v>
      </c>
      <c r="G22" s="18">
        <v>1</v>
      </c>
      <c r="H22" s="10" t="str">
        <f t="shared" si="0"/>
        <v>GASTOS</v>
      </c>
      <c r="I22" s="19">
        <v>2025</v>
      </c>
    </row>
    <row r="23" spans="1:9" hidden="1" x14ac:dyDescent="0.3">
      <c r="A23" s="16" t="s">
        <v>7</v>
      </c>
      <c r="B23" s="16" t="s">
        <v>10</v>
      </c>
      <c r="C23" s="15">
        <v>8</v>
      </c>
      <c r="D23" s="17">
        <v>1423500</v>
      </c>
      <c r="E23" s="17">
        <v>1423500</v>
      </c>
      <c r="F23" s="17">
        <v>0</v>
      </c>
      <c r="G23" s="18">
        <v>1</v>
      </c>
      <c r="H23" s="10" t="str">
        <f t="shared" si="0"/>
        <v>GASTOS</v>
      </c>
      <c r="I23" s="19">
        <v>2025</v>
      </c>
    </row>
    <row r="24" spans="1:9" hidden="1" x14ac:dyDescent="0.3">
      <c r="A24" s="16" t="s">
        <v>7</v>
      </c>
      <c r="B24" s="16" t="s">
        <v>10</v>
      </c>
      <c r="C24" s="15">
        <v>9</v>
      </c>
      <c r="D24" s="17">
        <v>1423500</v>
      </c>
      <c r="E24" s="17">
        <v>1423500</v>
      </c>
      <c r="F24" s="17">
        <v>0</v>
      </c>
      <c r="G24" s="18">
        <v>1</v>
      </c>
      <c r="H24" s="10" t="str">
        <f t="shared" si="0"/>
        <v>GASTOS</v>
      </c>
      <c r="I24" s="19">
        <v>2025</v>
      </c>
    </row>
    <row r="25" spans="1:9" hidden="1" x14ac:dyDescent="0.3">
      <c r="A25" s="16" t="s">
        <v>7</v>
      </c>
      <c r="B25" s="16" t="s">
        <v>10</v>
      </c>
      <c r="C25" s="15">
        <v>10</v>
      </c>
      <c r="D25" s="17">
        <v>1423500</v>
      </c>
      <c r="E25" s="17">
        <v>1423500</v>
      </c>
      <c r="F25" s="17">
        <v>0</v>
      </c>
      <c r="G25" s="18">
        <v>1</v>
      </c>
      <c r="H25" s="10" t="str">
        <f t="shared" si="0"/>
        <v>GASTOS</v>
      </c>
      <c r="I25" s="19">
        <v>2025</v>
      </c>
    </row>
    <row r="26" spans="1:9" hidden="1" x14ac:dyDescent="0.3">
      <c r="A26" s="16" t="s">
        <v>7</v>
      </c>
      <c r="B26" s="16" t="s">
        <v>174</v>
      </c>
      <c r="C26" s="15">
        <v>7</v>
      </c>
      <c r="D26" s="17">
        <v>2461680</v>
      </c>
      <c r="E26" s="17">
        <v>0</v>
      </c>
      <c r="F26" s="17">
        <v>-2461680</v>
      </c>
      <c r="G26" s="18">
        <v>0</v>
      </c>
      <c r="H26" s="10" t="str">
        <f t="shared" si="0"/>
        <v>GASTOS</v>
      </c>
      <c r="I26" s="19">
        <v>2025</v>
      </c>
    </row>
    <row r="27" spans="1:9" hidden="1" x14ac:dyDescent="0.3">
      <c r="A27" s="16" t="s">
        <v>7</v>
      </c>
      <c r="B27" s="16" t="s">
        <v>174</v>
      </c>
      <c r="C27" s="15">
        <v>8</v>
      </c>
      <c r="D27" s="17">
        <v>2461680</v>
      </c>
      <c r="E27" s="17">
        <v>0</v>
      </c>
      <c r="F27" s="17">
        <v>-2461680</v>
      </c>
      <c r="G27" s="18">
        <v>0</v>
      </c>
      <c r="H27" s="10" t="str">
        <f t="shared" si="0"/>
        <v>GASTOS</v>
      </c>
      <c r="I27" s="19">
        <v>2025</v>
      </c>
    </row>
    <row r="28" spans="1:9" hidden="1" x14ac:dyDescent="0.3">
      <c r="A28" s="16" t="s">
        <v>7</v>
      </c>
      <c r="B28" s="16" t="s">
        <v>174</v>
      </c>
      <c r="C28" s="15">
        <v>9</v>
      </c>
      <c r="D28" s="17">
        <v>2461680</v>
      </c>
      <c r="E28" s="17">
        <v>0</v>
      </c>
      <c r="F28" s="17">
        <v>-2461680</v>
      </c>
      <c r="G28" s="18">
        <v>0</v>
      </c>
      <c r="H28" s="10" t="str">
        <f t="shared" si="0"/>
        <v>GASTOS</v>
      </c>
      <c r="I28" s="19">
        <v>2025</v>
      </c>
    </row>
    <row r="29" spans="1:9" hidden="1" x14ac:dyDescent="0.3">
      <c r="A29" s="16" t="s">
        <v>7</v>
      </c>
      <c r="B29" s="16" t="s">
        <v>174</v>
      </c>
      <c r="C29" s="15">
        <v>10</v>
      </c>
      <c r="D29" s="17">
        <v>2461680</v>
      </c>
      <c r="E29" s="17">
        <v>0</v>
      </c>
      <c r="F29" s="17">
        <v>-2461680</v>
      </c>
      <c r="G29" s="18">
        <v>0</v>
      </c>
      <c r="H29" s="10" t="str">
        <f t="shared" si="0"/>
        <v>GASTOS</v>
      </c>
      <c r="I29" s="19">
        <v>2025</v>
      </c>
    </row>
    <row r="30" spans="1:9" hidden="1" x14ac:dyDescent="0.3">
      <c r="A30" s="16" t="s">
        <v>7</v>
      </c>
      <c r="B30" s="16" t="s">
        <v>11</v>
      </c>
      <c r="C30" s="15">
        <v>1</v>
      </c>
      <c r="D30" s="17">
        <v>1212666</v>
      </c>
      <c r="E30" s="17">
        <v>1212666</v>
      </c>
      <c r="F30" s="17">
        <v>0</v>
      </c>
      <c r="G30" s="18">
        <v>1</v>
      </c>
      <c r="H30" s="10" t="str">
        <f t="shared" si="0"/>
        <v>GASTOS</v>
      </c>
      <c r="I30" s="19">
        <v>2025</v>
      </c>
    </row>
    <row r="31" spans="1:9" hidden="1" x14ac:dyDescent="0.3">
      <c r="A31" s="16" t="s">
        <v>7</v>
      </c>
      <c r="B31" s="16" t="s">
        <v>11</v>
      </c>
      <c r="C31" s="15">
        <v>2</v>
      </c>
      <c r="D31" s="17">
        <v>992566</v>
      </c>
      <c r="E31" s="17">
        <v>992566</v>
      </c>
      <c r="F31" s="17">
        <v>0</v>
      </c>
      <c r="G31" s="18">
        <v>1</v>
      </c>
      <c r="H31" s="10" t="str">
        <f t="shared" si="0"/>
        <v>GASTOS</v>
      </c>
      <c r="I31" s="19">
        <v>2025</v>
      </c>
    </row>
    <row r="32" spans="1:9" hidden="1" x14ac:dyDescent="0.3">
      <c r="A32" s="16" t="s">
        <v>7</v>
      </c>
      <c r="B32" s="16" t="s">
        <v>11</v>
      </c>
      <c r="C32" s="15">
        <v>3</v>
      </c>
      <c r="D32" s="17">
        <v>1542566</v>
      </c>
      <c r="E32" s="17">
        <v>1195495</v>
      </c>
      <c r="F32" s="17">
        <v>-347071</v>
      </c>
      <c r="G32" s="18">
        <v>0.77500411651754286</v>
      </c>
      <c r="H32" s="10" t="str">
        <f t="shared" si="0"/>
        <v>GASTOS</v>
      </c>
      <c r="I32" s="19">
        <v>2025</v>
      </c>
    </row>
    <row r="33" spans="1:9" hidden="1" x14ac:dyDescent="0.3">
      <c r="A33" s="16" t="s">
        <v>7</v>
      </c>
      <c r="B33" s="16" t="s">
        <v>11</v>
      </c>
      <c r="C33" s="15">
        <v>4</v>
      </c>
      <c r="D33" s="17">
        <v>1542566</v>
      </c>
      <c r="E33" s="17">
        <v>1488463</v>
      </c>
      <c r="F33" s="17">
        <v>-54103</v>
      </c>
      <c r="G33" s="18">
        <v>0.96492662226446069</v>
      </c>
      <c r="H33" s="10" t="str">
        <f t="shared" si="0"/>
        <v>GASTOS</v>
      </c>
      <c r="I33" s="19">
        <v>2025</v>
      </c>
    </row>
    <row r="34" spans="1:9" hidden="1" x14ac:dyDescent="0.3">
      <c r="A34" s="16" t="s">
        <v>7</v>
      </c>
      <c r="B34" s="16" t="s">
        <v>11</v>
      </c>
      <c r="C34" s="15">
        <v>5</v>
      </c>
      <c r="D34" s="17">
        <v>1542566</v>
      </c>
      <c r="E34" s="17">
        <v>1082983</v>
      </c>
      <c r="F34" s="17">
        <v>-459583</v>
      </c>
      <c r="G34" s="18">
        <v>0.70206590836307814</v>
      </c>
      <c r="H34" s="10" t="str">
        <f t="shared" si="0"/>
        <v>GASTOS</v>
      </c>
      <c r="I34" s="19">
        <v>2025</v>
      </c>
    </row>
    <row r="35" spans="1:9" hidden="1" x14ac:dyDescent="0.3">
      <c r="A35" s="16" t="s">
        <v>7</v>
      </c>
      <c r="B35" s="16" t="s">
        <v>11</v>
      </c>
      <c r="C35" s="15">
        <v>6</v>
      </c>
      <c r="D35" s="17">
        <v>1542566</v>
      </c>
      <c r="E35" s="17">
        <v>1082983</v>
      </c>
      <c r="F35" s="17">
        <v>-459583</v>
      </c>
      <c r="G35" s="18">
        <v>0.70206590836307814</v>
      </c>
      <c r="H35" s="10" t="str">
        <f t="shared" si="0"/>
        <v>GASTOS</v>
      </c>
      <c r="I35" s="19">
        <v>2025</v>
      </c>
    </row>
    <row r="36" spans="1:9" hidden="1" x14ac:dyDescent="0.3">
      <c r="A36" s="16" t="s">
        <v>7</v>
      </c>
      <c r="B36" s="16" t="s">
        <v>11</v>
      </c>
      <c r="C36" s="15">
        <v>7</v>
      </c>
      <c r="D36" s="17">
        <v>1542566</v>
      </c>
      <c r="E36" s="17">
        <v>1082983</v>
      </c>
      <c r="F36" s="17">
        <v>-459583</v>
      </c>
      <c r="G36" s="18">
        <v>0.70206590836307814</v>
      </c>
      <c r="H36" s="10" t="str">
        <f t="shared" si="0"/>
        <v>GASTOS</v>
      </c>
      <c r="I36" s="19">
        <v>2025</v>
      </c>
    </row>
    <row r="37" spans="1:9" hidden="1" x14ac:dyDescent="0.3">
      <c r="A37" s="16" t="s">
        <v>7</v>
      </c>
      <c r="B37" s="16" t="s">
        <v>11</v>
      </c>
      <c r="C37" s="15">
        <v>8</v>
      </c>
      <c r="D37" s="17">
        <v>1542566</v>
      </c>
      <c r="E37" s="17">
        <v>1082983</v>
      </c>
      <c r="F37" s="17">
        <v>-459583</v>
      </c>
      <c r="G37" s="18">
        <v>0.70206590836307814</v>
      </c>
      <c r="H37" s="10" t="str">
        <f t="shared" si="0"/>
        <v>GASTOS</v>
      </c>
      <c r="I37" s="19">
        <v>2025</v>
      </c>
    </row>
    <row r="38" spans="1:9" hidden="1" x14ac:dyDescent="0.3">
      <c r="A38" s="16" t="s">
        <v>7</v>
      </c>
      <c r="B38" s="16" t="s">
        <v>11</v>
      </c>
      <c r="C38" s="15">
        <v>9</v>
      </c>
      <c r="D38" s="17">
        <v>1542566</v>
      </c>
      <c r="E38" s="17">
        <v>1082983</v>
      </c>
      <c r="F38" s="17">
        <v>-459583</v>
      </c>
      <c r="G38" s="18">
        <v>0.70206590836307814</v>
      </c>
      <c r="H38" s="10" t="str">
        <f t="shared" si="0"/>
        <v>GASTOS</v>
      </c>
      <c r="I38" s="19">
        <v>2025</v>
      </c>
    </row>
    <row r="39" spans="1:9" hidden="1" x14ac:dyDescent="0.3">
      <c r="A39" s="16" t="s">
        <v>7</v>
      </c>
      <c r="B39" s="16" t="s">
        <v>11</v>
      </c>
      <c r="C39" s="15">
        <v>10</v>
      </c>
      <c r="D39" s="17">
        <v>1542566</v>
      </c>
      <c r="E39" s="17">
        <v>1082983</v>
      </c>
      <c r="F39" s="17">
        <v>-459583</v>
      </c>
      <c r="G39" s="18">
        <v>0.70206590836307814</v>
      </c>
      <c r="H39" s="10" t="str">
        <f t="shared" si="0"/>
        <v>GASTOS</v>
      </c>
      <c r="I39" s="19">
        <v>2025</v>
      </c>
    </row>
    <row r="40" spans="1:9" hidden="1" x14ac:dyDescent="0.3">
      <c r="A40" s="16" t="s">
        <v>7</v>
      </c>
      <c r="B40" s="16" t="s">
        <v>162</v>
      </c>
      <c r="C40" s="15">
        <v>5</v>
      </c>
      <c r="D40" s="17">
        <v>2847000</v>
      </c>
      <c r="E40" s="17">
        <v>2847000</v>
      </c>
      <c r="F40" s="17">
        <v>0</v>
      </c>
      <c r="G40" s="18">
        <v>1</v>
      </c>
      <c r="H40" s="10" t="str">
        <f t="shared" si="0"/>
        <v>GASTOS</v>
      </c>
      <c r="I40" s="19">
        <v>2025</v>
      </c>
    </row>
    <row r="41" spans="1:9" hidden="1" x14ac:dyDescent="0.3">
      <c r="A41" s="16" t="s">
        <v>7</v>
      </c>
      <c r="B41" s="16" t="s">
        <v>162</v>
      </c>
      <c r="C41" s="15">
        <v>6</v>
      </c>
      <c r="D41" s="17">
        <v>2847000</v>
      </c>
      <c r="E41" s="17">
        <v>0</v>
      </c>
      <c r="F41" s="17">
        <v>-2847000</v>
      </c>
      <c r="G41" s="18">
        <v>0</v>
      </c>
      <c r="H41" s="10" t="str">
        <f t="shared" si="0"/>
        <v>GASTOS</v>
      </c>
      <c r="I41" s="19">
        <v>2025</v>
      </c>
    </row>
    <row r="42" spans="1:9" hidden="1" x14ac:dyDescent="0.3">
      <c r="A42" s="16" t="s">
        <v>7</v>
      </c>
      <c r="B42" s="16" t="s">
        <v>162</v>
      </c>
      <c r="C42" s="15">
        <v>7</v>
      </c>
      <c r="D42" s="17">
        <v>2847000</v>
      </c>
      <c r="E42" s="17">
        <v>2847000</v>
      </c>
      <c r="F42" s="17">
        <v>0</v>
      </c>
      <c r="G42" s="18">
        <v>1</v>
      </c>
      <c r="H42" s="10" t="str">
        <f t="shared" si="0"/>
        <v>GASTOS</v>
      </c>
      <c r="I42" s="19">
        <v>2025</v>
      </c>
    </row>
    <row r="43" spans="1:9" hidden="1" x14ac:dyDescent="0.3">
      <c r="A43" s="16" t="s">
        <v>7</v>
      </c>
      <c r="B43" s="16" t="s">
        <v>162</v>
      </c>
      <c r="C43" s="15">
        <v>8</v>
      </c>
      <c r="D43" s="17">
        <v>4270500</v>
      </c>
      <c r="E43" s="17">
        <v>2847000</v>
      </c>
      <c r="F43" s="17">
        <v>-1423500</v>
      </c>
      <c r="G43" s="18">
        <v>0.66666666666666674</v>
      </c>
      <c r="H43" s="10" t="str">
        <f t="shared" si="0"/>
        <v>GASTOS</v>
      </c>
      <c r="I43" s="19">
        <v>2025</v>
      </c>
    </row>
    <row r="44" spans="1:9" hidden="1" x14ac:dyDescent="0.3">
      <c r="A44" s="16" t="s">
        <v>7</v>
      </c>
      <c r="B44" s="16" t="s">
        <v>162</v>
      </c>
      <c r="C44" s="15">
        <v>9</v>
      </c>
      <c r="D44" s="17">
        <v>4270500</v>
      </c>
      <c r="E44" s="17">
        <v>0</v>
      </c>
      <c r="F44" s="17">
        <v>-4270500</v>
      </c>
      <c r="G44" s="18">
        <v>0</v>
      </c>
      <c r="H44" s="10" t="str">
        <f t="shared" si="0"/>
        <v>GASTOS</v>
      </c>
      <c r="I44" s="19">
        <v>2025</v>
      </c>
    </row>
    <row r="45" spans="1:9" hidden="1" x14ac:dyDescent="0.3">
      <c r="A45" s="16" t="s">
        <v>7</v>
      </c>
      <c r="B45" s="16" t="s">
        <v>162</v>
      </c>
      <c r="C45" s="15">
        <v>10</v>
      </c>
      <c r="D45" s="17">
        <v>4270500</v>
      </c>
      <c r="E45" s="17">
        <v>4270500</v>
      </c>
      <c r="F45" s="17">
        <v>0</v>
      </c>
      <c r="G45" s="18">
        <v>1</v>
      </c>
      <c r="H45" s="10" t="str">
        <f t="shared" si="0"/>
        <v>GASTOS</v>
      </c>
      <c r="I45" s="19">
        <v>2025</v>
      </c>
    </row>
    <row r="46" spans="1:9" hidden="1" x14ac:dyDescent="0.3">
      <c r="A46" s="16" t="s">
        <v>7</v>
      </c>
      <c r="B46" s="16" t="s">
        <v>163</v>
      </c>
      <c r="C46" s="15">
        <v>5</v>
      </c>
      <c r="D46" s="17">
        <v>5400000</v>
      </c>
      <c r="E46" s="17">
        <v>5400000</v>
      </c>
      <c r="F46" s="17">
        <v>0</v>
      </c>
      <c r="G46" s="18">
        <v>1</v>
      </c>
      <c r="H46" s="10" t="str">
        <f t="shared" si="0"/>
        <v>GASTOS</v>
      </c>
      <c r="I46" s="19">
        <v>2025</v>
      </c>
    </row>
    <row r="47" spans="1:9" hidden="1" x14ac:dyDescent="0.3">
      <c r="A47" s="16" t="s">
        <v>7</v>
      </c>
      <c r="B47" s="16" t="s">
        <v>149</v>
      </c>
      <c r="C47" s="15">
        <v>4</v>
      </c>
      <c r="D47" s="17">
        <v>1350000</v>
      </c>
      <c r="E47" s="17">
        <v>1224400</v>
      </c>
      <c r="F47" s="17">
        <v>-125600</v>
      </c>
      <c r="G47" s="18">
        <v>0.90696296296296297</v>
      </c>
      <c r="H47" s="10" t="str">
        <f t="shared" si="0"/>
        <v>GASTOS</v>
      </c>
      <c r="I47" s="19">
        <v>2025</v>
      </c>
    </row>
    <row r="48" spans="1:9" hidden="1" x14ac:dyDescent="0.3">
      <c r="A48" s="16" t="s">
        <v>7</v>
      </c>
      <c r="B48" s="16" t="s">
        <v>150</v>
      </c>
      <c r="C48" s="15">
        <v>4</v>
      </c>
      <c r="D48" s="17">
        <v>3736000</v>
      </c>
      <c r="E48" s="17">
        <v>0</v>
      </c>
      <c r="F48" s="17">
        <v>-3736000</v>
      </c>
      <c r="G48" s="18">
        <v>0</v>
      </c>
      <c r="H48" s="10" t="str">
        <f t="shared" si="0"/>
        <v>GASTOS</v>
      </c>
      <c r="I48" s="19">
        <v>2025</v>
      </c>
    </row>
    <row r="49" spans="1:9" hidden="1" x14ac:dyDescent="0.3">
      <c r="A49" s="16" t="s">
        <v>7</v>
      </c>
      <c r="B49" s="16" t="s">
        <v>150</v>
      </c>
      <c r="C49" s="15">
        <v>5</v>
      </c>
      <c r="D49" s="17">
        <v>0</v>
      </c>
      <c r="E49" s="17">
        <v>3717000</v>
      </c>
      <c r="F49" s="17">
        <v>3717000</v>
      </c>
      <c r="G49" s="18">
        <v>0</v>
      </c>
      <c r="H49" s="10" t="str">
        <f t="shared" si="0"/>
        <v>GASTOS</v>
      </c>
      <c r="I49" s="19">
        <v>2025</v>
      </c>
    </row>
    <row r="50" spans="1:9" hidden="1" x14ac:dyDescent="0.3">
      <c r="A50" s="16" t="s">
        <v>7</v>
      </c>
      <c r="B50" s="16" t="s">
        <v>12</v>
      </c>
      <c r="C50" s="15">
        <v>10</v>
      </c>
      <c r="D50" s="17">
        <v>3250000</v>
      </c>
      <c r="E50" s="17">
        <v>0</v>
      </c>
      <c r="F50" s="17">
        <v>-3250000</v>
      </c>
      <c r="G50" s="18">
        <v>0</v>
      </c>
      <c r="H50" s="10" t="str">
        <f t="shared" si="0"/>
        <v>GASTOS</v>
      </c>
      <c r="I50" s="19">
        <v>2025</v>
      </c>
    </row>
    <row r="51" spans="1:9" hidden="1" x14ac:dyDescent="0.3">
      <c r="A51" s="16" t="s">
        <v>7</v>
      </c>
      <c r="B51" s="16" t="s">
        <v>102</v>
      </c>
      <c r="C51" s="15">
        <v>10</v>
      </c>
      <c r="D51" s="17">
        <v>0</v>
      </c>
      <c r="E51" s="17">
        <v>2533096</v>
      </c>
      <c r="F51" s="17">
        <v>2533096</v>
      </c>
      <c r="G51" s="18">
        <v>0</v>
      </c>
      <c r="H51" s="10" t="str">
        <f t="shared" si="0"/>
        <v>GASTOS</v>
      </c>
      <c r="I51" s="19">
        <v>2025</v>
      </c>
    </row>
    <row r="52" spans="1:9" hidden="1" x14ac:dyDescent="0.3">
      <c r="A52" s="16" t="s">
        <v>7</v>
      </c>
      <c r="B52" s="16" t="s">
        <v>14</v>
      </c>
      <c r="C52" s="15">
        <v>1</v>
      </c>
      <c r="D52" s="17">
        <v>22845</v>
      </c>
      <c r="E52" s="17">
        <v>0</v>
      </c>
      <c r="F52" s="17">
        <v>-22845</v>
      </c>
      <c r="G52" s="18">
        <v>0</v>
      </c>
      <c r="H52" s="10" t="str">
        <f t="shared" si="0"/>
        <v>GASTOS</v>
      </c>
      <c r="I52" s="19">
        <v>2025</v>
      </c>
    </row>
    <row r="53" spans="1:9" hidden="1" x14ac:dyDescent="0.3">
      <c r="A53" s="16" t="s">
        <v>7</v>
      </c>
      <c r="B53" s="16" t="s">
        <v>14</v>
      </c>
      <c r="C53" s="15">
        <v>2</v>
      </c>
      <c r="D53" s="17">
        <v>22845</v>
      </c>
      <c r="E53" s="17">
        <v>6000</v>
      </c>
      <c r="F53" s="17">
        <v>-16845</v>
      </c>
      <c r="G53" s="18">
        <v>0.26263952724885098</v>
      </c>
      <c r="H53" s="10" t="str">
        <f t="shared" si="0"/>
        <v>GASTOS</v>
      </c>
      <c r="I53" s="19">
        <v>2025</v>
      </c>
    </row>
    <row r="54" spans="1:9" hidden="1" x14ac:dyDescent="0.3">
      <c r="A54" s="16" t="s">
        <v>7</v>
      </c>
      <c r="B54" s="16" t="s">
        <v>14</v>
      </c>
      <c r="C54" s="15">
        <v>3</v>
      </c>
      <c r="D54" s="17">
        <v>83067.5</v>
      </c>
      <c r="E54" s="17">
        <v>0</v>
      </c>
      <c r="F54" s="17">
        <v>-83067.5</v>
      </c>
      <c r="G54" s="18">
        <v>0</v>
      </c>
      <c r="H54" s="10" t="str">
        <f t="shared" si="0"/>
        <v>GASTOS</v>
      </c>
      <c r="I54" s="19">
        <v>2025</v>
      </c>
    </row>
    <row r="55" spans="1:9" hidden="1" x14ac:dyDescent="0.3">
      <c r="A55" s="16" t="s">
        <v>7</v>
      </c>
      <c r="B55" s="16" t="s">
        <v>14</v>
      </c>
      <c r="C55" s="15">
        <v>4</v>
      </c>
      <c r="D55" s="17">
        <v>22845</v>
      </c>
      <c r="E55" s="17">
        <v>0</v>
      </c>
      <c r="F55" s="17">
        <v>-22845</v>
      </c>
      <c r="G55" s="18">
        <v>0</v>
      </c>
      <c r="H55" s="10" t="str">
        <f t="shared" si="0"/>
        <v>GASTOS</v>
      </c>
      <c r="I55" s="19">
        <v>2025</v>
      </c>
    </row>
    <row r="56" spans="1:9" hidden="1" x14ac:dyDescent="0.3">
      <c r="A56" s="16" t="s">
        <v>7</v>
      </c>
      <c r="B56" s="16" t="s">
        <v>14</v>
      </c>
      <c r="C56" s="15">
        <v>5</v>
      </c>
      <c r="D56" s="17">
        <v>22845</v>
      </c>
      <c r="E56" s="17">
        <v>320000</v>
      </c>
      <c r="F56" s="17">
        <v>297155</v>
      </c>
      <c r="G56" s="18">
        <v>14.007441453272051</v>
      </c>
      <c r="H56" s="10" t="str">
        <f t="shared" si="0"/>
        <v>GASTOS</v>
      </c>
      <c r="I56" s="19">
        <v>2025</v>
      </c>
    </row>
    <row r="57" spans="1:9" hidden="1" x14ac:dyDescent="0.3">
      <c r="A57" s="16" t="s">
        <v>7</v>
      </c>
      <c r="B57" s="16" t="s">
        <v>14</v>
      </c>
      <c r="C57" s="15">
        <v>6</v>
      </c>
      <c r="D57" s="17">
        <v>83067.5</v>
      </c>
      <c r="E57" s="17">
        <v>0</v>
      </c>
      <c r="F57" s="17">
        <v>-83067.5</v>
      </c>
      <c r="G57" s="18">
        <v>0</v>
      </c>
      <c r="H57" s="10" t="str">
        <f t="shared" si="0"/>
        <v>GASTOS</v>
      </c>
      <c r="I57" s="19">
        <v>2025</v>
      </c>
    </row>
    <row r="58" spans="1:9" hidden="1" x14ac:dyDescent="0.3">
      <c r="A58" s="16" t="s">
        <v>7</v>
      </c>
      <c r="B58" s="16" t="s">
        <v>14</v>
      </c>
      <c r="C58" s="15">
        <v>7</v>
      </c>
      <c r="D58" s="17">
        <v>30845</v>
      </c>
      <c r="E58" s="17">
        <v>0</v>
      </c>
      <c r="F58" s="17">
        <v>-30845</v>
      </c>
      <c r="G58" s="18">
        <v>0</v>
      </c>
      <c r="H58" s="10" t="str">
        <f t="shared" si="0"/>
        <v>GASTOS</v>
      </c>
      <c r="I58" s="19">
        <v>2025</v>
      </c>
    </row>
    <row r="59" spans="1:9" hidden="1" x14ac:dyDescent="0.3">
      <c r="A59" s="16" t="s">
        <v>7</v>
      </c>
      <c r="B59" s="16" t="s">
        <v>14</v>
      </c>
      <c r="C59" s="15">
        <v>8</v>
      </c>
      <c r="D59" s="17">
        <v>22845</v>
      </c>
      <c r="E59" s="17">
        <v>0</v>
      </c>
      <c r="F59" s="17">
        <v>-22845</v>
      </c>
      <c r="G59" s="18">
        <v>0</v>
      </c>
      <c r="H59" s="10" t="str">
        <f t="shared" si="0"/>
        <v>GASTOS</v>
      </c>
      <c r="I59" s="19">
        <v>2025</v>
      </c>
    </row>
    <row r="60" spans="1:9" hidden="1" x14ac:dyDescent="0.3">
      <c r="A60" s="16" t="s">
        <v>7</v>
      </c>
      <c r="B60" s="16" t="s">
        <v>14</v>
      </c>
      <c r="C60" s="15">
        <v>9</v>
      </c>
      <c r="D60" s="17">
        <v>83067.5</v>
      </c>
      <c r="E60" s="17">
        <v>67500</v>
      </c>
      <c r="F60" s="17">
        <v>-15567.5</v>
      </c>
      <c r="G60" s="18">
        <v>0.8125921690191712</v>
      </c>
      <c r="H60" s="10" t="str">
        <f t="shared" si="0"/>
        <v>GASTOS</v>
      </c>
      <c r="I60" s="19">
        <v>2025</v>
      </c>
    </row>
    <row r="61" spans="1:9" hidden="1" x14ac:dyDescent="0.3">
      <c r="A61" s="16" t="s">
        <v>7</v>
      </c>
      <c r="B61" s="16" t="s">
        <v>14</v>
      </c>
      <c r="C61" s="15">
        <v>10</v>
      </c>
      <c r="D61" s="17">
        <v>30845</v>
      </c>
      <c r="E61" s="17">
        <v>0</v>
      </c>
      <c r="F61" s="17">
        <v>-30845</v>
      </c>
      <c r="G61" s="18">
        <v>0</v>
      </c>
      <c r="H61" s="10" t="str">
        <f t="shared" si="0"/>
        <v>GASTOS</v>
      </c>
      <c r="I61" s="19">
        <v>2025</v>
      </c>
    </row>
    <row r="62" spans="1:9" hidden="1" x14ac:dyDescent="0.3">
      <c r="A62" s="16" t="s">
        <v>7</v>
      </c>
      <c r="B62" s="16" t="s">
        <v>164</v>
      </c>
      <c r="C62" s="15">
        <v>5</v>
      </c>
      <c r="D62" s="17">
        <v>2133000</v>
      </c>
      <c r="E62" s="17">
        <v>2133000</v>
      </c>
      <c r="F62" s="17">
        <v>0</v>
      </c>
      <c r="G62" s="18">
        <v>1</v>
      </c>
      <c r="H62" s="10" t="str">
        <f t="shared" si="0"/>
        <v>GASTOS</v>
      </c>
      <c r="I62" s="19">
        <v>2025</v>
      </c>
    </row>
    <row r="63" spans="1:9" hidden="1" x14ac:dyDescent="0.3">
      <c r="A63" s="16" t="s">
        <v>7</v>
      </c>
      <c r="B63" s="16" t="s">
        <v>164</v>
      </c>
      <c r="C63" s="15">
        <v>8</v>
      </c>
      <c r="D63" s="17">
        <v>0</v>
      </c>
      <c r="E63" s="17">
        <v>1050000</v>
      </c>
      <c r="F63" s="17">
        <v>1050000</v>
      </c>
      <c r="G63" s="18">
        <v>0</v>
      </c>
      <c r="H63" s="10" t="str">
        <f t="shared" si="0"/>
        <v>GASTOS</v>
      </c>
      <c r="I63" s="19">
        <v>2025</v>
      </c>
    </row>
    <row r="64" spans="1:9" hidden="1" x14ac:dyDescent="0.3">
      <c r="A64" s="16" t="s">
        <v>7</v>
      </c>
      <c r="B64" s="16" t="s">
        <v>15</v>
      </c>
      <c r="C64" s="15">
        <v>1</v>
      </c>
      <c r="D64" s="17">
        <v>365000</v>
      </c>
      <c r="E64" s="17">
        <v>366080</v>
      </c>
      <c r="F64" s="17">
        <v>1080</v>
      </c>
      <c r="G64" s="18">
        <v>1.002958904109589</v>
      </c>
      <c r="H64" s="10" t="str">
        <f t="shared" si="0"/>
        <v>GASTOS</v>
      </c>
      <c r="I64" s="19">
        <v>2025</v>
      </c>
    </row>
    <row r="65" spans="1:9" hidden="1" x14ac:dyDescent="0.3">
      <c r="A65" s="16" t="s">
        <v>7</v>
      </c>
      <c r="B65" s="16" t="s">
        <v>15</v>
      </c>
      <c r="C65" s="15">
        <v>2</v>
      </c>
      <c r="D65" s="17">
        <v>365000</v>
      </c>
      <c r="E65" s="17">
        <v>369362</v>
      </c>
      <c r="F65" s="17">
        <v>4362</v>
      </c>
      <c r="G65" s="18">
        <v>1.011950684931507</v>
      </c>
      <c r="H65" s="10" t="str">
        <f t="shared" si="0"/>
        <v>GASTOS</v>
      </c>
      <c r="I65" s="19">
        <v>2025</v>
      </c>
    </row>
    <row r="66" spans="1:9" hidden="1" x14ac:dyDescent="0.3">
      <c r="A66" s="16" t="s">
        <v>7</v>
      </c>
      <c r="B66" s="16" t="s">
        <v>15</v>
      </c>
      <c r="C66" s="15">
        <v>3</v>
      </c>
      <c r="D66" s="17">
        <v>365000</v>
      </c>
      <c r="E66" s="17">
        <v>366932</v>
      </c>
      <c r="F66" s="17">
        <v>1932</v>
      </c>
      <c r="G66" s="18">
        <v>1.0052931506849316</v>
      </c>
      <c r="H66" s="10" t="str">
        <f t="shared" si="0"/>
        <v>GASTOS</v>
      </c>
      <c r="I66" s="19">
        <v>2025</v>
      </c>
    </row>
    <row r="67" spans="1:9" hidden="1" x14ac:dyDescent="0.3">
      <c r="A67" s="16" t="s">
        <v>7</v>
      </c>
      <c r="B67" s="16" t="s">
        <v>15</v>
      </c>
      <c r="C67" s="15">
        <v>4</v>
      </c>
      <c r="D67" s="17">
        <v>365000</v>
      </c>
      <c r="E67" s="17">
        <v>366031</v>
      </c>
      <c r="F67" s="17">
        <v>1031</v>
      </c>
      <c r="G67" s="18">
        <v>1.0028246575342465</v>
      </c>
      <c r="H67" s="10" t="str">
        <f t="shared" ref="H67:H130" si="1">+IF(OR(A67="ADMINISTRACION",A67="COMERCIAL",A67="COMERCIAL-EXPORTACIONES",A67="LEASING DE LA BODEGA",A67="LOGISTICA-SALIDA",A67="OTROS GASTOS",A67="BODEGA ALQUILADA", A67="BODEGA CARTOPLAST", A67="BODEGA CARTOPLAS", A67= "GESTION HUMANA-OTROS GASTOS"),"GASTOS","COSTOS")</f>
        <v>GASTOS</v>
      </c>
      <c r="I67" s="19">
        <v>2025</v>
      </c>
    </row>
    <row r="68" spans="1:9" hidden="1" x14ac:dyDescent="0.3">
      <c r="A68" s="16" t="s">
        <v>7</v>
      </c>
      <c r="B68" s="16" t="s">
        <v>15</v>
      </c>
      <c r="C68" s="15">
        <v>5</v>
      </c>
      <c r="D68" s="17">
        <v>365000</v>
      </c>
      <c r="E68" s="17">
        <v>367234</v>
      </c>
      <c r="F68" s="17">
        <v>2234</v>
      </c>
      <c r="G68" s="18">
        <v>1.0061205479452056</v>
      </c>
      <c r="H68" s="10" t="str">
        <f t="shared" si="1"/>
        <v>GASTOS</v>
      </c>
      <c r="I68" s="19">
        <v>2025</v>
      </c>
    </row>
    <row r="69" spans="1:9" hidden="1" x14ac:dyDescent="0.3">
      <c r="A69" s="16" t="s">
        <v>7</v>
      </c>
      <c r="B69" s="16" t="s">
        <v>15</v>
      </c>
      <c r="C69" s="15">
        <v>6</v>
      </c>
      <c r="D69" s="17">
        <v>365000</v>
      </c>
      <c r="E69" s="17">
        <v>369547</v>
      </c>
      <c r="F69" s="17">
        <v>4547</v>
      </c>
      <c r="G69" s="18">
        <v>1.0124575342465754</v>
      </c>
      <c r="H69" s="10" t="str">
        <f t="shared" si="1"/>
        <v>GASTOS</v>
      </c>
      <c r="I69" s="19">
        <v>2025</v>
      </c>
    </row>
    <row r="70" spans="1:9" hidden="1" x14ac:dyDescent="0.3">
      <c r="A70" s="16" t="s">
        <v>7</v>
      </c>
      <c r="B70" s="16" t="s">
        <v>15</v>
      </c>
      <c r="C70" s="15">
        <v>7</v>
      </c>
      <c r="D70" s="17">
        <v>365000</v>
      </c>
      <c r="E70" s="17">
        <v>371630</v>
      </c>
      <c r="F70" s="17">
        <v>6630</v>
      </c>
      <c r="G70" s="18">
        <v>1.0181643835616438</v>
      </c>
      <c r="H70" s="10" t="str">
        <f t="shared" si="1"/>
        <v>GASTOS</v>
      </c>
      <c r="I70" s="19">
        <v>2025</v>
      </c>
    </row>
    <row r="71" spans="1:9" hidden="1" x14ac:dyDescent="0.3">
      <c r="A71" s="16" t="s">
        <v>7</v>
      </c>
      <c r="B71" s="16" t="s">
        <v>15</v>
      </c>
      <c r="C71" s="15">
        <v>8</v>
      </c>
      <c r="D71" s="17">
        <v>365000</v>
      </c>
      <c r="E71" s="17">
        <v>361843</v>
      </c>
      <c r="F71" s="17">
        <v>-3157</v>
      </c>
      <c r="G71" s="18">
        <v>0.99135068493150691</v>
      </c>
      <c r="H71" s="10" t="str">
        <f t="shared" si="1"/>
        <v>GASTOS</v>
      </c>
      <c r="I71" s="19">
        <v>2025</v>
      </c>
    </row>
    <row r="72" spans="1:9" hidden="1" x14ac:dyDescent="0.3">
      <c r="A72" s="16" t="s">
        <v>7</v>
      </c>
      <c r="B72" s="16" t="s">
        <v>15</v>
      </c>
      <c r="C72" s="15">
        <v>9</v>
      </c>
      <c r="D72" s="17">
        <v>365000</v>
      </c>
      <c r="E72" s="17">
        <v>368108</v>
      </c>
      <c r="F72" s="17">
        <v>3108</v>
      </c>
      <c r="G72" s="18">
        <v>1.0085150684931508</v>
      </c>
      <c r="H72" s="10" t="str">
        <f t="shared" si="1"/>
        <v>GASTOS</v>
      </c>
      <c r="I72" s="19">
        <v>2025</v>
      </c>
    </row>
    <row r="73" spans="1:9" hidden="1" x14ac:dyDescent="0.3">
      <c r="A73" s="16" t="s">
        <v>7</v>
      </c>
      <c r="B73" s="16" t="s">
        <v>15</v>
      </c>
      <c r="C73" s="15">
        <v>10</v>
      </c>
      <c r="D73" s="17">
        <v>365000</v>
      </c>
      <c r="E73" s="17">
        <v>371165</v>
      </c>
      <c r="F73" s="17">
        <v>6165</v>
      </c>
      <c r="G73" s="18">
        <v>1.0168904109589041</v>
      </c>
      <c r="H73" s="10" t="str">
        <f t="shared" si="1"/>
        <v>GASTOS</v>
      </c>
      <c r="I73" s="19">
        <v>2025</v>
      </c>
    </row>
    <row r="74" spans="1:9" hidden="1" x14ac:dyDescent="0.3">
      <c r="A74" s="16" t="s">
        <v>7</v>
      </c>
      <c r="B74" s="16" t="s">
        <v>156</v>
      </c>
      <c r="C74" s="15">
        <v>1</v>
      </c>
      <c r="D74" s="17">
        <v>0</v>
      </c>
      <c r="E74" s="17">
        <v>336101</v>
      </c>
      <c r="F74" s="17">
        <v>336101</v>
      </c>
      <c r="G74" s="18">
        <v>0</v>
      </c>
      <c r="H74" s="10" t="str">
        <f t="shared" si="1"/>
        <v>GASTOS</v>
      </c>
      <c r="I74" s="19">
        <v>2025</v>
      </c>
    </row>
    <row r="75" spans="1:9" hidden="1" x14ac:dyDescent="0.3">
      <c r="A75" s="16" t="s">
        <v>7</v>
      </c>
      <c r="B75" s="16" t="s">
        <v>156</v>
      </c>
      <c r="C75" s="15">
        <v>6</v>
      </c>
      <c r="D75" s="17">
        <v>0</v>
      </c>
      <c r="E75" s="17">
        <v>84025</v>
      </c>
      <c r="F75" s="17">
        <v>84025</v>
      </c>
      <c r="G75" s="18">
        <v>0</v>
      </c>
      <c r="H75" s="10" t="str">
        <f t="shared" si="1"/>
        <v>GASTOS</v>
      </c>
      <c r="I75" s="19">
        <v>2025</v>
      </c>
    </row>
    <row r="76" spans="1:9" hidden="1" x14ac:dyDescent="0.3">
      <c r="A76" s="16" t="s">
        <v>7</v>
      </c>
      <c r="B76" s="16" t="s">
        <v>16</v>
      </c>
      <c r="C76" s="15">
        <v>1</v>
      </c>
      <c r="D76" s="17">
        <v>76598</v>
      </c>
      <c r="E76" s="17">
        <v>13172</v>
      </c>
      <c r="F76" s="17">
        <v>-63426</v>
      </c>
      <c r="G76" s="18">
        <v>0.17196271443118619</v>
      </c>
      <c r="H76" s="10" t="str">
        <f t="shared" si="1"/>
        <v>GASTOS</v>
      </c>
      <c r="I76" s="19">
        <v>2025</v>
      </c>
    </row>
    <row r="77" spans="1:9" hidden="1" x14ac:dyDescent="0.3">
      <c r="A77" s="16" t="s">
        <v>7</v>
      </c>
      <c r="B77" s="16" t="s">
        <v>16</v>
      </c>
      <c r="C77" s="15">
        <v>2</v>
      </c>
      <c r="D77" s="17">
        <v>340851</v>
      </c>
      <c r="E77" s="17">
        <v>42445</v>
      </c>
      <c r="F77" s="17">
        <v>-298406</v>
      </c>
      <c r="G77" s="18">
        <v>0.12452655265790624</v>
      </c>
      <c r="H77" s="10" t="str">
        <f t="shared" si="1"/>
        <v>GASTOS</v>
      </c>
      <c r="I77" s="19">
        <v>2025</v>
      </c>
    </row>
    <row r="78" spans="1:9" hidden="1" x14ac:dyDescent="0.3">
      <c r="A78" s="16" t="s">
        <v>7</v>
      </c>
      <c r="B78" s="16" t="s">
        <v>16</v>
      </c>
      <c r="C78" s="15">
        <v>3</v>
      </c>
      <c r="D78" s="17">
        <v>85738</v>
      </c>
      <c r="E78" s="17">
        <v>80200</v>
      </c>
      <c r="F78" s="17">
        <v>-5538</v>
      </c>
      <c r="G78" s="18">
        <v>0.93540787048916474</v>
      </c>
      <c r="H78" s="10" t="str">
        <f t="shared" si="1"/>
        <v>GASTOS</v>
      </c>
      <c r="I78" s="19">
        <v>2025</v>
      </c>
    </row>
    <row r="79" spans="1:9" hidden="1" x14ac:dyDescent="0.3">
      <c r="A79" s="16" t="s">
        <v>7</v>
      </c>
      <c r="B79" s="16" t="s">
        <v>16</v>
      </c>
      <c r="C79" s="15">
        <v>4</v>
      </c>
      <c r="D79" s="17">
        <v>88368</v>
      </c>
      <c r="E79" s="17">
        <v>69000</v>
      </c>
      <c r="F79" s="17">
        <v>-19368</v>
      </c>
      <c r="G79" s="18">
        <v>0.78082563824008688</v>
      </c>
      <c r="H79" s="10" t="str">
        <f t="shared" si="1"/>
        <v>GASTOS</v>
      </c>
      <c r="I79" s="19">
        <v>2025</v>
      </c>
    </row>
    <row r="80" spans="1:9" hidden="1" x14ac:dyDescent="0.3">
      <c r="A80" s="16" t="s">
        <v>7</v>
      </c>
      <c r="B80" s="16" t="s">
        <v>16</v>
      </c>
      <c r="C80" s="15">
        <v>5</v>
      </c>
      <c r="D80" s="17">
        <v>47024</v>
      </c>
      <c r="E80" s="17">
        <v>244163</v>
      </c>
      <c r="F80" s="17">
        <v>197139</v>
      </c>
      <c r="G80" s="18">
        <v>5.1923060564817964</v>
      </c>
      <c r="H80" s="10" t="str">
        <f t="shared" si="1"/>
        <v>GASTOS</v>
      </c>
      <c r="I80" s="19">
        <v>2025</v>
      </c>
    </row>
    <row r="81" spans="1:9" hidden="1" x14ac:dyDescent="0.3">
      <c r="A81" s="16" t="s">
        <v>7</v>
      </c>
      <c r="B81" s="16" t="s">
        <v>16</v>
      </c>
      <c r="C81" s="15">
        <v>6</v>
      </c>
      <c r="D81" s="17">
        <v>48306</v>
      </c>
      <c r="E81" s="17">
        <v>125500</v>
      </c>
      <c r="F81" s="17">
        <v>77194</v>
      </c>
      <c r="G81" s="18">
        <v>2.5980209497784954</v>
      </c>
      <c r="H81" s="10" t="str">
        <f t="shared" si="1"/>
        <v>GASTOS</v>
      </c>
      <c r="I81" s="19">
        <v>2025</v>
      </c>
    </row>
    <row r="82" spans="1:9" hidden="1" x14ac:dyDescent="0.3">
      <c r="A82" s="16" t="s">
        <v>7</v>
      </c>
      <c r="B82" s="16" t="s">
        <v>16</v>
      </c>
      <c r="C82" s="15">
        <v>7</v>
      </c>
      <c r="D82" s="17">
        <v>67144</v>
      </c>
      <c r="E82" s="17">
        <v>69000</v>
      </c>
      <c r="F82" s="17">
        <v>1856</v>
      </c>
      <c r="G82" s="18">
        <v>1.0276420826879542</v>
      </c>
      <c r="H82" s="10" t="str">
        <f t="shared" si="1"/>
        <v>GASTOS</v>
      </c>
      <c r="I82" s="19">
        <v>2025</v>
      </c>
    </row>
    <row r="83" spans="1:9" hidden="1" x14ac:dyDescent="0.3">
      <c r="A83" s="16" t="s">
        <v>7</v>
      </c>
      <c r="B83" s="16" t="s">
        <v>16</v>
      </c>
      <c r="C83" s="15">
        <v>8</v>
      </c>
      <c r="D83" s="17">
        <v>25111</v>
      </c>
      <c r="E83" s="17">
        <v>30000</v>
      </c>
      <c r="F83" s="17">
        <v>4889</v>
      </c>
      <c r="G83" s="18">
        <v>1.1946955517502291</v>
      </c>
      <c r="H83" s="10" t="str">
        <f t="shared" si="1"/>
        <v>GASTOS</v>
      </c>
      <c r="I83" s="19">
        <v>2025</v>
      </c>
    </row>
    <row r="84" spans="1:9" hidden="1" x14ac:dyDescent="0.3">
      <c r="A84" s="16" t="s">
        <v>7</v>
      </c>
      <c r="B84" s="16" t="s">
        <v>16</v>
      </c>
      <c r="C84" s="15">
        <v>9</v>
      </c>
      <c r="D84" s="17">
        <v>0</v>
      </c>
      <c r="E84" s="17">
        <v>42950</v>
      </c>
      <c r="F84" s="17">
        <v>42950</v>
      </c>
      <c r="G84" s="18">
        <v>0</v>
      </c>
      <c r="H84" s="10" t="str">
        <f t="shared" si="1"/>
        <v>GASTOS</v>
      </c>
      <c r="I84" s="19">
        <v>2025</v>
      </c>
    </row>
    <row r="85" spans="1:9" hidden="1" x14ac:dyDescent="0.3">
      <c r="A85" s="16" t="s">
        <v>7</v>
      </c>
      <c r="B85" s="16" t="s">
        <v>16</v>
      </c>
      <c r="C85" s="15">
        <v>10</v>
      </c>
      <c r="D85" s="17">
        <v>0</v>
      </c>
      <c r="E85" s="17">
        <v>202700</v>
      </c>
      <c r="F85" s="17">
        <v>202700</v>
      </c>
      <c r="G85" s="18">
        <v>0</v>
      </c>
      <c r="H85" s="10" t="str">
        <f t="shared" si="1"/>
        <v>GASTOS</v>
      </c>
      <c r="I85" s="19">
        <v>2025</v>
      </c>
    </row>
    <row r="86" spans="1:9" hidden="1" x14ac:dyDescent="0.3">
      <c r="A86" s="16" t="s">
        <v>7</v>
      </c>
      <c r="B86" s="16" t="s">
        <v>85</v>
      </c>
      <c r="C86" s="15">
        <v>1</v>
      </c>
      <c r="D86" s="17">
        <v>337805</v>
      </c>
      <c r="E86" s="17">
        <v>337805</v>
      </c>
      <c r="F86" s="17">
        <v>0</v>
      </c>
      <c r="G86" s="18">
        <v>1</v>
      </c>
      <c r="H86" s="10" t="str">
        <f t="shared" si="1"/>
        <v>GASTOS</v>
      </c>
      <c r="I86" s="19">
        <v>2025</v>
      </c>
    </row>
    <row r="87" spans="1:9" hidden="1" x14ac:dyDescent="0.3">
      <c r="A87" s="16" t="s">
        <v>7</v>
      </c>
      <c r="B87" s="16" t="s">
        <v>85</v>
      </c>
      <c r="C87" s="15">
        <v>2</v>
      </c>
      <c r="D87" s="17">
        <v>337805</v>
      </c>
      <c r="E87" s="17">
        <v>337805</v>
      </c>
      <c r="F87" s="17">
        <v>0</v>
      </c>
      <c r="G87" s="18">
        <v>1</v>
      </c>
      <c r="H87" s="10" t="str">
        <f t="shared" si="1"/>
        <v>GASTOS</v>
      </c>
      <c r="I87" s="19">
        <v>2025</v>
      </c>
    </row>
    <row r="88" spans="1:9" hidden="1" x14ac:dyDescent="0.3">
      <c r="A88" s="16" t="s">
        <v>7</v>
      </c>
      <c r="B88" s="16" t="s">
        <v>85</v>
      </c>
      <c r="C88" s="15">
        <v>3</v>
      </c>
      <c r="D88" s="17">
        <v>337805</v>
      </c>
      <c r="E88" s="17">
        <v>337805</v>
      </c>
      <c r="F88" s="17">
        <v>0</v>
      </c>
      <c r="G88" s="18">
        <v>1</v>
      </c>
      <c r="H88" s="10" t="str">
        <f t="shared" si="1"/>
        <v>GASTOS</v>
      </c>
      <c r="I88" s="19">
        <v>2025</v>
      </c>
    </row>
    <row r="89" spans="1:9" hidden="1" x14ac:dyDescent="0.3">
      <c r="A89" s="16" t="s">
        <v>7</v>
      </c>
      <c r="B89" s="16" t="s">
        <v>85</v>
      </c>
      <c r="C89" s="15">
        <v>4</v>
      </c>
      <c r="D89" s="17">
        <v>337805</v>
      </c>
      <c r="E89" s="17">
        <v>174282</v>
      </c>
      <c r="F89" s="17">
        <v>-163523</v>
      </c>
      <c r="G89" s="18">
        <v>0.51592486789715963</v>
      </c>
      <c r="H89" s="10" t="str">
        <f t="shared" si="1"/>
        <v>GASTOS</v>
      </c>
      <c r="I89" s="19">
        <v>2025</v>
      </c>
    </row>
    <row r="90" spans="1:9" hidden="1" x14ac:dyDescent="0.3">
      <c r="A90" s="16" t="s">
        <v>7</v>
      </c>
      <c r="B90" s="16" t="s">
        <v>85</v>
      </c>
      <c r="C90" s="15">
        <v>5</v>
      </c>
      <c r="D90" s="17">
        <v>337805</v>
      </c>
      <c r="E90" s="17">
        <v>337805</v>
      </c>
      <c r="F90" s="17">
        <v>0</v>
      </c>
      <c r="G90" s="18">
        <v>1</v>
      </c>
      <c r="H90" s="10" t="str">
        <f t="shared" si="1"/>
        <v>GASTOS</v>
      </c>
      <c r="I90" s="19">
        <v>2025</v>
      </c>
    </row>
    <row r="91" spans="1:9" hidden="1" x14ac:dyDescent="0.3">
      <c r="A91" s="16" t="s">
        <v>7</v>
      </c>
      <c r="B91" s="16" t="s">
        <v>85</v>
      </c>
      <c r="C91" s="15">
        <v>6</v>
      </c>
      <c r="D91" s="17">
        <v>337805</v>
      </c>
      <c r="E91" s="17">
        <v>337805</v>
      </c>
      <c r="F91" s="17">
        <v>0</v>
      </c>
      <c r="G91" s="18">
        <v>1</v>
      </c>
      <c r="H91" s="10" t="str">
        <f t="shared" si="1"/>
        <v>GASTOS</v>
      </c>
      <c r="I91" s="19">
        <v>2025</v>
      </c>
    </row>
    <row r="92" spans="1:9" hidden="1" x14ac:dyDescent="0.3">
      <c r="A92" s="16" t="s">
        <v>7</v>
      </c>
      <c r="B92" s="16" t="s">
        <v>85</v>
      </c>
      <c r="C92" s="15">
        <v>7</v>
      </c>
      <c r="D92" s="17">
        <v>337805</v>
      </c>
      <c r="E92" s="17">
        <v>426315</v>
      </c>
      <c r="F92" s="17">
        <v>88510</v>
      </c>
      <c r="G92" s="18">
        <v>1.2620150678645965</v>
      </c>
      <c r="H92" s="10" t="str">
        <f t="shared" si="1"/>
        <v>GASTOS</v>
      </c>
      <c r="I92" s="19">
        <v>2025</v>
      </c>
    </row>
    <row r="93" spans="1:9" hidden="1" x14ac:dyDescent="0.3">
      <c r="A93" s="16" t="s">
        <v>7</v>
      </c>
      <c r="B93" s="16" t="s">
        <v>85</v>
      </c>
      <c r="C93" s="15">
        <v>8</v>
      </c>
      <c r="D93" s="17">
        <v>337805</v>
      </c>
      <c r="E93" s="17">
        <v>337805</v>
      </c>
      <c r="F93" s="17">
        <v>0</v>
      </c>
      <c r="G93" s="18">
        <v>1</v>
      </c>
      <c r="H93" s="10" t="str">
        <f t="shared" si="1"/>
        <v>GASTOS</v>
      </c>
      <c r="I93" s="19">
        <v>2025</v>
      </c>
    </row>
    <row r="94" spans="1:9" hidden="1" x14ac:dyDescent="0.3">
      <c r="A94" s="16" t="s">
        <v>7</v>
      </c>
      <c r="B94" s="16" t="s">
        <v>85</v>
      </c>
      <c r="C94" s="15">
        <v>9</v>
      </c>
      <c r="D94" s="17">
        <v>337805</v>
      </c>
      <c r="E94" s="17">
        <v>337805</v>
      </c>
      <c r="F94" s="17">
        <v>0</v>
      </c>
      <c r="G94" s="18">
        <v>1</v>
      </c>
      <c r="H94" s="10" t="str">
        <f t="shared" si="1"/>
        <v>GASTOS</v>
      </c>
      <c r="I94" s="19">
        <v>2025</v>
      </c>
    </row>
    <row r="95" spans="1:9" hidden="1" x14ac:dyDescent="0.3">
      <c r="A95" s="16" t="s">
        <v>7</v>
      </c>
      <c r="B95" s="16" t="s">
        <v>85</v>
      </c>
      <c r="C95" s="15">
        <v>10</v>
      </c>
      <c r="D95" s="17">
        <v>337805</v>
      </c>
      <c r="E95" s="17">
        <v>337805</v>
      </c>
      <c r="F95" s="17">
        <v>0</v>
      </c>
      <c r="G95" s="18">
        <v>1</v>
      </c>
      <c r="H95" s="10" t="str">
        <f t="shared" si="1"/>
        <v>GASTOS</v>
      </c>
      <c r="I95" s="19">
        <v>2025</v>
      </c>
    </row>
    <row r="96" spans="1:9" hidden="1" x14ac:dyDescent="0.3">
      <c r="A96" s="16" t="s">
        <v>7</v>
      </c>
      <c r="B96" s="16" t="s">
        <v>17</v>
      </c>
      <c r="C96" s="15">
        <v>1</v>
      </c>
      <c r="D96" s="17">
        <v>35000</v>
      </c>
      <c r="E96" s="17">
        <v>34348</v>
      </c>
      <c r="F96" s="17">
        <v>-652</v>
      </c>
      <c r="G96" s="18">
        <v>0.98137142857142856</v>
      </c>
      <c r="H96" s="10" t="str">
        <f t="shared" si="1"/>
        <v>GASTOS</v>
      </c>
      <c r="I96" s="19">
        <v>2025</v>
      </c>
    </row>
    <row r="97" spans="1:9" hidden="1" x14ac:dyDescent="0.3">
      <c r="A97" s="16" t="s">
        <v>7</v>
      </c>
      <c r="B97" s="16" t="s">
        <v>17</v>
      </c>
      <c r="C97" s="15">
        <v>2</v>
      </c>
      <c r="D97" s="17">
        <v>35000</v>
      </c>
      <c r="E97" s="17">
        <v>34320</v>
      </c>
      <c r="F97" s="17">
        <v>-680</v>
      </c>
      <c r="G97" s="18">
        <v>0.98057142857142865</v>
      </c>
      <c r="H97" s="10" t="str">
        <f t="shared" si="1"/>
        <v>GASTOS</v>
      </c>
      <c r="I97" s="19">
        <v>2025</v>
      </c>
    </row>
    <row r="98" spans="1:9" hidden="1" x14ac:dyDescent="0.3">
      <c r="A98" s="16" t="s">
        <v>7</v>
      </c>
      <c r="B98" s="16" t="s">
        <v>17</v>
      </c>
      <c r="C98" s="15">
        <v>3</v>
      </c>
      <c r="D98" s="17">
        <v>35000</v>
      </c>
      <c r="E98" s="17">
        <v>36720</v>
      </c>
      <c r="F98" s="17">
        <v>1720</v>
      </c>
      <c r="G98" s="18">
        <v>1.0491428571428572</v>
      </c>
      <c r="H98" s="10" t="str">
        <f t="shared" si="1"/>
        <v>GASTOS</v>
      </c>
      <c r="I98" s="19">
        <v>2025</v>
      </c>
    </row>
    <row r="99" spans="1:9" hidden="1" x14ac:dyDescent="0.3">
      <c r="A99" s="16" t="s">
        <v>7</v>
      </c>
      <c r="B99" s="16" t="s">
        <v>17</v>
      </c>
      <c r="C99" s="15">
        <v>4</v>
      </c>
      <c r="D99" s="17">
        <v>35000</v>
      </c>
      <c r="E99" s="17">
        <v>36720</v>
      </c>
      <c r="F99" s="17">
        <v>1720</v>
      </c>
      <c r="G99" s="18">
        <v>1.0491428571428572</v>
      </c>
      <c r="H99" s="10" t="str">
        <f t="shared" si="1"/>
        <v>GASTOS</v>
      </c>
      <c r="I99" s="19">
        <v>2025</v>
      </c>
    </row>
    <row r="100" spans="1:9" hidden="1" x14ac:dyDescent="0.3">
      <c r="A100" s="16" t="s">
        <v>7</v>
      </c>
      <c r="B100" s="16" t="s">
        <v>17</v>
      </c>
      <c r="C100" s="15">
        <v>5</v>
      </c>
      <c r="D100" s="17">
        <v>35000</v>
      </c>
      <c r="E100" s="17">
        <v>36750</v>
      </c>
      <c r="F100" s="17">
        <v>1750</v>
      </c>
      <c r="G100" s="18">
        <v>1.05</v>
      </c>
      <c r="H100" s="10" t="str">
        <f t="shared" si="1"/>
        <v>GASTOS</v>
      </c>
      <c r="I100" s="19">
        <v>2025</v>
      </c>
    </row>
    <row r="101" spans="1:9" hidden="1" x14ac:dyDescent="0.3">
      <c r="A101" s="16" t="s">
        <v>7</v>
      </c>
      <c r="B101" s="16" t="s">
        <v>17</v>
      </c>
      <c r="C101" s="15">
        <v>6</v>
      </c>
      <c r="D101" s="17">
        <v>35000</v>
      </c>
      <c r="E101" s="17">
        <v>36720</v>
      </c>
      <c r="F101" s="17">
        <v>1720</v>
      </c>
      <c r="G101" s="18">
        <v>1.0491428571428572</v>
      </c>
      <c r="H101" s="10" t="str">
        <f t="shared" si="1"/>
        <v>GASTOS</v>
      </c>
      <c r="I101" s="19">
        <v>2025</v>
      </c>
    </row>
    <row r="102" spans="1:9" hidden="1" x14ac:dyDescent="0.3">
      <c r="A102" s="16" t="s">
        <v>7</v>
      </c>
      <c r="B102" s="16" t="s">
        <v>17</v>
      </c>
      <c r="C102" s="15">
        <v>7</v>
      </c>
      <c r="D102" s="17">
        <v>35000</v>
      </c>
      <c r="E102" s="17">
        <v>45900</v>
      </c>
      <c r="F102" s="17">
        <v>10900</v>
      </c>
      <c r="G102" s="18">
        <v>1.3114285714285714</v>
      </c>
      <c r="H102" s="10" t="str">
        <f t="shared" si="1"/>
        <v>GASTOS</v>
      </c>
      <c r="I102" s="19">
        <v>2025</v>
      </c>
    </row>
    <row r="103" spans="1:9" hidden="1" x14ac:dyDescent="0.3">
      <c r="A103" s="16" t="s">
        <v>7</v>
      </c>
      <c r="B103" s="16" t="s">
        <v>17</v>
      </c>
      <c r="C103" s="15">
        <v>8</v>
      </c>
      <c r="D103" s="17">
        <v>35000</v>
      </c>
      <c r="E103" s="17">
        <v>45900</v>
      </c>
      <c r="F103" s="17">
        <v>10900</v>
      </c>
      <c r="G103" s="18">
        <v>1.3114285714285714</v>
      </c>
      <c r="H103" s="10" t="str">
        <f t="shared" si="1"/>
        <v>GASTOS</v>
      </c>
      <c r="I103" s="19">
        <v>2025</v>
      </c>
    </row>
    <row r="104" spans="1:9" hidden="1" x14ac:dyDescent="0.3">
      <c r="A104" s="16" t="s">
        <v>7</v>
      </c>
      <c r="B104" s="16" t="s">
        <v>17</v>
      </c>
      <c r="C104" s="15">
        <v>9</v>
      </c>
      <c r="D104" s="17">
        <v>35000</v>
      </c>
      <c r="E104" s="17">
        <v>45967</v>
      </c>
      <c r="F104" s="17">
        <v>10967</v>
      </c>
      <c r="G104" s="18">
        <v>1.3133428571428571</v>
      </c>
      <c r="H104" s="10" t="str">
        <f t="shared" si="1"/>
        <v>GASTOS</v>
      </c>
      <c r="I104" s="19">
        <v>2025</v>
      </c>
    </row>
    <row r="105" spans="1:9" hidden="1" x14ac:dyDescent="0.3">
      <c r="A105" s="16" t="s">
        <v>7</v>
      </c>
      <c r="B105" s="16" t="s">
        <v>17</v>
      </c>
      <c r="C105" s="15">
        <v>10</v>
      </c>
      <c r="D105" s="17">
        <v>35000</v>
      </c>
      <c r="E105" s="17">
        <v>46002</v>
      </c>
      <c r="F105" s="17">
        <v>11002</v>
      </c>
      <c r="G105" s="18">
        <v>1.3143428571428573</v>
      </c>
      <c r="H105" s="10" t="str">
        <f t="shared" si="1"/>
        <v>GASTOS</v>
      </c>
      <c r="I105" s="19">
        <v>2025</v>
      </c>
    </row>
    <row r="106" spans="1:9" hidden="1" x14ac:dyDescent="0.3">
      <c r="A106" s="16" t="s">
        <v>7</v>
      </c>
      <c r="B106" s="16" t="s">
        <v>148</v>
      </c>
      <c r="C106" s="15">
        <v>4</v>
      </c>
      <c r="D106" s="17">
        <v>473400</v>
      </c>
      <c r="E106" s="17">
        <v>0</v>
      </c>
      <c r="F106" s="17">
        <v>-473400</v>
      </c>
      <c r="G106" s="18">
        <v>0</v>
      </c>
      <c r="H106" s="10" t="str">
        <f t="shared" si="1"/>
        <v>GASTOS</v>
      </c>
      <c r="I106" s="19">
        <v>2025</v>
      </c>
    </row>
    <row r="107" spans="1:9" hidden="1" x14ac:dyDescent="0.3">
      <c r="A107" s="16" t="s">
        <v>7</v>
      </c>
      <c r="B107" s="16" t="s">
        <v>148</v>
      </c>
      <c r="C107" s="15">
        <v>6</v>
      </c>
      <c r="D107" s="17">
        <v>0</v>
      </c>
      <c r="E107" s="17">
        <v>510000</v>
      </c>
      <c r="F107" s="17">
        <v>510000</v>
      </c>
      <c r="G107" s="18">
        <v>0</v>
      </c>
      <c r="H107" s="10" t="str">
        <f t="shared" si="1"/>
        <v>GASTOS</v>
      </c>
      <c r="I107" s="19">
        <v>2025</v>
      </c>
    </row>
    <row r="108" spans="1:9" hidden="1" x14ac:dyDescent="0.3">
      <c r="A108" s="16" t="s">
        <v>7</v>
      </c>
      <c r="B108" s="16" t="s">
        <v>148</v>
      </c>
      <c r="C108" s="15">
        <v>10</v>
      </c>
      <c r="D108" s="17">
        <v>0</v>
      </c>
      <c r="E108" s="17">
        <v>540000</v>
      </c>
      <c r="F108" s="17">
        <v>540000</v>
      </c>
      <c r="G108" s="18">
        <v>0</v>
      </c>
      <c r="H108" s="10" t="str">
        <f t="shared" si="1"/>
        <v>GASTOS</v>
      </c>
      <c r="I108" s="19">
        <v>2025</v>
      </c>
    </row>
    <row r="109" spans="1:9" hidden="1" x14ac:dyDescent="0.3">
      <c r="A109" s="16" t="s">
        <v>7</v>
      </c>
      <c r="B109" s="16" t="s">
        <v>170</v>
      </c>
      <c r="C109" s="15">
        <v>6</v>
      </c>
      <c r="D109" s="17">
        <v>0</v>
      </c>
      <c r="E109" s="17">
        <v>3098957</v>
      </c>
      <c r="F109" s="17">
        <v>3098957</v>
      </c>
      <c r="G109" s="18">
        <v>0</v>
      </c>
      <c r="H109" s="10" t="str">
        <f t="shared" si="1"/>
        <v>GASTOS</v>
      </c>
      <c r="I109" s="19">
        <v>2025</v>
      </c>
    </row>
    <row r="110" spans="1:9" hidden="1" x14ac:dyDescent="0.3">
      <c r="A110" s="16" t="s">
        <v>7</v>
      </c>
      <c r="B110" s="16" t="s">
        <v>170</v>
      </c>
      <c r="C110" s="15">
        <v>7</v>
      </c>
      <c r="D110" s="17">
        <v>0</v>
      </c>
      <c r="E110" s="17">
        <v>2764537</v>
      </c>
      <c r="F110" s="17">
        <v>2764537</v>
      </c>
      <c r="G110" s="18">
        <v>0</v>
      </c>
      <c r="H110" s="10" t="str">
        <f t="shared" si="1"/>
        <v>GASTOS</v>
      </c>
      <c r="I110" s="19">
        <v>2025</v>
      </c>
    </row>
    <row r="111" spans="1:9" hidden="1" x14ac:dyDescent="0.3">
      <c r="A111" s="16" t="s">
        <v>7</v>
      </c>
      <c r="B111" s="16" t="s">
        <v>170</v>
      </c>
      <c r="C111" s="15">
        <v>8</v>
      </c>
      <c r="D111" s="17">
        <v>0</v>
      </c>
      <c r="E111" s="17">
        <v>2946601</v>
      </c>
      <c r="F111" s="17">
        <v>2946601</v>
      </c>
      <c r="G111" s="18">
        <v>0</v>
      </c>
      <c r="H111" s="10" t="str">
        <f t="shared" si="1"/>
        <v>GASTOS</v>
      </c>
      <c r="I111" s="19">
        <v>2025</v>
      </c>
    </row>
    <row r="112" spans="1:9" hidden="1" x14ac:dyDescent="0.3">
      <c r="A112" s="16" t="s">
        <v>7</v>
      </c>
      <c r="B112" s="16" t="s">
        <v>170</v>
      </c>
      <c r="C112" s="15">
        <v>9</v>
      </c>
      <c r="D112" s="17">
        <v>0</v>
      </c>
      <c r="E112" s="17">
        <v>2764537</v>
      </c>
      <c r="F112" s="17">
        <v>2764537</v>
      </c>
      <c r="G112" s="18">
        <v>0</v>
      </c>
      <c r="H112" s="10" t="str">
        <f t="shared" si="1"/>
        <v>GASTOS</v>
      </c>
      <c r="I112" s="19">
        <v>2025</v>
      </c>
    </row>
    <row r="113" spans="1:9" hidden="1" x14ac:dyDescent="0.3">
      <c r="A113" s="16" t="s">
        <v>7</v>
      </c>
      <c r="B113" s="16" t="s">
        <v>170</v>
      </c>
      <c r="C113" s="15">
        <v>10</v>
      </c>
      <c r="D113" s="17">
        <v>0</v>
      </c>
      <c r="E113" s="17">
        <v>2564194</v>
      </c>
      <c r="F113" s="17">
        <v>2564194</v>
      </c>
      <c r="G113" s="18">
        <v>0</v>
      </c>
      <c r="H113" s="10" t="str">
        <f t="shared" si="1"/>
        <v>GASTOS</v>
      </c>
      <c r="I113" s="19">
        <v>2025</v>
      </c>
    </row>
    <row r="114" spans="1:9" hidden="1" x14ac:dyDescent="0.3">
      <c r="A114" s="16" t="s">
        <v>7</v>
      </c>
      <c r="B114" s="16" t="s">
        <v>18</v>
      </c>
      <c r="C114" s="15">
        <v>1</v>
      </c>
      <c r="D114" s="17">
        <v>0</v>
      </c>
      <c r="E114" s="17">
        <v>18400</v>
      </c>
      <c r="F114" s="17">
        <v>18400</v>
      </c>
      <c r="G114" s="18">
        <v>0</v>
      </c>
      <c r="H114" s="10" t="str">
        <f t="shared" si="1"/>
        <v>GASTOS</v>
      </c>
      <c r="I114" s="19">
        <v>2025</v>
      </c>
    </row>
    <row r="115" spans="1:9" hidden="1" x14ac:dyDescent="0.3">
      <c r="A115" s="16" t="s">
        <v>7</v>
      </c>
      <c r="B115" s="16" t="s">
        <v>18</v>
      </c>
      <c r="C115" s="15">
        <v>2</v>
      </c>
      <c r="D115" s="17">
        <v>0</v>
      </c>
      <c r="E115" s="17">
        <v>2700</v>
      </c>
      <c r="F115" s="17">
        <v>2700</v>
      </c>
      <c r="G115" s="18">
        <v>0</v>
      </c>
      <c r="H115" s="10" t="str">
        <f t="shared" si="1"/>
        <v>GASTOS</v>
      </c>
      <c r="I115" s="19">
        <v>2025</v>
      </c>
    </row>
    <row r="116" spans="1:9" hidden="1" x14ac:dyDescent="0.3">
      <c r="A116" s="16" t="s">
        <v>7</v>
      </c>
      <c r="B116" s="16" t="s">
        <v>18</v>
      </c>
      <c r="C116" s="15">
        <v>3</v>
      </c>
      <c r="D116" s="17">
        <v>2735</v>
      </c>
      <c r="E116" s="17">
        <v>2700</v>
      </c>
      <c r="F116" s="17">
        <v>-35</v>
      </c>
      <c r="G116" s="18">
        <v>0.98720292504570384</v>
      </c>
      <c r="H116" s="10" t="str">
        <f t="shared" si="1"/>
        <v>GASTOS</v>
      </c>
      <c r="I116" s="19">
        <v>2025</v>
      </c>
    </row>
    <row r="117" spans="1:9" hidden="1" x14ac:dyDescent="0.3">
      <c r="A117" s="16" t="s">
        <v>7</v>
      </c>
      <c r="B117" s="16" t="s">
        <v>18</v>
      </c>
      <c r="C117" s="15">
        <v>4</v>
      </c>
      <c r="D117" s="17">
        <v>16516</v>
      </c>
      <c r="E117" s="17">
        <v>2700</v>
      </c>
      <c r="F117" s="17">
        <v>-13816</v>
      </c>
      <c r="G117" s="18">
        <v>0.16347783967062243</v>
      </c>
      <c r="H117" s="10" t="str">
        <f t="shared" si="1"/>
        <v>GASTOS</v>
      </c>
      <c r="I117" s="19">
        <v>2025</v>
      </c>
    </row>
    <row r="118" spans="1:9" hidden="1" x14ac:dyDescent="0.3">
      <c r="A118" s="16" t="s">
        <v>7</v>
      </c>
      <c r="B118" s="16" t="s">
        <v>18</v>
      </c>
      <c r="C118" s="15">
        <v>5</v>
      </c>
      <c r="D118" s="17">
        <v>2735</v>
      </c>
      <c r="E118" s="17">
        <v>2700</v>
      </c>
      <c r="F118" s="17">
        <v>-35</v>
      </c>
      <c r="G118" s="18">
        <v>0.98720292504570384</v>
      </c>
      <c r="H118" s="10" t="str">
        <f t="shared" si="1"/>
        <v>GASTOS</v>
      </c>
      <c r="I118" s="19">
        <v>2025</v>
      </c>
    </row>
    <row r="119" spans="1:9" hidden="1" x14ac:dyDescent="0.3">
      <c r="A119" s="16" t="s">
        <v>7</v>
      </c>
      <c r="B119" s="16" t="s">
        <v>18</v>
      </c>
      <c r="C119" s="15">
        <v>6</v>
      </c>
      <c r="D119" s="17">
        <v>2735</v>
      </c>
      <c r="E119" s="17">
        <v>7300</v>
      </c>
      <c r="F119" s="17">
        <v>4565</v>
      </c>
      <c r="G119" s="18">
        <v>2.6691042047531992</v>
      </c>
      <c r="H119" s="10" t="str">
        <f t="shared" si="1"/>
        <v>GASTOS</v>
      </c>
      <c r="I119" s="19">
        <v>2025</v>
      </c>
    </row>
    <row r="120" spans="1:9" hidden="1" x14ac:dyDescent="0.3">
      <c r="A120" s="16" t="s">
        <v>7</v>
      </c>
      <c r="B120" s="16" t="s">
        <v>18</v>
      </c>
      <c r="C120" s="15">
        <v>7</v>
      </c>
      <c r="D120" s="17">
        <v>2735</v>
      </c>
      <c r="E120" s="17">
        <v>0</v>
      </c>
      <c r="F120" s="17">
        <v>-2735</v>
      </c>
      <c r="G120" s="18">
        <v>0</v>
      </c>
      <c r="H120" s="10" t="str">
        <f t="shared" si="1"/>
        <v>GASTOS</v>
      </c>
      <c r="I120" s="19">
        <v>2025</v>
      </c>
    </row>
    <row r="121" spans="1:9" hidden="1" x14ac:dyDescent="0.3">
      <c r="A121" s="16" t="s">
        <v>7</v>
      </c>
      <c r="B121" s="16" t="s">
        <v>18</v>
      </c>
      <c r="C121" s="15">
        <v>8</v>
      </c>
      <c r="D121" s="17">
        <v>6101</v>
      </c>
      <c r="E121" s="17">
        <v>0</v>
      </c>
      <c r="F121" s="17">
        <v>-6101</v>
      </c>
      <c r="G121" s="18">
        <v>0</v>
      </c>
      <c r="H121" s="10" t="str">
        <f t="shared" si="1"/>
        <v>GASTOS</v>
      </c>
      <c r="I121" s="19">
        <v>2025</v>
      </c>
    </row>
    <row r="122" spans="1:9" hidden="1" x14ac:dyDescent="0.3">
      <c r="A122" s="16" t="s">
        <v>7</v>
      </c>
      <c r="B122" s="16" t="s">
        <v>18</v>
      </c>
      <c r="C122" s="15">
        <v>9</v>
      </c>
      <c r="D122" s="17">
        <v>8205</v>
      </c>
      <c r="E122" s="17">
        <v>0</v>
      </c>
      <c r="F122" s="17">
        <v>-8205</v>
      </c>
      <c r="G122" s="18">
        <v>0</v>
      </c>
      <c r="H122" s="10" t="str">
        <f t="shared" si="1"/>
        <v>GASTOS</v>
      </c>
      <c r="I122" s="19">
        <v>2025</v>
      </c>
    </row>
    <row r="123" spans="1:9" hidden="1" x14ac:dyDescent="0.3">
      <c r="A123" s="16" t="s">
        <v>7</v>
      </c>
      <c r="B123" s="16" t="s">
        <v>86</v>
      </c>
      <c r="C123" s="15">
        <v>3</v>
      </c>
      <c r="D123" s="17">
        <v>12395100</v>
      </c>
      <c r="E123" s="17">
        <v>12395100</v>
      </c>
      <c r="F123" s="17">
        <v>0</v>
      </c>
      <c r="G123" s="18">
        <v>1</v>
      </c>
      <c r="H123" s="10" t="str">
        <f t="shared" si="1"/>
        <v>GASTOS</v>
      </c>
      <c r="I123" s="19">
        <v>2025</v>
      </c>
    </row>
    <row r="124" spans="1:9" hidden="1" x14ac:dyDescent="0.3">
      <c r="A124" s="16" t="s">
        <v>7</v>
      </c>
      <c r="B124" s="16" t="s">
        <v>19</v>
      </c>
      <c r="C124" s="15">
        <v>1</v>
      </c>
      <c r="D124" s="17">
        <v>345000</v>
      </c>
      <c r="E124" s="17">
        <v>345000</v>
      </c>
      <c r="F124" s="17">
        <v>0</v>
      </c>
      <c r="G124" s="18">
        <v>1</v>
      </c>
      <c r="H124" s="10" t="str">
        <f t="shared" si="1"/>
        <v>GASTOS</v>
      </c>
      <c r="I124" s="19">
        <v>2025</v>
      </c>
    </row>
    <row r="125" spans="1:9" hidden="1" x14ac:dyDescent="0.3">
      <c r="A125" s="16" t="s">
        <v>7</v>
      </c>
      <c r="B125" s="16" t="s">
        <v>19</v>
      </c>
      <c r="C125" s="15">
        <v>2</v>
      </c>
      <c r="D125" s="17">
        <v>237600</v>
      </c>
      <c r="E125" s="17">
        <v>237600</v>
      </c>
      <c r="F125" s="17">
        <v>0</v>
      </c>
      <c r="G125" s="18">
        <v>1</v>
      </c>
      <c r="H125" s="10" t="str">
        <f t="shared" si="1"/>
        <v>GASTOS</v>
      </c>
      <c r="I125" s="19">
        <v>2025</v>
      </c>
    </row>
    <row r="126" spans="1:9" hidden="1" x14ac:dyDescent="0.3">
      <c r="A126" s="16" t="s">
        <v>7</v>
      </c>
      <c r="B126" s="16" t="s">
        <v>19</v>
      </c>
      <c r="C126" s="15">
        <v>5</v>
      </c>
      <c r="D126" s="17">
        <v>0</v>
      </c>
      <c r="E126" s="17">
        <v>259000</v>
      </c>
      <c r="F126" s="17">
        <v>259000</v>
      </c>
      <c r="G126" s="18">
        <v>0</v>
      </c>
      <c r="H126" s="10" t="str">
        <f t="shared" si="1"/>
        <v>GASTOS</v>
      </c>
      <c r="I126" s="19">
        <v>2025</v>
      </c>
    </row>
    <row r="127" spans="1:9" hidden="1" x14ac:dyDescent="0.3">
      <c r="A127" s="16" t="s">
        <v>7</v>
      </c>
      <c r="B127" s="16" t="s">
        <v>19</v>
      </c>
      <c r="C127" s="15">
        <v>6</v>
      </c>
      <c r="D127" s="17">
        <v>0</v>
      </c>
      <c r="E127" s="17">
        <v>-259000</v>
      </c>
      <c r="F127" s="17">
        <v>-259000</v>
      </c>
      <c r="G127" s="18">
        <v>0</v>
      </c>
      <c r="H127" s="10" t="str">
        <f t="shared" si="1"/>
        <v>GASTOS</v>
      </c>
      <c r="I127" s="19">
        <v>2025</v>
      </c>
    </row>
    <row r="128" spans="1:9" hidden="1" x14ac:dyDescent="0.3">
      <c r="A128" s="16" t="s">
        <v>7</v>
      </c>
      <c r="B128" s="16" t="s">
        <v>19</v>
      </c>
      <c r="C128" s="15">
        <v>8</v>
      </c>
      <c r="D128" s="17">
        <v>42080</v>
      </c>
      <c r="E128" s="17">
        <v>0</v>
      </c>
      <c r="F128" s="17">
        <v>-42080</v>
      </c>
      <c r="G128" s="18">
        <v>0</v>
      </c>
      <c r="H128" s="10" t="str">
        <f t="shared" si="1"/>
        <v>GASTOS</v>
      </c>
      <c r="I128" s="19">
        <v>2025</v>
      </c>
    </row>
    <row r="129" spans="1:9" hidden="1" x14ac:dyDescent="0.3">
      <c r="A129" s="16" t="s">
        <v>7</v>
      </c>
      <c r="B129" s="16" t="s">
        <v>19</v>
      </c>
      <c r="C129" s="15">
        <v>9</v>
      </c>
      <c r="D129" s="17">
        <v>0</v>
      </c>
      <c r="E129" s="17">
        <v>3386000</v>
      </c>
      <c r="F129" s="17">
        <v>3386000</v>
      </c>
      <c r="G129" s="18">
        <v>0</v>
      </c>
      <c r="H129" s="10" t="str">
        <f t="shared" si="1"/>
        <v>GASTOS</v>
      </c>
      <c r="I129" s="19">
        <v>2025</v>
      </c>
    </row>
    <row r="130" spans="1:9" hidden="1" x14ac:dyDescent="0.3">
      <c r="A130" s="16" t="s">
        <v>7</v>
      </c>
      <c r="B130" s="16" t="s">
        <v>19</v>
      </c>
      <c r="C130" s="15">
        <v>10</v>
      </c>
      <c r="D130" s="17">
        <v>0</v>
      </c>
      <c r="E130" s="17">
        <v>518000</v>
      </c>
      <c r="F130" s="17">
        <v>518000</v>
      </c>
      <c r="G130" s="18">
        <v>0</v>
      </c>
      <c r="H130" s="10" t="str">
        <f t="shared" si="1"/>
        <v>GASTOS</v>
      </c>
      <c r="I130" s="19">
        <v>2025</v>
      </c>
    </row>
    <row r="131" spans="1:9" hidden="1" x14ac:dyDescent="0.3">
      <c r="A131" s="16" t="s">
        <v>7</v>
      </c>
      <c r="B131" s="16" t="s">
        <v>20</v>
      </c>
      <c r="C131" s="15">
        <v>2</v>
      </c>
      <c r="D131" s="17">
        <v>1298944</v>
      </c>
      <c r="E131" s="17">
        <v>1298944</v>
      </c>
      <c r="F131" s="17">
        <v>0</v>
      </c>
      <c r="G131" s="18">
        <v>1</v>
      </c>
      <c r="H131" s="10" t="str">
        <f t="shared" ref="H131:H194" si="2">+IF(OR(A131="ADMINISTRACION",A131="COMERCIAL",A131="COMERCIAL-EXPORTACIONES",A131="LEASING DE LA BODEGA",A131="LOGISTICA-SALIDA",A131="OTROS GASTOS",A131="BODEGA ALQUILADA", A131="BODEGA CARTOPLAST", A131="BODEGA CARTOPLAS", A131= "GESTION HUMANA-OTROS GASTOS"),"GASTOS","COSTOS")</f>
        <v>GASTOS</v>
      </c>
      <c r="I131" s="19">
        <v>2025</v>
      </c>
    </row>
    <row r="132" spans="1:9" hidden="1" x14ac:dyDescent="0.3">
      <c r="A132" s="16" t="s">
        <v>7</v>
      </c>
      <c r="B132" s="16" t="s">
        <v>20</v>
      </c>
      <c r="C132" s="15">
        <v>3</v>
      </c>
      <c r="D132" s="17">
        <v>1298944</v>
      </c>
      <c r="E132" s="17">
        <v>1370119</v>
      </c>
      <c r="F132" s="17">
        <v>71175</v>
      </c>
      <c r="G132" s="18">
        <v>1.0547945100019709</v>
      </c>
      <c r="H132" s="10" t="str">
        <f t="shared" si="2"/>
        <v>GASTOS</v>
      </c>
      <c r="I132" s="19">
        <v>2025</v>
      </c>
    </row>
    <row r="133" spans="1:9" hidden="1" x14ac:dyDescent="0.3">
      <c r="A133" s="16" t="s">
        <v>7</v>
      </c>
      <c r="B133" s="16" t="s">
        <v>20</v>
      </c>
      <c r="C133" s="15">
        <v>4</v>
      </c>
      <c r="D133" s="17">
        <v>0</v>
      </c>
      <c r="E133" s="17">
        <v>1370119</v>
      </c>
      <c r="F133" s="17">
        <v>1370119</v>
      </c>
      <c r="G133" s="18">
        <v>0</v>
      </c>
      <c r="H133" s="10" t="str">
        <f t="shared" si="2"/>
        <v>GASTOS</v>
      </c>
      <c r="I133" s="19">
        <v>2025</v>
      </c>
    </row>
    <row r="134" spans="1:9" hidden="1" x14ac:dyDescent="0.3">
      <c r="A134" s="16" t="s">
        <v>7</v>
      </c>
      <c r="B134" s="16" t="s">
        <v>20</v>
      </c>
      <c r="C134" s="15">
        <v>5</v>
      </c>
      <c r="D134" s="17">
        <v>0</v>
      </c>
      <c r="E134" s="17">
        <v>1141766</v>
      </c>
      <c r="F134" s="17">
        <v>1141766</v>
      </c>
      <c r="G134" s="18">
        <v>0</v>
      </c>
      <c r="H134" s="10" t="str">
        <f t="shared" si="2"/>
        <v>GASTOS</v>
      </c>
      <c r="I134" s="19">
        <v>2025</v>
      </c>
    </row>
    <row r="135" spans="1:9" hidden="1" x14ac:dyDescent="0.3">
      <c r="A135" s="16" t="s">
        <v>7</v>
      </c>
      <c r="B135" s="16" t="s">
        <v>21</v>
      </c>
      <c r="C135" s="15">
        <v>1</v>
      </c>
      <c r="D135" s="17">
        <v>50000</v>
      </c>
      <c r="E135" s="17">
        <v>50000</v>
      </c>
      <c r="F135" s="17">
        <v>0</v>
      </c>
      <c r="G135" s="18">
        <v>1</v>
      </c>
      <c r="H135" s="10" t="str">
        <f t="shared" si="2"/>
        <v>GASTOS</v>
      </c>
      <c r="I135" s="19">
        <v>2025</v>
      </c>
    </row>
    <row r="136" spans="1:9" hidden="1" x14ac:dyDescent="0.3">
      <c r="A136" s="16" t="s">
        <v>7</v>
      </c>
      <c r="B136" s="16" t="s">
        <v>21</v>
      </c>
      <c r="C136" s="15">
        <v>4</v>
      </c>
      <c r="D136" s="17">
        <v>67328</v>
      </c>
      <c r="E136" s="17">
        <v>0</v>
      </c>
      <c r="F136" s="17">
        <v>-67328</v>
      </c>
      <c r="G136" s="18">
        <v>0</v>
      </c>
      <c r="H136" s="10" t="str">
        <f t="shared" si="2"/>
        <v>GASTOS</v>
      </c>
      <c r="I136" s="19">
        <v>2025</v>
      </c>
    </row>
    <row r="137" spans="1:9" hidden="1" x14ac:dyDescent="0.3">
      <c r="A137" s="16" t="s">
        <v>7</v>
      </c>
      <c r="B137" s="16" t="s">
        <v>21</v>
      </c>
      <c r="C137" s="15">
        <v>6</v>
      </c>
      <c r="D137" s="17">
        <v>0</v>
      </c>
      <c r="E137" s="17">
        <v>100840</v>
      </c>
      <c r="F137" s="17">
        <v>100840</v>
      </c>
      <c r="G137" s="18">
        <v>0</v>
      </c>
      <c r="H137" s="10" t="str">
        <f t="shared" si="2"/>
        <v>GASTOS</v>
      </c>
      <c r="I137" s="19">
        <v>2025</v>
      </c>
    </row>
    <row r="138" spans="1:9" hidden="1" x14ac:dyDescent="0.3">
      <c r="A138" s="16" t="s">
        <v>7</v>
      </c>
      <c r="B138" s="16" t="s">
        <v>21</v>
      </c>
      <c r="C138" s="15">
        <v>7</v>
      </c>
      <c r="D138" s="17">
        <v>0</v>
      </c>
      <c r="E138" s="17">
        <v>258800</v>
      </c>
      <c r="F138" s="17">
        <v>258800</v>
      </c>
      <c r="G138" s="18">
        <v>0</v>
      </c>
      <c r="H138" s="10" t="str">
        <f t="shared" si="2"/>
        <v>GASTOS</v>
      </c>
      <c r="I138" s="19">
        <v>2025</v>
      </c>
    </row>
    <row r="139" spans="1:9" hidden="1" x14ac:dyDescent="0.3">
      <c r="A139" s="16" t="s">
        <v>7</v>
      </c>
      <c r="B139" s="16" t="s">
        <v>21</v>
      </c>
      <c r="C139" s="15">
        <v>10</v>
      </c>
      <c r="D139" s="17">
        <v>0</v>
      </c>
      <c r="E139" s="17">
        <v>1523000</v>
      </c>
      <c r="F139" s="17">
        <v>1523000</v>
      </c>
      <c r="G139" s="18">
        <v>0</v>
      </c>
      <c r="H139" s="10" t="str">
        <f t="shared" si="2"/>
        <v>GASTOS</v>
      </c>
      <c r="I139" s="19">
        <v>2025</v>
      </c>
    </row>
    <row r="140" spans="1:9" hidden="1" x14ac:dyDescent="0.3">
      <c r="A140" s="16" t="s">
        <v>7</v>
      </c>
      <c r="B140" s="16" t="s">
        <v>62</v>
      </c>
      <c r="C140" s="15">
        <v>1</v>
      </c>
      <c r="D140" s="17">
        <v>6389558</v>
      </c>
      <c r="E140" s="17">
        <v>6389558</v>
      </c>
      <c r="F140" s="17">
        <v>0</v>
      </c>
      <c r="G140" s="18">
        <v>1</v>
      </c>
      <c r="H140" s="10" t="str">
        <f t="shared" si="2"/>
        <v>GASTOS</v>
      </c>
      <c r="I140" s="19">
        <v>2025</v>
      </c>
    </row>
    <row r="141" spans="1:9" hidden="1" x14ac:dyDescent="0.3">
      <c r="A141" s="16" t="s">
        <v>7</v>
      </c>
      <c r="B141" s="16" t="s">
        <v>62</v>
      </c>
      <c r="C141" s="15">
        <v>2</v>
      </c>
      <c r="D141" s="17">
        <v>404712</v>
      </c>
      <c r="E141" s="17">
        <v>404712</v>
      </c>
      <c r="F141" s="17">
        <v>0</v>
      </c>
      <c r="G141" s="18">
        <v>1</v>
      </c>
      <c r="H141" s="10" t="str">
        <f t="shared" si="2"/>
        <v>GASTOS</v>
      </c>
      <c r="I141" s="19">
        <v>2025</v>
      </c>
    </row>
    <row r="142" spans="1:9" hidden="1" x14ac:dyDescent="0.3">
      <c r="A142" s="16" t="s">
        <v>7</v>
      </c>
      <c r="B142" s="16" t="s">
        <v>62</v>
      </c>
      <c r="C142" s="15">
        <v>3</v>
      </c>
      <c r="D142" s="17">
        <v>395138</v>
      </c>
      <c r="E142" s="17">
        <v>980787</v>
      </c>
      <c r="F142" s="17">
        <v>585649</v>
      </c>
      <c r="G142" s="18">
        <v>2.4821378860043835</v>
      </c>
      <c r="H142" s="10" t="str">
        <f t="shared" si="2"/>
        <v>GASTOS</v>
      </c>
      <c r="I142" s="19">
        <v>2025</v>
      </c>
    </row>
    <row r="143" spans="1:9" hidden="1" x14ac:dyDescent="0.3">
      <c r="A143" s="16" t="s">
        <v>7</v>
      </c>
      <c r="B143" s="16" t="s">
        <v>62</v>
      </c>
      <c r="C143" s="15">
        <v>4</v>
      </c>
      <c r="D143" s="17">
        <v>501981</v>
      </c>
      <c r="E143" s="17">
        <v>533309</v>
      </c>
      <c r="F143" s="17">
        <v>31328</v>
      </c>
      <c r="G143" s="18">
        <v>1.0624087365856476</v>
      </c>
      <c r="H143" s="10" t="str">
        <f t="shared" si="2"/>
        <v>GASTOS</v>
      </c>
      <c r="I143" s="19">
        <v>2025</v>
      </c>
    </row>
    <row r="144" spans="1:9" hidden="1" x14ac:dyDescent="0.3">
      <c r="A144" s="16" t="s">
        <v>7</v>
      </c>
      <c r="B144" s="16" t="s">
        <v>62</v>
      </c>
      <c r="C144" s="15">
        <v>5</v>
      </c>
      <c r="D144" s="17">
        <v>444384</v>
      </c>
      <c r="E144" s="17">
        <v>772123</v>
      </c>
      <c r="F144" s="17">
        <v>327739</v>
      </c>
      <c r="G144" s="18">
        <v>1.7375130517750415</v>
      </c>
      <c r="H144" s="10" t="str">
        <f t="shared" si="2"/>
        <v>GASTOS</v>
      </c>
      <c r="I144" s="19">
        <v>2025</v>
      </c>
    </row>
    <row r="145" spans="1:9" hidden="1" x14ac:dyDescent="0.3">
      <c r="A145" s="16" t="s">
        <v>7</v>
      </c>
      <c r="B145" s="16" t="s">
        <v>62</v>
      </c>
      <c r="C145" s="15">
        <v>6</v>
      </c>
      <c r="D145" s="17">
        <v>4573919</v>
      </c>
      <c r="E145" s="17">
        <v>583782</v>
      </c>
      <c r="F145" s="17">
        <v>-3990137</v>
      </c>
      <c r="G145" s="18">
        <v>0.12763278055426869</v>
      </c>
      <c r="H145" s="10" t="str">
        <f t="shared" si="2"/>
        <v>GASTOS</v>
      </c>
      <c r="I145" s="19">
        <v>2025</v>
      </c>
    </row>
    <row r="146" spans="1:9" hidden="1" x14ac:dyDescent="0.3">
      <c r="A146" s="16" t="s">
        <v>7</v>
      </c>
      <c r="B146" s="16" t="s">
        <v>62</v>
      </c>
      <c r="C146" s="15">
        <v>7</v>
      </c>
      <c r="D146" s="17">
        <v>415844</v>
      </c>
      <c r="E146" s="17">
        <v>4590595</v>
      </c>
      <c r="F146" s="17">
        <v>4174751</v>
      </c>
      <c r="G146" s="18">
        <v>11.039223843556718</v>
      </c>
      <c r="H146" s="10" t="str">
        <f t="shared" si="2"/>
        <v>GASTOS</v>
      </c>
      <c r="I146" s="19">
        <v>2025</v>
      </c>
    </row>
    <row r="147" spans="1:9" hidden="1" x14ac:dyDescent="0.3">
      <c r="A147" s="16" t="s">
        <v>7</v>
      </c>
      <c r="B147" s="16" t="s">
        <v>62</v>
      </c>
      <c r="C147" s="15">
        <v>8</v>
      </c>
      <c r="D147" s="17">
        <v>423975</v>
      </c>
      <c r="E147" s="17">
        <v>936458</v>
      </c>
      <c r="F147" s="17">
        <v>512483</v>
      </c>
      <c r="G147" s="18">
        <v>2.2087575918391416</v>
      </c>
      <c r="H147" s="10" t="str">
        <f t="shared" si="2"/>
        <v>GASTOS</v>
      </c>
      <c r="I147" s="19">
        <v>2025</v>
      </c>
    </row>
    <row r="148" spans="1:9" hidden="1" x14ac:dyDescent="0.3">
      <c r="A148" s="16" t="s">
        <v>7</v>
      </c>
      <c r="B148" s="16" t="s">
        <v>62</v>
      </c>
      <c r="C148" s="15">
        <v>9</v>
      </c>
      <c r="D148" s="17">
        <v>429044</v>
      </c>
      <c r="E148" s="17">
        <v>700001</v>
      </c>
      <c r="F148" s="17">
        <v>270957</v>
      </c>
      <c r="G148" s="18">
        <v>1.6315366256141561</v>
      </c>
      <c r="H148" s="10" t="str">
        <f t="shared" si="2"/>
        <v>GASTOS</v>
      </c>
      <c r="I148" s="19">
        <v>2025</v>
      </c>
    </row>
    <row r="149" spans="1:9" hidden="1" x14ac:dyDescent="0.3">
      <c r="A149" s="16" t="s">
        <v>7</v>
      </c>
      <c r="B149" s="16" t="s">
        <v>62</v>
      </c>
      <c r="C149" s="15">
        <v>10</v>
      </c>
      <c r="D149" s="17">
        <v>1541832</v>
      </c>
      <c r="E149" s="17">
        <v>667890</v>
      </c>
      <c r="F149" s="17">
        <v>-873942</v>
      </c>
      <c r="G149" s="18">
        <v>0.43317949037249198</v>
      </c>
      <c r="H149" s="10" t="str">
        <f t="shared" si="2"/>
        <v>GASTOS</v>
      </c>
      <c r="I149" s="19">
        <v>2025</v>
      </c>
    </row>
    <row r="150" spans="1:9" hidden="1" x14ac:dyDescent="0.3">
      <c r="A150" s="16" t="s">
        <v>7</v>
      </c>
      <c r="B150" s="16" t="s">
        <v>171</v>
      </c>
      <c r="C150" s="15">
        <v>10</v>
      </c>
      <c r="D150" s="17">
        <v>544082</v>
      </c>
      <c r="E150" s="17">
        <v>0</v>
      </c>
      <c r="F150" s="17">
        <v>-544082</v>
      </c>
      <c r="G150" s="18">
        <v>0</v>
      </c>
      <c r="H150" s="10" t="str">
        <f t="shared" si="2"/>
        <v>GASTOS</v>
      </c>
      <c r="I150" s="19">
        <v>2025</v>
      </c>
    </row>
    <row r="151" spans="1:9" hidden="1" x14ac:dyDescent="0.3">
      <c r="A151" s="16" t="s">
        <v>7</v>
      </c>
      <c r="B151" s="16" t="s">
        <v>22</v>
      </c>
      <c r="C151" s="15">
        <v>5</v>
      </c>
      <c r="D151" s="17">
        <v>3978</v>
      </c>
      <c r="E151" s="17">
        <v>0</v>
      </c>
      <c r="F151" s="17">
        <v>-3978</v>
      </c>
      <c r="G151" s="18">
        <v>0</v>
      </c>
      <c r="H151" s="10" t="str">
        <f t="shared" si="2"/>
        <v>GASTOS</v>
      </c>
      <c r="I151" s="19">
        <v>2025</v>
      </c>
    </row>
    <row r="152" spans="1:9" hidden="1" x14ac:dyDescent="0.3">
      <c r="A152" s="16" t="s">
        <v>7</v>
      </c>
      <c r="B152" s="16" t="s">
        <v>22</v>
      </c>
      <c r="C152" s="15">
        <v>6</v>
      </c>
      <c r="D152" s="17">
        <v>631200</v>
      </c>
      <c r="E152" s="17">
        <v>0</v>
      </c>
      <c r="F152" s="17">
        <v>-631200</v>
      </c>
      <c r="G152" s="18">
        <v>0</v>
      </c>
      <c r="H152" s="10" t="str">
        <f t="shared" si="2"/>
        <v>GASTOS</v>
      </c>
      <c r="I152" s="19">
        <v>2025</v>
      </c>
    </row>
    <row r="153" spans="1:9" hidden="1" x14ac:dyDescent="0.3">
      <c r="A153" s="16" t="s">
        <v>7</v>
      </c>
      <c r="B153" s="16" t="s">
        <v>22</v>
      </c>
      <c r="C153" s="15">
        <v>8</v>
      </c>
      <c r="D153" s="17">
        <v>1227920</v>
      </c>
      <c r="E153" s="17">
        <v>0</v>
      </c>
      <c r="F153" s="17">
        <v>-1227920</v>
      </c>
      <c r="G153" s="18">
        <v>0</v>
      </c>
      <c r="H153" s="10" t="str">
        <f t="shared" si="2"/>
        <v>GASTOS</v>
      </c>
      <c r="I153" s="19">
        <v>2025</v>
      </c>
    </row>
    <row r="154" spans="1:9" hidden="1" x14ac:dyDescent="0.3">
      <c r="A154" s="16" t="s">
        <v>7</v>
      </c>
      <c r="B154" s="16" t="s">
        <v>23</v>
      </c>
      <c r="C154" s="15">
        <v>1</v>
      </c>
      <c r="D154" s="17">
        <v>3594745</v>
      </c>
      <c r="E154" s="17">
        <v>3594745</v>
      </c>
      <c r="F154" s="17">
        <v>0</v>
      </c>
      <c r="G154" s="18">
        <v>1</v>
      </c>
      <c r="H154" s="10" t="str">
        <f t="shared" si="2"/>
        <v>GASTOS</v>
      </c>
      <c r="I154" s="19">
        <v>2025</v>
      </c>
    </row>
    <row r="155" spans="1:9" hidden="1" x14ac:dyDescent="0.3">
      <c r="A155" s="16" t="s">
        <v>7</v>
      </c>
      <c r="B155" s="16" t="s">
        <v>23</v>
      </c>
      <c r="C155" s="15">
        <v>2</v>
      </c>
      <c r="D155" s="17">
        <v>3594745</v>
      </c>
      <c r="E155" s="17">
        <v>3594745</v>
      </c>
      <c r="F155" s="17">
        <v>0</v>
      </c>
      <c r="G155" s="18">
        <v>1</v>
      </c>
      <c r="H155" s="10" t="str">
        <f t="shared" si="2"/>
        <v>GASTOS</v>
      </c>
      <c r="I155" s="19">
        <v>2025</v>
      </c>
    </row>
    <row r="156" spans="1:9" hidden="1" x14ac:dyDescent="0.3">
      <c r="A156" s="16" t="s">
        <v>7</v>
      </c>
      <c r="B156" s="16" t="s">
        <v>23</v>
      </c>
      <c r="C156" s="15">
        <v>3</v>
      </c>
      <c r="D156" s="17">
        <v>3594745</v>
      </c>
      <c r="E156" s="17">
        <v>3594745</v>
      </c>
      <c r="F156" s="17">
        <v>0</v>
      </c>
      <c r="G156" s="18">
        <v>1</v>
      </c>
      <c r="H156" s="10" t="str">
        <f t="shared" si="2"/>
        <v>GASTOS</v>
      </c>
      <c r="I156" s="19">
        <v>2025</v>
      </c>
    </row>
    <row r="157" spans="1:9" hidden="1" x14ac:dyDescent="0.3">
      <c r="A157" s="16" t="s">
        <v>7</v>
      </c>
      <c r="B157" s="16" t="s">
        <v>23</v>
      </c>
      <c r="C157" s="15">
        <v>4</v>
      </c>
      <c r="D157" s="17">
        <v>3594745</v>
      </c>
      <c r="E157" s="17">
        <v>3594745</v>
      </c>
      <c r="F157" s="17">
        <v>0</v>
      </c>
      <c r="G157" s="18">
        <v>1</v>
      </c>
      <c r="H157" s="10" t="str">
        <f t="shared" si="2"/>
        <v>GASTOS</v>
      </c>
      <c r="I157" s="19">
        <v>2025</v>
      </c>
    </row>
    <row r="158" spans="1:9" hidden="1" x14ac:dyDescent="0.3">
      <c r="A158" s="16" t="s">
        <v>7</v>
      </c>
      <c r="B158" s="16" t="s">
        <v>23</v>
      </c>
      <c r="C158" s="15">
        <v>5</v>
      </c>
      <c r="D158" s="17">
        <v>3594745</v>
      </c>
      <c r="E158" s="17">
        <v>3594745</v>
      </c>
      <c r="F158" s="17">
        <v>0</v>
      </c>
      <c r="G158" s="18">
        <v>1</v>
      </c>
      <c r="H158" s="10" t="str">
        <f t="shared" si="2"/>
        <v>GASTOS</v>
      </c>
      <c r="I158" s="19">
        <v>2025</v>
      </c>
    </row>
    <row r="159" spans="1:9" hidden="1" x14ac:dyDescent="0.3">
      <c r="A159" s="16" t="s">
        <v>7</v>
      </c>
      <c r="B159" s="16" t="s">
        <v>23</v>
      </c>
      <c r="C159" s="15">
        <v>6</v>
      </c>
      <c r="D159" s="17">
        <v>3594745</v>
      </c>
      <c r="E159" s="17">
        <v>3594745</v>
      </c>
      <c r="F159" s="17">
        <v>0</v>
      </c>
      <c r="G159" s="18">
        <v>1</v>
      </c>
      <c r="H159" s="10" t="str">
        <f t="shared" si="2"/>
        <v>GASTOS</v>
      </c>
      <c r="I159" s="19">
        <v>2025</v>
      </c>
    </row>
    <row r="160" spans="1:9" hidden="1" x14ac:dyDescent="0.3">
      <c r="A160" s="16" t="s">
        <v>7</v>
      </c>
      <c r="B160" s="16" t="s">
        <v>23</v>
      </c>
      <c r="C160" s="15">
        <v>7</v>
      </c>
      <c r="D160" s="17">
        <v>3594745</v>
      </c>
      <c r="E160" s="17">
        <v>3594745</v>
      </c>
      <c r="F160" s="17">
        <v>0</v>
      </c>
      <c r="G160" s="18">
        <v>1</v>
      </c>
      <c r="H160" s="10" t="str">
        <f t="shared" si="2"/>
        <v>GASTOS</v>
      </c>
      <c r="I160" s="19">
        <v>2025</v>
      </c>
    </row>
    <row r="161" spans="1:9" hidden="1" x14ac:dyDescent="0.3">
      <c r="A161" s="16" t="s">
        <v>7</v>
      </c>
      <c r="B161" s="16" t="s">
        <v>23</v>
      </c>
      <c r="C161" s="15">
        <v>8</v>
      </c>
      <c r="D161" s="17">
        <v>3594745</v>
      </c>
      <c r="E161" s="17">
        <v>3594745</v>
      </c>
      <c r="F161" s="17">
        <v>0</v>
      </c>
      <c r="G161" s="18">
        <v>1</v>
      </c>
      <c r="H161" s="10" t="str">
        <f t="shared" si="2"/>
        <v>GASTOS</v>
      </c>
      <c r="I161" s="19">
        <v>2025</v>
      </c>
    </row>
    <row r="162" spans="1:9" hidden="1" x14ac:dyDescent="0.3">
      <c r="A162" s="16" t="s">
        <v>7</v>
      </c>
      <c r="B162" s="16" t="s">
        <v>23</v>
      </c>
      <c r="C162" s="15">
        <v>9</v>
      </c>
      <c r="D162" s="17">
        <v>3594745</v>
      </c>
      <c r="E162" s="17">
        <v>3594745</v>
      </c>
      <c r="F162" s="17">
        <v>0</v>
      </c>
      <c r="G162" s="18">
        <v>1</v>
      </c>
      <c r="H162" s="10" t="str">
        <f t="shared" si="2"/>
        <v>GASTOS</v>
      </c>
      <c r="I162" s="19">
        <v>2025</v>
      </c>
    </row>
    <row r="163" spans="1:9" hidden="1" x14ac:dyDescent="0.3">
      <c r="A163" s="16" t="s">
        <v>7</v>
      </c>
      <c r="B163" s="16" t="s">
        <v>23</v>
      </c>
      <c r="C163" s="15">
        <v>10</v>
      </c>
      <c r="D163" s="17">
        <v>3594745</v>
      </c>
      <c r="E163" s="17">
        <v>3594745</v>
      </c>
      <c r="F163" s="17">
        <v>0</v>
      </c>
      <c r="G163" s="18">
        <v>1</v>
      </c>
      <c r="H163" s="10" t="str">
        <f t="shared" si="2"/>
        <v>GASTOS</v>
      </c>
      <c r="I163" s="19">
        <v>2025</v>
      </c>
    </row>
    <row r="164" spans="1:9" hidden="1" x14ac:dyDescent="0.3">
      <c r="A164" s="16" t="s">
        <v>7</v>
      </c>
      <c r="B164" s="16" t="s">
        <v>24</v>
      </c>
      <c r="C164" s="15">
        <v>1</v>
      </c>
      <c r="D164" s="17">
        <v>750677</v>
      </c>
      <c r="E164" s="17">
        <v>750677</v>
      </c>
      <c r="F164" s="17">
        <v>0</v>
      </c>
      <c r="G164" s="18">
        <v>1</v>
      </c>
      <c r="H164" s="10" t="str">
        <f t="shared" si="2"/>
        <v>GASTOS</v>
      </c>
      <c r="I164" s="19">
        <v>2025</v>
      </c>
    </row>
    <row r="165" spans="1:9" hidden="1" x14ac:dyDescent="0.3">
      <c r="A165" s="16" t="s">
        <v>7</v>
      </c>
      <c r="B165" s="16" t="s">
        <v>24</v>
      </c>
      <c r="C165" s="15">
        <v>2</v>
      </c>
      <c r="D165" s="17">
        <v>750677</v>
      </c>
      <c r="E165" s="17">
        <v>750677</v>
      </c>
      <c r="F165" s="17">
        <v>0</v>
      </c>
      <c r="G165" s="18">
        <v>1</v>
      </c>
      <c r="H165" s="10" t="str">
        <f t="shared" si="2"/>
        <v>GASTOS</v>
      </c>
      <c r="I165" s="19">
        <v>2025</v>
      </c>
    </row>
    <row r="166" spans="1:9" hidden="1" x14ac:dyDescent="0.3">
      <c r="A166" s="16" t="s">
        <v>7</v>
      </c>
      <c r="B166" s="16" t="s">
        <v>24</v>
      </c>
      <c r="C166" s="15">
        <v>3</v>
      </c>
      <c r="D166" s="17">
        <v>750677</v>
      </c>
      <c r="E166" s="17">
        <v>750677</v>
      </c>
      <c r="F166" s="17">
        <v>0</v>
      </c>
      <c r="G166" s="18">
        <v>1</v>
      </c>
      <c r="H166" s="10" t="str">
        <f t="shared" si="2"/>
        <v>GASTOS</v>
      </c>
      <c r="I166" s="19">
        <v>2025</v>
      </c>
    </row>
    <row r="167" spans="1:9" hidden="1" x14ac:dyDescent="0.3">
      <c r="A167" s="16" t="s">
        <v>7</v>
      </c>
      <c r="B167" s="16" t="s">
        <v>24</v>
      </c>
      <c r="C167" s="15">
        <v>4</v>
      </c>
      <c r="D167" s="17">
        <v>750677</v>
      </c>
      <c r="E167" s="17">
        <v>750677</v>
      </c>
      <c r="F167" s="17">
        <v>0</v>
      </c>
      <c r="G167" s="18">
        <v>1</v>
      </c>
      <c r="H167" s="10" t="str">
        <f t="shared" si="2"/>
        <v>GASTOS</v>
      </c>
      <c r="I167" s="19">
        <v>2025</v>
      </c>
    </row>
    <row r="168" spans="1:9" hidden="1" x14ac:dyDescent="0.3">
      <c r="A168" s="16" t="s">
        <v>7</v>
      </c>
      <c r="B168" s="16" t="s">
        <v>24</v>
      </c>
      <c r="C168" s="15">
        <v>5</v>
      </c>
      <c r="D168" s="17">
        <v>750677</v>
      </c>
      <c r="E168" s="17">
        <v>750677</v>
      </c>
      <c r="F168" s="17">
        <v>0</v>
      </c>
      <c r="G168" s="18">
        <v>1</v>
      </c>
      <c r="H168" s="10" t="str">
        <f t="shared" si="2"/>
        <v>GASTOS</v>
      </c>
      <c r="I168" s="19">
        <v>2025</v>
      </c>
    </row>
    <row r="169" spans="1:9" hidden="1" x14ac:dyDescent="0.3">
      <c r="A169" s="16" t="s">
        <v>7</v>
      </c>
      <c r="B169" s="16" t="s">
        <v>24</v>
      </c>
      <c r="C169" s="15">
        <v>6</v>
      </c>
      <c r="D169" s="17">
        <v>750677</v>
      </c>
      <c r="E169" s="17">
        <v>750677</v>
      </c>
      <c r="F169" s="17">
        <v>0</v>
      </c>
      <c r="G169" s="18">
        <v>1</v>
      </c>
      <c r="H169" s="10" t="str">
        <f t="shared" si="2"/>
        <v>GASTOS</v>
      </c>
      <c r="I169" s="19">
        <v>2025</v>
      </c>
    </row>
    <row r="170" spans="1:9" hidden="1" x14ac:dyDescent="0.3">
      <c r="A170" s="16" t="s">
        <v>7</v>
      </c>
      <c r="B170" s="16" t="s">
        <v>24</v>
      </c>
      <c r="C170" s="15">
        <v>7</v>
      </c>
      <c r="D170" s="17">
        <v>750677</v>
      </c>
      <c r="E170" s="17">
        <v>750677</v>
      </c>
      <c r="F170" s="17">
        <v>0</v>
      </c>
      <c r="G170" s="18">
        <v>1</v>
      </c>
      <c r="H170" s="10" t="str">
        <f t="shared" si="2"/>
        <v>GASTOS</v>
      </c>
      <c r="I170" s="19">
        <v>2025</v>
      </c>
    </row>
    <row r="171" spans="1:9" hidden="1" x14ac:dyDescent="0.3">
      <c r="A171" s="16" t="s">
        <v>7</v>
      </c>
      <c r="B171" s="16" t="s">
        <v>24</v>
      </c>
      <c r="C171" s="15">
        <v>8</v>
      </c>
      <c r="D171" s="17">
        <v>750677</v>
      </c>
      <c r="E171" s="17">
        <v>750677</v>
      </c>
      <c r="F171" s="17">
        <v>0</v>
      </c>
      <c r="G171" s="18">
        <v>1</v>
      </c>
      <c r="H171" s="10" t="str">
        <f t="shared" si="2"/>
        <v>GASTOS</v>
      </c>
      <c r="I171" s="19">
        <v>2025</v>
      </c>
    </row>
    <row r="172" spans="1:9" hidden="1" x14ac:dyDescent="0.3">
      <c r="A172" s="16" t="s">
        <v>7</v>
      </c>
      <c r="B172" s="16" t="s">
        <v>24</v>
      </c>
      <c r="C172" s="15">
        <v>9</v>
      </c>
      <c r="D172" s="17">
        <v>750677</v>
      </c>
      <c r="E172" s="17">
        <v>750677</v>
      </c>
      <c r="F172" s="17">
        <v>0</v>
      </c>
      <c r="G172" s="18">
        <v>1</v>
      </c>
      <c r="H172" s="10" t="str">
        <f t="shared" si="2"/>
        <v>GASTOS</v>
      </c>
      <c r="I172" s="19">
        <v>2025</v>
      </c>
    </row>
    <row r="173" spans="1:9" hidden="1" x14ac:dyDescent="0.3">
      <c r="A173" s="16" t="s">
        <v>7</v>
      </c>
      <c r="B173" s="16" t="s">
        <v>24</v>
      </c>
      <c r="C173" s="15">
        <v>10</v>
      </c>
      <c r="D173" s="17">
        <v>750677</v>
      </c>
      <c r="E173" s="17">
        <v>750677</v>
      </c>
      <c r="F173" s="17">
        <v>0</v>
      </c>
      <c r="G173" s="18">
        <v>1</v>
      </c>
      <c r="H173" s="10" t="str">
        <f t="shared" si="2"/>
        <v>GASTOS</v>
      </c>
      <c r="I173" s="19">
        <v>2025</v>
      </c>
    </row>
    <row r="174" spans="1:9" hidden="1" x14ac:dyDescent="0.3">
      <c r="A174" s="16" t="s">
        <v>7</v>
      </c>
      <c r="B174" s="16" t="s">
        <v>42</v>
      </c>
      <c r="C174" s="15">
        <v>1</v>
      </c>
      <c r="D174" s="17">
        <v>374949</v>
      </c>
      <c r="E174" s="17">
        <v>2361554</v>
      </c>
      <c r="F174" s="17">
        <v>1986605</v>
      </c>
      <c r="G174" s="18">
        <v>6.2983339067446504</v>
      </c>
      <c r="H174" s="10" t="str">
        <f t="shared" si="2"/>
        <v>GASTOS</v>
      </c>
      <c r="I174" s="19">
        <v>2025</v>
      </c>
    </row>
    <row r="175" spans="1:9" hidden="1" x14ac:dyDescent="0.3">
      <c r="A175" s="16" t="s">
        <v>7</v>
      </c>
      <c r="B175" s="16" t="s">
        <v>42</v>
      </c>
      <c r="C175" s="15">
        <v>2</v>
      </c>
      <c r="D175" s="17">
        <v>1247455</v>
      </c>
      <c r="E175" s="17">
        <v>111654</v>
      </c>
      <c r="F175" s="17">
        <v>-1135801</v>
      </c>
      <c r="G175" s="18">
        <v>8.9505433061713657E-2</v>
      </c>
      <c r="H175" s="10" t="str">
        <f t="shared" si="2"/>
        <v>GASTOS</v>
      </c>
      <c r="I175" s="19">
        <v>2025</v>
      </c>
    </row>
    <row r="176" spans="1:9" hidden="1" x14ac:dyDescent="0.3">
      <c r="A176" s="16" t="s">
        <v>7</v>
      </c>
      <c r="B176" s="16" t="s">
        <v>42</v>
      </c>
      <c r="C176" s="15">
        <v>3</v>
      </c>
      <c r="D176" s="17">
        <v>374949</v>
      </c>
      <c r="E176" s="17">
        <v>2471538</v>
      </c>
      <c r="F176" s="17">
        <v>2096589</v>
      </c>
      <c r="G176" s="18">
        <v>6.5916644663674262</v>
      </c>
      <c r="H176" s="10" t="str">
        <f t="shared" si="2"/>
        <v>GASTOS</v>
      </c>
      <c r="I176" s="19">
        <v>2025</v>
      </c>
    </row>
    <row r="177" spans="1:9" hidden="1" x14ac:dyDescent="0.3">
      <c r="A177" s="16" t="s">
        <v>7</v>
      </c>
      <c r="B177" s="16" t="s">
        <v>42</v>
      </c>
      <c r="C177" s="15">
        <v>4</v>
      </c>
      <c r="D177" s="17">
        <v>374949</v>
      </c>
      <c r="E177" s="17">
        <v>0</v>
      </c>
      <c r="F177" s="17">
        <v>-374949</v>
      </c>
      <c r="G177" s="18">
        <v>0</v>
      </c>
      <c r="H177" s="10" t="str">
        <f t="shared" si="2"/>
        <v>GASTOS</v>
      </c>
      <c r="I177" s="19">
        <v>2025</v>
      </c>
    </row>
    <row r="178" spans="1:9" hidden="1" x14ac:dyDescent="0.3">
      <c r="A178" s="16" t="s">
        <v>7</v>
      </c>
      <c r="B178" s="16" t="s">
        <v>42</v>
      </c>
      <c r="C178" s="15">
        <v>5</v>
      </c>
      <c r="D178" s="17">
        <v>374949</v>
      </c>
      <c r="E178" s="17">
        <v>2489000</v>
      </c>
      <c r="F178" s="17">
        <v>2114051</v>
      </c>
      <c r="G178" s="18">
        <v>6.6382361334474824</v>
      </c>
      <c r="H178" s="10" t="str">
        <f t="shared" si="2"/>
        <v>GASTOS</v>
      </c>
      <c r="I178" s="19">
        <v>2025</v>
      </c>
    </row>
    <row r="179" spans="1:9" hidden="1" x14ac:dyDescent="0.3">
      <c r="A179" s="16" t="s">
        <v>7</v>
      </c>
      <c r="B179" s="16" t="s">
        <v>42</v>
      </c>
      <c r="C179" s="15">
        <v>6</v>
      </c>
      <c r="D179" s="17">
        <v>187628</v>
      </c>
      <c r="E179" s="17">
        <v>8099000</v>
      </c>
      <c r="F179" s="17">
        <v>7911372</v>
      </c>
      <c r="G179" s="18">
        <v>43.165199223996417</v>
      </c>
      <c r="H179" s="10" t="str">
        <f t="shared" si="2"/>
        <v>GASTOS</v>
      </c>
      <c r="I179" s="19">
        <v>2025</v>
      </c>
    </row>
    <row r="180" spans="1:9" hidden="1" x14ac:dyDescent="0.3">
      <c r="A180" s="16" t="s">
        <v>7</v>
      </c>
      <c r="B180" s="16" t="s">
        <v>42</v>
      </c>
      <c r="C180" s="15">
        <v>7</v>
      </c>
      <c r="D180" s="17">
        <v>187593</v>
      </c>
      <c r="E180" s="17">
        <v>4370000</v>
      </c>
      <c r="F180" s="17">
        <v>4182407</v>
      </c>
      <c r="G180" s="18">
        <v>23.295112290970344</v>
      </c>
      <c r="H180" s="10" t="str">
        <f t="shared" si="2"/>
        <v>GASTOS</v>
      </c>
      <c r="I180" s="19">
        <v>2025</v>
      </c>
    </row>
    <row r="181" spans="1:9" hidden="1" x14ac:dyDescent="0.3">
      <c r="A181" s="16" t="s">
        <v>7</v>
      </c>
      <c r="B181" s="16" t="s">
        <v>42</v>
      </c>
      <c r="C181" s="15">
        <v>8</v>
      </c>
      <c r="D181" s="17">
        <v>187593</v>
      </c>
      <c r="E181" s="17">
        <v>899000</v>
      </c>
      <c r="F181" s="17">
        <v>711407</v>
      </c>
      <c r="G181" s="18">
        <v>4.7922896909799411</v>
      </c>
      <c r="H181" s="10" t="str">
        <f t="shared" si="2"/>
        <v>GASTOS</v>
      </c>
      <c r="I181" s="19">
        <v>2025</v>
      </c>
    </row>
    <row r="182" spans="1:9" hidden="1" x14ac:dyDescent="0.3">
      <c r="A182" s="16" t="s">
        <v>7</v>
      </c>
      <c r="B182" s="16" t="s">
        <v>42</v>
      </c>
      <c r="C182" s="15">
        <v>9</v>
      </c>
      <c r="D182" s="17">
        <v>187593</v>
      </c>
      <c r="E182" s="17">
        <v>2490000</v>
      </c>
      <c r="F182" s="17">
        <v>2302407</v>
      </c>
      <c r="G182" s="18">
        <v>13.273416385472805</v>
      </c>
      <c r="H182" s="10" t="str">
        <f t="shared" si="2"/>
        <v>GASTOS</v>
      </c>
      <c r="I182" s="19">
        <v>2025</v>
      </c>
    </row>
    <row r="183" spans="1:9" hidden="1" x14ac:dyDescent="0.3">
      <c r="A183" s="16" t="s">
        <v>7</v>
      </c>
      <c r="B183" s="16" t="s">
        <v>42</v>
      </c>
      <c r="C183" s="15">
        <v>10</v>
      </c>
      <c r="D183" s="17">
        <v>187593</v>
      </c>
      <c r="E183" s="17">
        <v>-4350000</v>
      </c>
      <c r="F183" s="17">
        <v>-4537593</v>
      </c>
      <c r="G183" s="18">
        <v>-23.188498504741649</v>
      </c>
      <c r="H183" s="10" t="str">
        <f t="shared" si="2"/>
        <v>GASTOS</v>
      </c>
      <c r="I183" s="19">
        <v>2025</v>
      </c>
    </row>
    <row r="184" spans="1:9" hidden="1" x14ac:dyDescent="0.3">
      <c r="A184" s="16" t="s">
        <v>7</v>
      </c>
      <c r="B184" s="16" t="s">
        <v>25</v>
      </c>
      <c r="C184" s="15">
        <v>1</v>
      </c>
      <c r="D184" s="17">
        <v>1274167</v>
      </c>
      <c r="E184" s="17">
        <v>1274167</v>
      </c>
      <c r="F184" s="17">
        <v>0</v>
      </c>
      <c r="G184" s="18">
        <v>1</v>
      </c>
      <c r="H184" s="10" t="str">
        <f t="shared" si="2"/>
        <v>GASTOS</v>
      </c>
      <c r="I184" s="19">
        <v>2025</v>
      </c>
    </row>
    <row r="185" spans="1:9" hidden="1" x14ac:dyDescent="0.3">
      <c r="A185" s="16" t="s">
        <v>7</v>
      </c>
      <c r="B185" s="16" t="s">
        <v>25</v>
      </c>
      <c r="C185" s="15">
        <v>2</v>
      </c>
      <c r="D185" s="17">
        <v>1274167</v>
      </c>
      <c r="E185" s="17">
        <v>1274167</v>
      </c>
      <c r="F185" s="17">
        <v>0</v>
      </c>
      <c r="G185" s="18">
        <v>1</v>
      </c>
      <c r="H185" s="10" t="str">
        <f t="shared" si="2"/>
        <v>GASTOS</v>
      </c>
      <c r="I185" s="19">
        <v>2025</v>
      </c>
    </row>
    <row r="186" spans="1:9" hidden="1" x14ac:dyDescent="0.3">
      <c r="A186" s="16" t="s">
        <v>7</v>
      </c>
      <c r="B186" s="16" t="s">
        <v>25</v>
      </c>
      <c r="C186" s="15">
        <v>3</v>
      </c>
      <c r="D186" s="17">
        <v>1274167</v>
      </c>
      <c r="E186" s="17">
        <v>1274167</v>
      </c>
      <c r="F186" s="17">
        <v>0</v>
      </c>
      <c r="G186" s="18">
        <v>1</v>
      </c>
      <c r="H186" s="10" t="str">
        <f t="shared" si="2"/>
        <v>GASTOS</v>
      </c>
      <c r="I186" s="19">
        <v>2025</v>
      </c>
    </row>
    <row r="187" spans="1:9" hidden="1" x14ac:dyDescent="0.3">
      <c r="A187" s="16" t="s">
        <v>7</v>
      </c>
      <c r="B187" s="16" t="s">
        <v>25</v>
      </c>
      <c r="C187" s="15">
        <v>4</v>
      </c>
      <c r="D187" s="17">
        <v>1274167</v>
      </c>
      <c r="E187" s="17">
        <v>1274167</v>
      </c>
      <c r="F187" s="17">
        <v>0</v>
      </c>
      <c r="G187" s="18">
        <v>1</v>
      </c>
      <c r="H187" s="10" t="str">
        <f t="shared" si="2"/>
        <v>GASTOS</v>
      </c>
      <c r="I187" s="19">
        <v>2025</v>
      </c>
    </row>
    <row r="188" spans="1:9" hidden="1" x14ac:dyDescent="0.3">
      <c r="A188" s="16" t="s">
        <v>7</v>
      </c>
      <c r="B188" s="16" t="s">
        <v>25</v>
      </c>
      <c r="C188" s="15">
        <v>5</v>
      </c>
      <c r="D188" s="17">
        <v>1274167</v>
      </c>
      <c r="E188" s="17">
        <v>1274167</v>
      </c>
      <c r="F188" s="17">
        <v>0</v>
      </c>
      <c r="G188" s="18">
        <v>1</v>
      </c>
      <c r="H188" s="10" t="str">
        <f t="shared" si="2"/>
        <v>GASTOS</v>
      </c>
      <c r="I188" s="19">
        <v>2025</v>
      </c>
    </row>
    <row r="189" spans="1:9" hidden="1" x14ac:dyDescent="0.3">
      <c r="A189" s="16" t="s">
        <v>7</v>
      </c>
      <c r="B189" s="16" t="s">
        <v>25</v>
      </c>
      <c r="C189" s="15">
        <v>6</v>
      </c>
      <c r="D189" s="17">
        <v>1274167</v>
      </c>
      <c r="E189" s="17">
        <v>1274167</v>
      </c>
      <c r="F189" s="17">
        <v>0</v>
      </c>
      <c r="G189" s="18">
        <v>1</v>
      </c>
      <c r="H189" s="10" t="str">
        <f t="shared" si="2"/>
        <v>GASTOS</v>
      </c>
      <c r="I189" s="19">
        <v>2025</v>
      </c>
    </row>
    <row r="190" spans="1:9" hidden="1" x14ac:dyDescent="0.3">
      <c r="A190" s="16" t="s">
        <v>7</v>
      </c>
      <c r="B190" s="16" t="s">
        <v>25</v>
      </c>
      <c r="C190" s="15">
        <v>7</v>
      </c>
      <c r="D190" s="17">
        <v>1274167</v>
      </c>
      <c r="E190" s="17">
        <v>1274167</v>
      </c>
      <c r="F190" s="17">
        <v>0</v>
      </c>
      <c r="G190" s="18">
        <v>1</v>
      </c>
      <c r="H190" s="10" t="str">
        <f t="shared" si="2"/>
        <v>GASTOS</v>
      </c>
      <c r="I190" s="19">
        <v>2025</v>
      </c>
    </row>
    <row r="191" spans="1:9" hidden="1" x14ac:dyDescent="0.3">
      <c r="A191" s="16" t="s">
        <v>7</v>
      </c>
      <c r="B191" s="16" t="s">
        <v>25</v>
      </c>
      <c r="C191" s="15">
        <v>8</v>
      </c>
      <c r="D191" s="17">
        <v>1274167</v>
      </c>
      <c r="E191" s="17">
        <v>1274167</v>
      </c>
      <c r="F191" s="17">
        <v>0</v>
      </c>
      <c r="G191" s="18">
        <v>1</v>
      </c>
      <c r="H191" s="10" t="str">
        <f t="shared" si="2"/>
        <v>GASTOS</v>
      </c>
      <c r="I191" s="19">
        <v>2025</v>
      </c>
    </row>
    <row r="192" spans="1:9" hidden="1" x14ac:dyDescent="0.3">
      <c r="A192" s="16" t="s">
        <v>7</v>
      </c>
      <c r="B192" s="16" t="s">
        <v>25</v>
      </c>
      <c r="C192" s="15">
        <v>9</v>
      </c>
      <c r="D192" s="17">
        <v>1274167</v>
      </c>
      <c r="E192" s="17">
        <v>1274167</v>
      </c>
      <c r="F192" s="17">
        <v>0</v>
      </c>
      <c r="G192" s="18">
        <v>1</v>
      </c>
      <c r="H192" s="10" t="str">
        <f t="shared" si="2"/>
        <v>GASTOS</v>
      </c>
      <c r="I192" s="19">
        <v>2025</v>
      </c>
    </row>
    <row r="193" spans="1:9" hidden="1" x14ac:dyDescent="0.3">
      <c r="A193" s="16" t="s">
        <v>7</v>
      </c>
      <c r="B193" s="16" t="s">
        <v>25</v>
      </c>
      <c r="C193" s="15">
        <v>10</v>
      </c>
      <c r="D193" s="17">
        <v>1274167</v>
      </c>
      <c r="E193" s="17">
        <v>1274167</v>
      </c>
      <c r="F193" s="17">
        <v>0</v>
      </c>
      <c r="G193" s="18">
        <v>1</v>
      </c>
      <c r="H193" s="10" t="str">
        <f t="shared" si="2"/>
        <v>GASTOS</v>
      </c>
      <c r="I193" s="19">
        <v>2025</v>
      </c>
    </row>
    <row r="194" spans="1:9" hidden="1" x14ac:dyDescent="0.3">
      <c r="A194" s="16" t="s">
        <v>7</v>
      </c>
      <c r="B194" s="16" t="s">
        <v>26</v>
      </c>
      <c r="C194" s="15">
        <v>1</v>
      </c>
      <c r="D194" s="17">
        <v>0</v>
      </c>
      <c r="E194" s="17">
        <v>100000</v>
      </c>
      <c r="F194" s="17">
        <v>100000</v>
      </c>
      <c r="G194" s="18">
        <v>0</v>
      </c>
      <c r="H194" s="10" t="str">
        <f t="shared" si="2"/>
        <v>GASTOS</v>
      </c>
      <c r="I194" s="19">
        <v>2025</v>
      </c>
    </row>
    <row r="195" spans="1:9" hidden="1" x14ac:dyDescent="0.3">
      <c r="A195" s="16" t="s">
        <v>7</v>
      </c>
      <c r="B195" s="16" t="s">
        <v>26</v>
      </c>
      <c r="C195" s="15">
        <v>2</v>
      </c>
      <c r="D195" s="17">
        <v>0</v>
      </c>
      <c r="E195" s="17">
        <v>777808</v>
      </c>
      <c r="F195" s="17">
        <v>777808</v>
      </c>
      <c r="G195" s="18">
        <v>0</v>
      </c>
      <c r="H195" s="10" t="str">
        <f t="shared" ref="H195:H258" si="3">+IF(OR(A195="ADMINISTRACION",A195="COMERCIAL",A195="COMERCIAL-EXPORTACIONES",A195="LEASING DE LA BODEGA",A195="LOGISTICA-SALIDA",A195="OTROS GASTOS",A195="BODEGA ALQUILADA", A195="BODEGA CARTOPLAST", A195="BODEGA CARTOPLAS", A195= "GESTION HUMANA-OTROS GASTOS"),"GASTOS","COSTOS")</f>
        <v>GASTOS</v>
      </c>
      <c r="I195" s="19">
        <v>2025</v>
      </c>
    </row>
    <row r="196" spans="1:9" hidden="1" x14ac:dyDescent="0.3">
      <c r="A196" s="16" t="s">
        <v>7</v>
      </c>
      <c r="B196" s="16" t="s">
        <v>26</v>
      </c>
      <c r="C196" s="15">
        <v>3</v>
      </c>
      <c r="D196" s="17">
        <v>5772336</v>
      </c>
      <c r="E196" s="17">
        <v>1465539</v>
      </c>
      <c r="F196" s="17">
        <v>-4306797</v>
      </c>
      <c r="G196" s="18">
        <v>0.25389010618924474</v>
      </c>
      <c r="H196" s="10" t="str">
        <f t="shared" si="3"/>
        <v>GASTOS</v>
      </c>
      <c r="I196" s="19">
        <v>2025</v>
      </c>
    </row>
    <row r="197" spans="1:9" hidden="1" x14ac:dyDescent="0.3">
      <c r="A197" s="16" t="s">
        <v>7</v>
      </c>
      <c r="B197" s="16" t="s">
        <v>26</v>
      </c>
      <c r="C197" s="15">
        <v>4</v>
      </c>
      <c r="D197" s="17">
        <v>149832</v>
      </c>
      <c r="E197" s="17">
        <v>960341</v>
      </c>
      <c r="F197" s="17">
        <v>810509</v>
      </c>
      <c r="G197" s="18">
        <v>6.4094519194831543</v>
      </c>
      <c r="H197" s="10" t="str">
        <f t="shared" si="3"/>
        <v>GASTOS</v>
      </c>
      <c r="I197" s="19">
        <v>2025</v>
      </c>
    </row>
    <row r="198" spans="1:9" hidden="1" x14ac:dyDescent="0.3">
      <c r="A198" s="16" t="s">
        <v>7</v>
      </c>
      <c r="B198" s="16" t="s">
        <v>26</v>
      </c>
      <c r="C198" s="15">
        <v>5</v>
      </c>
      <c r="D198" s="17">
        <v>1020087</v>
      </c>
      <c r="E198" s="17">
        <v>733482</v>
      </c>
      <c r="F198" s="17">
        <v>-286605</v>
      </c>
      <c r="G198" s="18">
        <v>0.7190386702310686</v>
      </c>
      <c r="H198" s="10" t="str">
        <f t="shared" si="3"/>
        <v>GASTOS</v>
      </c>
      <c r="I198" s="19">
        <v>2025</v>
      </c>
    </row>
    <row r="199" spans="1:9" hidden="1" x14ac:dyDescent="0.3">
      <c r="A199" s="16" t="s">
        <v>7</v>
      </c>
      <c r="B199" s="16" t="s">
        <v>26</v>
      </c>
      <c r="C199" s="15">
        <v>6</v>
      </c>
      <c r="D199" s="17">
        <v>1181762</v>
      </c>
      <c r="E199" s="17">
        <v>903887</v>
      </c>
      <c r="F199" s="17">
        <v>-277875</v>
      </c>
      <c r="G199" s="18">
        <v>0.7648638219878453</v>
      </c>
      <c r="H199" s="10" t="str">
        <f t="shared" si="3"/>
        <v>GASTOS</v>
      </c>
      <c r="I199" s="19">
        <v>2025</v>
      </c>
    </row>
    <row r="200" spans="1:9" hidden="1" x14ac:dyDescent="0.3">
      <c r="A200" s="16" t="s">
        <v>7</v>
      </c>
      <c r="B200" s="16" t="s">
        <v>26</v>
      </c>
      <c r="C200" s="15">
        <v>7</v>
      </c>
      <c r="D200" s="17">
        <v>603367</v>
      </c>
      <c r="E200" s="17">
        <v>1551260</v>
      </c>
      <c r="F200" s="17">
        <v>947893</v>
      </c>
      <c r="G200" s="18">
        <v>2.5710057063114156</v>
      </c>
      <c r="H200" s="10" t="str">
        <f t="shared" si="3"/>
        <v>GASTOS</v>
      </c>
      <c r="I200" s="19">
        <v>2025</v>
      </c>
    </row>
    <row r="201" spans="1:9" hidden="1" x14ac:dyDescent="0.3">
      <c r="A201" s="16" t="s">
        <v>7</v>
      </c>
      <c r="B201" s="16" t="s">
        <v>26</v>
      </c>
      <c r="C201" s="15">
        <v>8</v>
      </c>
      <c r="D201" s="17">
        <v>104310</v>
      </c>
      <c r="E201" s="17">
        <v>1236976</v>
      </c>
      <c r="F201" s="17">
        <v>1132666</v>
      </c>
      <c r="G201" s="18">
        <v>11.858652094717668</v>
      </c>
      <c r="H201" s="10" t="str">
        <f t="shared" si="3"/>
        <v>GASTOS</v>
      </c>
      <c r="I201" s="19">
        <v>2025</v>
      </c>
    </row>
    <row r="202" spans="1:9" hidden="1" x14ac:dyDescent="0.3">
      <c r="A202" s="16" t="s">
        <v>7</v>
      </c>
      <c r="B202" s="16" t="s">
        <v>26</v>
      </c>
      <c r="C202" s="15">
        <v>9</v>
      </c>
      <c r="D202" s="17">
        <v>1181762</v>
      </c>
      <c r="E202" s="17">
        <v>2719467</v>
      </c>
      <c r="F202" s="17">
        <v>1537705</v>
      </c>
      <c r="G202" s="18">
        <v>2.3011968568967358</v>
      </c>
      <c r="H202" s="10" t="str">
        <f t="shared" si="3"/>
        <v>GASTOS</v>
      </c>
      <c r="I202" s="19">
        <v>2025</v>
      </c>
    </row>
    <row r="203" spans="1:9" hidden="1" x14ac:dyDescent="0.3">
      <c r="A203" s="16" t="s">
        <v>7</v>
      </c>
      <c r="B203" s="16" t="s">
        <v>26</v>
      </c>
      <c r="C203" s="15">
        <v>10</v>
      </c>
      <c r="D203" s="17">
        <v>603367</v>
      </c>
      <c r="E203" s="17">
        <v>4350435</v>
      </c>
      <c r="F203" s="17">
        <v>3747068</v>
      </c>
      <c r="G203" s="18">
        <v>7.2102634051912027</v>
      </c>
      <c r="H203" s="10" t="str">
        <f t="shared" si="3"/>
        <v>GASTOS</v>
      </c>
      <c r="I203" s="19">
        <v>2025</v>
      </c>
    </row>
    <row r="204" spans="1:9" hidden="1" x14ac:dyDescent="0.3">
      <c r="A204" s="16" t="s">
        <v>7</v>
      </c>
      <c r="B204" s="16" t="s">
        <v>27</v>
      </c>
      <c r="C204" s="15">
        <v>1</v>
      </c>
      <c r="D204" s="17">
        <v>62902</v>
      </c>
      <c r="E204" s="17">
        <v>0</v>
      </c>
      <c r="F204" s="17">
        <v>-62902</v>
      </c>
      <c r="G204" s="18">
        <v>0</v>
      </c>
      <c r="H204" s="10" t="str">
        <f t="shared" si="3"/>
        <v>GASTOS</v>
      </c>
      <c r="I204" s="19">
        <v>2025</v>
      </c>
    </row>
    <row r="205" spans="1:9" hidden="1" x14ac:dyDescent="0.3">
      <c r="A205" s="16" t="s">
        <v>7</v>
      </c>
      <c r="B205" s="16" t="s">
        <v>27</v>
      </c>
      <c r="C205" s="15">
        <v>2</v>
      </c>
      <c r="D205" s="17">
        <v>64325</v>
      </c>
      <c r="E205" s="17">
        <v>63224</v>
      </c>
      <c r="F205" s="17">
        <v>-1101</v>
      </c>
      <c r="G205" s="18">
        <v>0.982883793237466</v>
      </c>
      <c r="H205" s="10" t="str">
        <f t="shared" si="3"/>
        <v>GASTOS</v>
      </c>
      <c r="I205" s="19">
        <v>2025</v>
      </c>
    </row>
    <row r="206" spans="1:9" hidden="1" x14ac:dyDescent="0.3">
      <c r="A206" s="16" t="s">
        <v>7</v>
      </c>
      <c r="B206" s="16" t="s">
        <v>27</v>
      </c>
      <c r="C206" s="15">
        <v>3</v>
      </c>
      <c r="D206" s="17">
        <v>182778</v>
      </c>
      <c r="E206" s="17">
        <v>66176</v>
      </c>
      <c r="F206" s="17">
        <v>-116602</v>
      </c>
      <c r="G206" s="18">
        <v>0.36205670266662293</v>
      </c>
      <c r="H206" s="10" t="str">
        <f t="shared" si="3"/>
        <v>GASTOS</v>
      </c>
      <c r="I206" s="19">
        <v>2025</v>
      </c>
    </row>
    <row r="207" spans="1:9" hidden="1" x14ac:dyDescent="0.3">
      <c r="A207" s="16" t="s">
        <v>7</v>
      </c>
      <c r="B207" s="16" t="s">
        <v>27</v>
      </c>
      <c r="C207" s="15">
        <v>4</v>
      </c>
      <c r="D207" s="17">
        <v>186990</v>
      </c>
      <c r="E207" s="17">
        <v>70079</v>
      </c>
      <c r="F207" s="17">
        <v>-116911</v>
      </c>
      <c r="G207" s="18">
        <v>0.37477405208834697</v>
      </c>
      <c r="H207" s="10" t="str">
        <f t="shared" si="3"/>
        <v>GASTOS</v>
      </c>
      <c r="I207" s="19">
        <v>2025</v>
      </c>
    </row>
    <row r="208" spans="1:9" hidden="1" x14ac:dyDescent="0.3">
      <c r="A208" s="16" t="s">
        <v>7</v>
      </c>
      <c r="B208" s="16" t="s">
        <v>27</v>
      </c>
      <c r="C208" s="15">
        <v>5</v>
      </c>
      <c r="D208" s="17">
        <v>207036</v>
      </c>
      <c r="E208" s="17">
        <v>104178</v>
      </c>
      <c r="F208" s="17">
        <v>-102858</v>
      </c>
      <c r="G208" s="18">
        <v>0.50318785138816435</v>
      </c>
      <c r="H208" s="10" t="str">
        <f t="shared" si="3"/>
        <v>GASTOS</v>
      </c>
      <c r="I208" s="19">
        <v>2025</v>
      </c>
    </row>
    <row r="209" spans="1:9" hidden="1" x14ac:dyDescent="0.3">
      <c r="A209" s="16" t="s">
        <v>7</v>
      </c>
      <c r="B209" s="16" t="s">
        <v>27</v>
      </c>
      <c r="C209" s="15">
        <v>6</v>
      </c>
      <c r="D209" s="17">
        <v>224041</v>
      </c>
      <c r="E209" s="17">
        <v>82365</v>
      </c>
      <c r="F209" s="17">
        <v>-141676</v>
      </c>
      <c r="G209" s="18">
        <v>0.36763360277806295</v>
      </c>
      <c r="H209" s="10" t="str">
        <f t="shared" si="3"/>
        <v>GASTOS</v>
      </c>
      <c r="I209" s="19">
        <v>2025</v>
      </c>
    </row>
    <row r="210" spans="1:9" hidden="1" x14ac:dyDescent="0.3">
      <c r="A210" s="16" t="s">
        <v>7</v>
      </c>
      <c r="B210" s="16" t="s">
        <v>27</v>
      </c>
      <c r="C210" s="15">
        <v>7</v>
      </c>
      <c r="D210" s="17">
        <v>97646</v>
      </c>
      <c r="E210" s="17">
        <v>178672</v>
      </c>
      <c r="F210" s="17">
        <v>81026</v>
      </c>
      <c r="G210" s="18">
        <v>1.829793335108453</v>
      </c>
      <c r="H210" s="10" t="str">
        <f t="shared" si="3"/>
        <v>GASTOS</v>
      </c>
      <c r="I210" s="19">
        <v>2025</v>
      </c>
    </row>
    <row r="211" spans="1:9" hidden="1" x14ac:dyDescent="0.3">
      <c r="A211" s="16" t="s">
        <v>7</v>
      </c>
      <c r="B211" s="16" t="s">
        <v>27</v>
      </c>
      <c r="C211" s="15">
        <v>8</v>
      </c>
      <c r="D211" s="17">
        <v>90123</v>
      </c>
      <c r="E211" s="17">
        <v>90093</v>
      </c>
      <c r="F211" s="17">
        <v>-30</v>
      </c>
      <c r="G211" s="18">
        <v>0.99966712160047944</v>
      </c>
      <c r="H211" s="10" t="str">
        <f t="shared" si="3"/>
        <v>GASTOS</v>
      </c>
      <c r="I211" s="19">
        <v>2025</v>
      </c>
    </row>
    <row r="212" spans="1:9" hidden="1" x14ac:dyDescent="0.3">
      <c r="A212" s="16" t="s">
        <v>7</v>
      </c>
      <c r="B212" s="16" t="s">
        <v>27</v>
      </c>
      <c r="C212" s="15">
        <v>9</v>
      </c>
      <c r="D212" s="17">
        <v>107075</v>
      </c>
      <c r="E212" s="17">
        <v>99833</v>
      </c>
      <c r="F212" s="17">
        <v>-7242</v>
      </c>
      <c r="G212" s="18">
        <v>0.93236516460424945</v>
      </c>
      <c r="H212" s="10" t="str">
        <f t="shared" si="3"/>
        <v>GASTOS</v>
      </c>
      <c r="I212" s="19">
        <v>2025</v>
      </c>
    </row>
    <row r="213" spans="1:9" hidden="1" x14ac:dyDescent="0.3">
      <c r="A213" s="16" t="s">
        <v>7</v>
      </c>
      <c r="B213" s="16" t="s">
        <v>27</v>
      </c>
      <c r="C213" s="15">
        <v>10</v>
      </c>
      <c r="D213" s="17">
        <v>109880</v>
      </c>
      <c r="E213" s="17">
        <v>106420</v>
      </c>
      <c r="F213" s="17">
        <v>-3460</v>
      </c>
      <c r="G213" s="18">
        <v>0.96851110302147803</v>
      </c>
      <c r="H213" s="10" t="str">
        <f t="shared" si="3"/>
        <v>GASTOS</v>
      </c>
      <c r="I213" s="19">
        <v>2025</v>
      </c>
    </row>
    <row r="214" spans="1:9" hidden="1" x14ac:dyDescent="0.3">
      <c r="A214" s="16" t="s">
        <v>7</v>
      </c>
      <c r="B214" s="16" t="s">
        <v>28</v>
      </c>
      <c r="C214" s="15">
        <v>1</v>
      </c>
      <c r="D214" s="17">
        <v>250000</v>
      </c>
      <c r="E214" s="17">
        <v>208562</v>
      </c>
      <c r="F214" s="17">
        <v>-41438</v>
      </c>
      <c r="G214" s="18">
        <v>0.83424799999999999</v>
      </c>
      <c r="H214" s="10" t="str">
        <f t="shared" si="3"/>
        <v>GASTOS</v>
      </c>
      <c r="I214" s="19">
        <v>2025</v>
      </c>
    </row>
    <row r="215" spans="1:9" hidden="1" x14ac:dyDescent="0.3">
      <c r="A215" s="16" t="s">
        <v>7</v>
      </c>
      <c r="B215" s="16" t="s">
        <v>28</v>
      </c>
      <c r="C215" s="15">
        <v>2</v>
      </c>
      <c r="D215" s="17">
        <v>250000</v>
      </c>
      <c r="E215" s="17">
        <v>192716</v>
      </c>
      <c r="F215" s="17">
        <v>-57284</v>
      </c>
      <c r="G215" s="18">
        <v>0.77086399999999999</v>
      </c>
      <c r="H215" s="10" t="str">
        <f t="shared" si="3"/>
        <v>GASTOS</v>
      </c>
      <c r="I215" s="19">
        <v>2025</v>
      </c>
    </row>
    <row r="216" spans="1:9" hidden="1" x14ac:dyDescent="0.3">
      <c r="A216" s="16" t="s">
        <v>7</v>
      </c>
      <c r="B216" s="16" t="s">
        <v>28</v>
      </c>
      <c r="C216" s="15">
        <v>3</v>
      </c>
      <c r="D216" s="17">
        <v>250000</v>
      </c>
      <c r="E216" s="17">
        <v>379402</v>
      </c>
      <c r="F216" s="17">
        <v>129402</v>
      </c>
      <c r="G216" s="18">
        <v>1.5176080000000001</v>
      </c>
      <c r="H216" s="10" t="str">
        <f t="shared" si="3"/>
        <v>GASTOS</v>
      </c>
      <c r="I216" s="19">
        <v>2025</v>
      </c>
    </row>
    <row r="217" spans="1:9" hidden="1" x14ac:dyDescent="0.3">
      <c r="A217" s="16" t="s">
        <v>7</v>
      </c>
      <c r="B217" s="16" t="s">
        <v>28</v>
      </c>
      <c r="C217" s="15">
        <v>4</v>
      </c>
      <c r="D217" s="17">
        <v>250000</v>
      </c>
      <c r="E217" s="17">
        <v>442886</v>
      </c>
      <c r="F217" s="17">
        <v>192886</v>
      </c>
      <c r="G217" s="18">
        <v>1.771544</v>
      </c>
      <c r="H217" s="10" t="str">
        <f t="shared" si="3"/>
        <v>GASTOS</v>
      </c>
      <c r="I217" s="19">
        <v>2025</v>
      </c>
    </row>
    <row r="218" spans="1:9" hidden="1" x14ac:dyDescent="0.3">
      <c r="A218" s="16" t="s">
        <v>7</v>
      </c>
      <c r="B218" s="16" t="s">
        <v>28</v>
      </c>
      <c r="C218" s="15">
        <v>5</v>
      </c>
      <c r="D218" s="17">
        <v>250000</v>
      </c>
      <c r="E218" s="17">
        <v>749597</v>
      </c>
      <c r="F218" s="17">
        <v>499597</v>
      </c>
      <c r="G218" s="18">
        <v>2.9983879999999998</v>
      </c>
      <c r="H218" s="10" t="str">
        <f t="shared" si="3"/>
        <v>GASTOS</v>
      </c>
      <c r="I218" s="19">
        <v>2025</v>
      </c>
    </row>
    <row r="219" spans="1:9" hidden="1" x14ac:dyDescent="0.3">
      <c r="A219" s="16" t="s">
        <v>7</v>
      </c>
      <c r="B219" s="16" t="s">
        <v>28</v>
      </c>
      <c r="C219" s="15">
        <v>6</v>
      </c>
      <c r="D219" s="17">
        <v>250000</v>
      </c>
      <c r="E219" s="17">
        <v>228922</v>
      </c>
      <c r="F219" s="17">
        <v>-21078</v>
      </c>
      <c r="G219" s="18">
        <v>0.91568799999999995</v>
      </c>
      <c r="H219" s="10" t="str">
        <f t="shared" si="3"/>
        <v>GASTOS</v>
      </c>
      <c r="I219" s="19">
        <v>2025</v>
      </c>
    </row>
    <row r="220" spans="1:9" hidden="1" x14ac:dyDescent="0.3">
      <c r="A220" s="16" t="s">
        <v>7</v>
      </c>
      <c r="B220" s="16" t="s">
        <v>28</v>
      </c>
      <c r="C220" s="15">
        <v>7</v>
      </c>
      <c r="D220" s="17">
        <v>250000</v>
      </c>
      <c r="E220" s="17">
        <v>81110</v>
      </c>
      <c r="F220" s="17">
        <v>-168890</v>
      </c>
      <c r="G220" s="18">
        <v>0.32444000000000001</v>
      </c>
      <c r="H220" s="10" t="str">
        <f t="shared" si="3"/>
        <v>GASTOS</v>
      </c>
      <c r="I220" s="19">
        <v>2025</v>
      </c>
    </row>
    <row r="221" spans="1:9" hidden="1" x14ac:dyDescent="0.3">
      <c r="A221" s="16" t="s">
        <v>7</v>
      </c>
      <c r="B221" s="16" t="s">
        <v>28</v>
      </c>
      <c r="C221" s="15">
        <v>8</v>
      </c>
      <c r="D221" s="17">
        <v>250000</v>
      </c>
      <c r="E221" s="17">
        <v>664399</v>
      </c>
      <c r="F221" s="17">
        <v>414399</v>
      </c>
      <c r="G221" s="18">
        <v>2.6575959999999998</v>
      </c>
      <c r="H221" s="10" t="str">
        <f t="shared" si="3"/>
        <v>GASTOS</v>
      </c>
      <c r="I221" s="19">
        <v>2025</v>
      </c>
    </row>
    <row r="222" spans="1:9" hidden="1" x14ac:dyDescent="0.3">
      <c r="A222" s="16" t="s">
        <v>7</v>
      </c>
      <c r="B222" s="16" t="s">
        <v>28</v>
      </c>
      <c r="C222" s="15">
        <v>9</v>
      </c>
      <c r="D222" s="17">
        <v>250000</v>
      </c>
      <c r="E222" s="17">
        <v>108147</v>
      </c>
      <c r="F222" s="17">
        <v>-141853</v>
      </c>
      <c r="G222" s="18">
        <v>0.43258799999999997</v>
      </c>
      <c r="H222" s="10" t="str">
        <f t="shared" si="3"/>
        <v>GASTOS</v>
      </c>
      <c r="I222" s="19">
        <v>2025</v>
      </c>
    </row>
    <row r="223" spans="1:9" hidden="1" x14ac:dyDescent="0.3">
      <c r="A223" s="16" t="s">
        <v>7</v>
      </c>
      <c r="B223" s="16" t="s">
        <v>28</v>
      </c>
      <c r="C223" s="15">
        <v>10</v>
      </c>
      <c r="D223" s="17">
        <v>250000</v>
      </c>
      <c r="E223" s="17">
        <v>135273</v>
      </c>
      <c r="F223" s="17">
        <v>-114727</v>
      </c>
      <c r="G223" s="18">
        <v>0.54109200000000002</v>
      </c>
      <c r="H223" s="10" t="str">
        <f t="shared" si="3"/>
        <v>GASTOS</v>
      </c>
      <c r="I223" s="19">
        <v>2025</v>
      </c>
    </row>
    <row r="224" spans="1:9" hidden="1" x14ac:dyDescent="0.3">
      <c r="A224" s="16" t="s">
        <v>7</v>
      </c>
      <c r="B224" s="16" t="s">
        <v>29</v>
      </c>
      <c r="C224" s="15">
        <v>1</v>
      </c>
      <c r="D224" s="17">
        <v>245347</v>
      </c>
      <c r="E224" s="17">
        <v>2341115</v>
      </c>
      <c r="F224" s="17">
        <v>2095768</v>
      </c>
      <c r="G224" s="18">
        <v>9.5420567604250301</v>
      </c>
      <c r="H224" s="10" t="str">
        <f t="shared" si="3"/>
        <v>GASTOS</v>
      </c>
      <c r="I224" s="19">
        <v>2025</v>
      </c>
    </row>
    <row r="225" spans="1:9" hidden="1" x14ac:dyDescent="0.3">
      <c r="A225" s="16" t="s">
        <v>7</v>
      </c>
      <c r="B225" s="16" t="s">
        <v>29</v>
      </c>
      <c r="C225" s="15">
        <v>2</v>
      </c>
      <c r="D225" s="17">
        <v>419533</v>
      </c>
      <c r="E225" s="17">
        <v>602080</v>
      </c>
      <c r="F225" s="17">
        <v>182547</v>
      </c>
      <c r="G225" s="18">
        <v>1.4351195257584028</v>
      </c>
      <c r="H225" s="10" t="str">
        <f t="shared" si="3"/>
        <v>GASTOS</v>
      </c>
      <c r="I225" s="19">
        <v>2025</v>
      </c>
    </row>
    <row r="226" spans="1:9" hidden="1" x14ac:dyDescent="0.3">
      <c r="A226" s="16" t="s">
        <v>7</v>
      </c>
      <c r="B226" s="16" t="s">
        <v>29</v>
      </c>
      <c r="C226" s="15">
        <v>3</v>
      </c>
      <c r="D226" s="17">
        <v>609628</v>
      </c>
      <c r="E226" s="17">
        <v>375067</v>
      </c>
      <c r="F226" s="17">
        <v>-234561</v>
      </c>
      <c r="G226" s="18">
        <v>0.61523912943631198</v>
      </c>
      <c r="H226" s="10" t="str">
        <f t="shared" si="3"/>
        <v>GASTOS</v>
      </c>
      <c r="I226" s="19">
        <v>2025</v>
      </c>
    </row>
    <row r="227" spans="1:9" hidden="1" x14ac:dyDescent="0.3">
      <c r="A227" s="16" t="s">
        <v>7</v>
      </c>
      <c r="B227" s="16" t="s">
        <v>29</v>
      </c>
      <c r="C227" s="15">
        <v>4</v>
      </c>
      <c r="D227" s="17">
        <v>967165</v>
      </c>
      <c r="E227" s="17">
        <v>234655</v>
      </c>
      <c r="F227" s="17">
        <v>-732510</v>
      </c>
      <c r="G227" s="18">
        <v>0.24262147617004337</v>
      </c>
      <c r="H227" s="10" t="str">
        <f t="shared" si="3"/>
        <v>GASTOS</v>
      </c>
      <c r="I227" s="19">
        <v>2025</v>
      </c>
    </row>
    <row r="228" spans="1:9" hidden="1" x14ac:dyDescent="0.3">
      <c r="A228" s="16" t="s">
        <v>7</v>
      </c>
      <c r="B228" s="16" t="s">
        <v>29</v>
      </c>
      <c r="C228" s="15">
        <v>5</v>
      </c>
      <c r="D228" s="17">
        <v>344696</v>
      </c>
      <c r="E228" s="17">
        <v>2669136</v>
      </c>
      <c r="F228" s="17">
        <v>2324440</v>
      </c>
      <c r="G228" s="18">
        <v>7.7434493002529772</v>
      </c>
      <c r="H228" s="10" t="str">
        <f t="shared" si="3"/>
        <v>GASTOS</v>
      </c>
      <c r="I228" s="19">
        <v>2025</v>
      </c>
    </row>
    <row r="229" spans="1:9" hidden="1" x14ac:dyDescent="0.3">
      <c r="A229" s="16" t="s">
        <v>7</v>
      </c>
      <c r="B229" s="16" t="s">
        <v>29</v>
      </c>
      <c r="C229" s="15">
        <v>6</v>
      </c>
      <c r="D229" s="17">
        <v>135423</v>
      </c>
      <c r="E229" s="17">
        <v>271106</v>
      </c>
      <c r="F229" s="17">
        <v>135683</v>
      </c>
      <c r="G229" s="18">
        <v>2.0019199102072767</v>
      </c>
      <c r="H229" s="10" t="str">
        <f t="shared" si="3"/>
        <v>GASTOS</v>
      </c>
      <c r="I229" s="19">
        <v>2025</v>
      </c>
    </row>
    <row r="230" spans="1:9" hidden="1" x14ac:dyDescent="0.3">
      <c r="A230" s="16" t="s">
        <v>7</v>
      </c>
      <c r="B230" s="16" t="s">
        <v>29</v>
      </c>
      <c r="C230" s="15">
        <v>7</v>
      </c>
      <c r="D230" s="17">
        <v>544505</v>
      </c>
      <c r="E230" s="17">
        <v>249784</v>
      </c>
      <c r="F230" s="17">
        <v>-294721</v>
      </c>
      <c r="G230" s="18">
        <v>0.45873591610729014</v>
      </c>
      <c r="H230" s="10" t="str">
        <f t="shared" si="3"/>
        <v>GASTOS</v>
      </c>
      <c r="I230" s="19">
        <v>2025</v>
      </c>
    </row>
    <row r="231" spans="1:9" hidden="1" x14ac:dyDescent="0.3">
      <c r="A231" s="16" t="s">
        <v>7</v>
      </c>
      <c r="B231" s="16" t="s">
        <v>29</v>
      </c>
      <c r="C231" s="15">
        <v>8</v>
      </c>
      <c r="D231" s="17">
        <v>398860</v>
      </c>
      <c r="E231" s="17">
        <v>844729</v>
      </c>
      <c r="F231" s="17">
        <v>445869</v>
      </c>
      <c r="G231" s="18">
        <v>2.117858396429825</v>
      </c>
      <c r="H231" s="10" t="str">
        <f t="shared" si="3"/>
        <v>GASTOS</v>
      </c>
      <c r="I231" s="19">
        <v>2025</v>
      </c>
    </row>
    <row r="232" spans="1:9" hidden="1" x14ac:dyDescent="0.3">
      <c r="A232" s="16" t="s">
        <v>7</v>
      </c>
      <c r="B232" s="16" t="s">
        <v>29</v>
      </c>
      <c r="C232" s="15">
        <v>9</v>
      </c>
      <c r="D232" s="17">
        <v>450000</v>
      </c>
      <c r="E232" s="17">
        <v>497813</v>
      </c>
      <c r="F232" s="17">
        <v>47813</v>
      </c>
      <c r="G232" s="18">
        <v>1.1062511111111111</v>
      </c>
      <c r="H232" s="10" t="str">
        <f t="shared" si="3"/>
        <v>GASTOS</v>
      </c>
      <c r="I232" s="19">
        <v>2025</v>
      </c>
    </row>
    <row r="233" spans="1:9" hidden="1" x14ac:dyDescent="0.3">
      <c r="A233" s="16" t="s">
        <v>7</v>
      </c>
      <c r="B233" s="16" t="s">
        <v>29</v>
      </c>
      <c r="C233" s="15">
        <v>10</v>
      </c>
      <c r="D233" s="17">
        <v>552876</v>
      </c>
      <c r="E233" s="17">
        <v>715595</v>
      </c>
      <c r="F233" s="17">
        <v>162719</v>
      </c>
      <c r="G233" s="18">
        <v>1.2943137340018378</v>
      </c>
      <c r="H233" s="10" t="str">
        <f t="shared" si="3"/>
        <v>GASTOS</v>
      </c>
      <c r="I233" s="19">
        <v>2025</v>
      </c>
    </row>
    <row r="234" spans="1:9" hidden="1" x14ac:dyDescent="0.3">
      <c r="A234" s="16" t="s">
        <v>7</v>
      </c>
      <c r="B234" s="16" t="s">
        <v>30</v>
      </c>
      <c r="C234" s="15">
        <v>1</v>
      </c>
      <c r="D234" s="17">
        <v>63682</v>
      </c>
      <c r="E234" s="17">
        <v>0</v>
      </c>
      <c r="F234" s="17">
        <v>-63682</v>
      </c>
      <c r="G234" s="18">
        <v>0</v>
      </c>
      <c r="H234" s="10" t="str">
        <f t="shared" si="3"/>
        <v>GASTOS</v>
      </c>
      <c r="I234" s="19">
        <v>2025</v>
      </c>
    </row>
    <row r="235" spans="1:9" hidden="1" x14ac:dyDescent="0.3">
      <c r="A235" s="16" t="s">
        <v>7</v>
      </c>
      <c r="B235" s="16" t="s">
        <v>30</v>
      </c>
      <c r="C235" s="15">
        <v>2</v>
      </c>
      <c r="D235" s="17">
        <v>63682</v>
      </c>
      <c r="E235" s="17">
        <v>0</v>
      </c>
      <c r="F235" s="17">
        <v>-63682</v>
      </c>
      <c r="G235" s="18">
        <v>0</v>
      </c>
      <c r="H235" s="10" t="str">
        <f t="shared" si="3"/>
        <v>GASTOS</v>
      </c>
      <c r="I235" s="19">
        <v>2025</v>
      </c>
    </row>
    <row r="236" spans="1:9" hidden="1" x14ac:dyDescent="0.3">
      <c r="A236" s="16" t="s">
        <v>7</v>
      </c>
      <c r="B236" s="16" t="s">
        <v>30</v>
      </c>
      <c r="C236" s="15">
        <v>3</v>
      </c>
      <c r="D236" s="17">
        <v>63682</v>
      </c>
      <c r="E236" s="17">
        <v>0</v>
      </c>
      <c r="F236" s="17">
        <v>-63682</v>
      </c>
      <c r="G236" s="18">
        <v>0</v>
      </c>
      <c r="H236" s="10" t="str">
        <f t="shared" si="3"/>
        <v>GASTOS</v>
      </c>
      <c r="I236" s="19">
        <v>2025</v>
      </c>
    </row>
    <row r="237" spans="1:9" hidden="1" x14ac:dyDescent="0.3">
      <c r="A237" s="16" t="s">
        <v>7</v>
      </c>
      <c r="B237" s="16" t="s">
        <v>30</v>
      </c>
      <c r="C237" s="15">
        <v>4</v>
      </c>
      <c r="D237" s="17">
        <v>63682</v>
      </c>
      <c r="E237" s="17">
        <v>0</v>
      </c>
      <c r="F237" s="17">
        <v>-63682</v>
      </c>
      <c r="G237" s="18">
        <v>0</v>
      </c>
      <c r="H237" s="10" t="str">
        <f t="shared" si="3"/>
        <v>GASTOS</v>
      </c>
      <c r="I237" s="19">
        <v>2025</v>
      </c>
    </row>
    <row r="238" spans="1:9" hidden="1" x14ac:dyDescent="0.3">
      <c r="A238" s="16" t="s">
        <v>7</v>
      </c>
      <c r="B238" s="16" t="s">
        <v>30</v>
      </c>
      <c r="C238" s="15">
        <v>5</v>
      </c>
      <c r="D238" s="17">
        <v>63682</v>
      </c>
      <c r="E238" s="17">
        <v>0</v>
      </c>
      <c r="F238" s="17">
        <v>-63682</v>
      </c>
      <c r="G238" s="18">
        <v>0</v>
      </c>
      <c r="H238" s="10" t="str">
        <f t="shared" si="3"/>
        <v>GASTOS</v>
      </c>
      <c r="I238" s="19">
        <v>2025</v>
      </c>
    </row>
    <row r="239" spans="1:9" hidden="1" x14ac:dyDescent="0.3">
      <c r="A239" s="16" t="s">
        <v>7</v>
      </c>
      <c r="B239" s="16" t="s">
        <v>30</v>
      </c>
      <c r="C239" s="15">
        <v>6</v>
      </c>
      <c r="D239" s="17">
        <v>63682</v>
      </c>
      <c r="E239" s="17">
        <v>0</v>
      </c>
      <c r="F239" s="17">
        <v>-63682</v>
      </c>
      <c r="G239" s="18">
        <v>0</v>
      </c>
      <c r="H239" s="10" t="str">
        <f t="shared" si="3"/>
        <v>GASTOS</v>
      </c>
      <c r="I239" s="19">
        <v>2025</v>
      </c>
    </row>
    <row r="240" spans="1:9" hidden="1" x14ac:dyDescent="0.3">
      <c r="A240" s="16" t="s">
        <v>7</v>
      </c>
      <c r="B240" s="16" t="s">
        <v>30</v>
      </c>
      <c r="C240" s="15">
        <v>7</v>
      </c>
      <c r="D240" s="17">
        <v>63682</v>
      </c>
      <c r="E240" s="17">
        <v>0</v>
      </c>
      <c r="F240" s="17">
        <v>-63682</v>
      </c>
      <c r="G240" s="18">
        <v>0</v>
      </c>
      <c r="H240" s="10" t="str">
        <f t="shared" si="3"/>
        <v>GASTOS</v>
      </c>
      <c r="I240" s="19">
        <v>2025</v>
      </c>
    </row>
    <row r="241" spans="1:9" hidden="1" x14ac:dyDescent="0.3">
      <c r="A241" s="16" t="s">
        <v>7</v>
      </c>
      <c r="B241" s="16" t="s">
        <v>30</v>
      </c>
      <c r="C241" s="15">
        <v>8</v>
      </c>
      <c r="D241" s="17">
        <v>63682</v>
      </c>
      <c r="E241" s="17">
        <v>0</v>
      </c>
      <c r="F241" s="17">
        <v>-63682</v>
      </c>
      <c r="G241" s="18">
        <v>0</v>
      </c>
      <c r="H241" s="10" t="str">
        <f t="shared" si="3"/>
        <v>GASTOS</v>
      </c>
      <c r="I241" s="19">
        <v>2025</v>
      </c>
    </row>
    <row r="242" spans="1:9" hidden="1" x14ac:dyDescent="0.3">
      <c r="A242" s="16" t="s">
        <v>7</v>
      </c>
      <c r="B242" s="16" t="s">
        <v>30</v>
      </c>
      <c r="C242" s="15">
        <v>9</v>
      </c>
      <c r="D242" s="17">
        <v>63682</v>
      </c>
      <c r="E242" s="17">
        <v>0</v>
      </c>
      <c r="F242" s="17">
        <v>-63682</v>
      </c>
      <c r="G242" s="18">
        <v>0</v>
      </c>
      <c r="H242" s="10" t="str">
        <f t="shared" si="3"/>
        <v>GASTOS</v>
      </c>
      <c r="I242" s="19">
        <v>2025</v>
      </c>
    </row>
    <row r="243" spans="1:9" hidden="1" x14ac:dyDescent="0.3">
      <c r="A243" s="16" t="s">
        <v>7</v>
      </c>
      <c r="B243" s="16" t="s">
        <v>30</v>
      </c>
      <c r="C243" s="15">
        <v>10</v>
      </c>
      <c r="D243" s="17">
        <v>63682</v>
      </c>
      <c r="E243" s="17">
        <v>0</v>
      </c>
      <c r="F243" s="17">
        <v>-63682</v>
      </c>
      <c r="G243" s="18">
        <v>0</v>
      </c>
      <c r="H243" s="10" t="str">
        <f t="shared" si="3"/>
        <v>GASTOS</v>
      </c>
      <c r="I243" s="19">
        <v>2025</v>
      </c>
    </row>
    <row r="244" spans="1:9" hidden="1" x14ac:dyDescent="0.3">
      <c r="A244" s="16" t="s">
        <v>7</v>
      </c>
      <c r="B244" s="16" t="s">
        <v>218</v>
      </c>
      <c r="C244" s="15">
        <v>9</v>
      </c>
      <c r="D244" s="17">
        <v>9270000</v>
      </c>
      <c r="E244" s="17">
        <v>0</v>
      </c>
      <c r="F244" s="17">
        <v>-9270000</v>
      </c>
      <c r="G244" s="18">
        <v>0</v>
      </c>
      <c r="H244" s="10" t="str">
        <f t="shared" si="3"/>
        <v>GASTOS</v>
      </c>
      <c r="I244" s="19">
        <v>2025</v>
      </c>
    </row>
    <row r="245" spans="1:9" hidden="1" x14ac:dyDescent="0.3">
      <c r="A245" s="16" t="s">
        <v>7</v>
      </c>
      <c r="B245" s="16" t="s">
        <v>8</v>
      </c>
      <c r="C245" s="15">
        <v>11</v>
      </c>
      <c r="D245" s="17">
        <v>3558750</v>
      </c>
      <c r="E245" s="17">
        <v>3558750</v>
      </c>
      <c r="F245" s="17">
        <v>0</v>
      </c>
      <c r="G245" s="18">
        <v>1</v>
      </c>
      <c r="H245" s="10" t="str">
        <f t="shared" si="3"/>
        <v>GASTOS</v>
      </c>
      <c r="I245" s="19">
        <v>2025</v>
      </c>
    </row>
    <row r="246" spans="1:9" hidden="1" x14ac:dyDescent="0.3">
      <c r="A246" s="16" t="s">
        <v>7</v>
      </c>
      <c r="B246" s="16" t="s">
        <v>10</v>
      </c>
      <c r="C246" s="15">
        <v>11</v>
      </c>
      <c r="D246" s="17">
        <v>1423500</v>
      </c>
      <c r="E246" s="17">
        <v>1423500</v>
      </c>
      <c r="F246" s="17">
        <v>0</v>
      </c>
      <c r="G246" s="18">
        <v>1</v>
      </c>
      <c r="H246" s="10" t="str">
        <f t="shared" si="3"/>
        <v>GASTOS</v>
      </c>
      <c r="I246" s="19">
        <v>2025</v>
      </c>
    </row>
    <row r="247" spans="1:9" hidden="1" x14ac:dyDescent="0.3">
      <c r="A247" s="16" t="s">
        <v>7</v>
      </c>
      <c r="B247" s="16" t="s">
        <v>174</v>
      </c>
      <c r="C247" s="15">
        <v>11</v>
      </c>
      <c r="D247" s="17">
        <v>2461680</v>
      </c>
      <c r="E247" s="17">
        <v>0</v>
      </c>
      <c r="F247" s="17">
        <v>-2461680</v>
      </c>
      <c r="G247" s="18">
        <v>0</v>
      </c>
      <c r="H247" s="10" t="str">
        <f t="shared" si="3"/>
        <v>GASTOS</v>
      </c>
      <c r="I247" s="19">
        <v>2025</v>
      </c>
    </row>
    <row r="248" spans="1:9" hidden="1" x14ac:dyDescent="0.3">
      <c r="A248" s="16" t="s">
        <v>7</v>
      </c>
      <c r="B248" s="16" t="s">
        <v>11</v>
      </c>
      <c r="C248" s="15">
        <v>11</v>
      </c>
      <c r="D248" s="17">
        <v>1542566</v>
      </c>
      <c r="E248" s="17">
        <v>1082983</v>
      </c>
      <c r="F248" s="17">
        <v>-459583</v>
      </c>
      <c r="G248" s="18">
        <v>0.70206590836307814</v>
      </c>
      <c r="H248" s="10" t="str">
        <f t="shared" si="3"/>
        <v>GASTOS</v>
      </c>
      <c r="I248" s="19">
        <v>2025</v>
      </c>
    </row>
    <row r="249" spans="1:9" hidden="1" x14ac:dyDescent="0.3">
      <c r="A249" s="16" t="s">
        <v>7</v>
      </c>
      <c r="B249" s="16" t="s">
        <v>162</v>
      </c>
      <c r="C249" s="15">
        <v>11</v>
      </c>
      <c r="D249" s="17">
        <v>4270500</v>
      </c>
      <c r="E249" s="17">
        <v>4270500</v>
      </c>
      <c r="F249" s="17">
        <v>0</v>
      </c>
      <c r="G249" s="18">
        <v>1</v>
      </c>
      <c r="H249" s="10" t="str">
        <f t="shared" si="3"/>
        <v>GASTOS</v>
      </c>
      <c r="I249" s="19">
        <v>2025</v>
      </c>
    </row>
    <row r="250" spans="1:9" hidden="1" x14ac:dyDescent="0.3">
      <c r="A250" s="16" t="s">
        <v>7</v>
      </c>
      <c r="B250" s="16" t="s">
        <v>13</v>
      </c>
      <c r="C250" s="15">
        <v>11</v>
      </c>
      <c r="D250" s="17">
        <v>312338</v>
      </c>
      <c r="E250" s="17">
        <v>0</v>
      </c>
      <c r="F250" s="17">
        <v>-312338</v>
      </c>
      <c r="G250" s="18">
        <v>0</v>
      </c>
      <c r="H250" s="10" t="str">
        <f t="shared" si="3"/>
        <v>GASTOS</v>
      </c>
      <c r="I250" s="19">
        <v>2025</v>
      </c>
    </row>
    <row r="251" spans="1:9" hidden="1" x14ac:dyDescent="0.3">
      <c r="A251" s="16" t="s">
        <v>7</v>
      </c>
      <c r="B251" s="16" t="s">
        <v>102</v>
      </c>
      <c r="C251" s="15">
        <v>11</v>
      </c>
      <c r="D251" s="17">
        <v>0</v>
      </c>
      <c r="E251" s="17">
        <v>22974976</v>
      </c>
      <c r="F251" s="17">
        <v>22974976</v>
      </c>
      <c r="G251" s="18">
        <v>0</v>
      </c>
      <c r="H251" s="10" t="str">
        <f t="shared" si="3"/>
        <v>GASTOS</v>
      </c>
      <c r="I251" s="19">
        <v>2025</v>
      </c>
    </row>
    <row r="252" spans="1:9" hidden="1" x14ac:dyDescent="0.3">
      <c r="A252" s="16" t="s">
        <v>7</v>
      </c>
      <c r="B252" s="16" t="s">
        <v>14</v>
      </c>
      <c r="C252" s="15">
        <v>11</v>
      </c>
      <c r="D252" s="17">
        <v>22845</v>
      </c>
      <c r="E252" s="17">
        <v>135000</v>
      </c>
      <c r="F252" s="17">
        <v>112155</v>
      </c>
      <c r="G252" s="18">
        <v>5.9093893630991463</v>
      </c>
      <c r="H252" s="10" t="str">
        <f t="shared" si="3"/>
        <v>GASTOS</v>
      </c>
      <c r="I252" s="19">
        <v>2025</v>
      </c>
    </row>
    <row r="253" spans="1:9" hidden="1" x14ac:dyDescent="0.3">
      <c r="A253" s="16" t="s">
        <v>7</v>
      </c>
      <c r="B253" s="16" t="s">
        <v>15</v>
      </c>
      <c r="C253" s="15">
        <v>11</v>
      </c>
      <c r="D253" s="17">
        <v>365000</v>
      </c>
      <c r="E253" s="17">
        <v>371641</v>
      </c>
      <c r="F253" s="17">
        <v>6641</v>
      </c>
      <c r="G253" s="18">
        <v>1.0181945205479452</v>
      </c>
      <c r="H253" s="10" t="str">
        <f t="shared" si="3"/>
        <v>GASTOS</v>
      </c>
      <c r="I253" s="19">
        <v>2025</v>
      </c>
    </row>
    <row r="254" spans="1:9" hidden="1" x14ac:dyDescent="0.3">
      <c r="A254" s="16" t="s">
        <v>7</v>
      </c>
      <c r="B254" s="16" t="s">
        <v>16</v>
      </c>
      <c r="C254" s="15">
        <v>11</v>
      </c>
      <c r="D254" s="17">
        <v>296729</v>
      </c>
      <c r="E254" s="17">
        <v>146845</v>
      </c>
      <c r="F254" s="17">
        <v>-149884</v>
      </c>
      <c r="G254" s="18">
        <v>0.49487916583818903</v>
      </c>
      <c r="H254" s="10" t="str">
        <f t="shared" si="3"/>
        <v>GASTOS</v>
      </c>
      <c r="I254" s="19">
        <v>2025</v>
      </c>
    </row>
    <row r="255" spans="1:9" hidden="1" x14ac:dyDescent="0.3">
      <c r="A255" s="16" t="s">
        <v>7</v>
      </c>
      <c r="B255" s="16" t="s">
        <v>85</v>
      </c>
      <c r="C255" s="15">
        <v>11</v>
      </c>
      <c r="D255" s="17">
        <v>337805</v>
      </c>
      <c r="E255" s="17">
        <v>337805</v>
      </c>
      <c r="F255" s="17">
        <v>0</v>
      </c>
      <c r="G255" s="18">
        <v>1</v>
      </c>
      <c r="H255" s="10" t="str">
        <f t="shared" si="3"/>
        <v>GASTOS</v>
      </c>
      <c r="I255" s="19">
        <v>2025</v>
      </c>
    </row>
    <row r="256" spans="1:9" hidden="1" x14ac:dyDescent="0.3">
      <c r="A256" s="16" t="s">
        <v>7</v>
      </c>
      <c r="B256" s="16" t="s">
        <v>17</v>
      </c>
      <c r="C256" s="15">
        <v>11</v>
      </c>
      <c r="D256" s="17">
        <v>35000</v>
      </c>
      <c r="E256" s="17">
        <v>35920</v>
      </c>
      <c r="F256" s="17">
        <v>920</v>
      </c>
      <c r="G256" s="18">
        <v>1.0262857142857142</v>
      </c>
      <c r="H256" s="10" t="str">
        <f t="shared" si="3"/>
        <v>GASTOS</v>
      </c>
      <c r="I256" s="19">
        <v>2025</v>
      </c>
    </row>
    <row r="257" spans="1:9" hidden="1" x14ac:dyDescent="0.3">
      <c r="A257" s="16" t="s">
        <v>7</v>
      </c>
      <c r="B257" s="16" t="s">
        <v>170</v>
      </c>
      <c r="C257" s="15">
        <v>11</v>
      </c>
      <c r="D257" s="17">
        <v>0</v>
      </c>
      <c r="E257" s="17">
        <v>2714128</v>
      </c>
      <c r="F257" s="17">
        <v>2714128</v>
      </c>
      <c r="G257" s="18">
        <v>0</v>
      </c>
      <c r="H257" s="10" t="str">
        <f t="shared" si="3"/>
        <v>GASTOS</v>
      </c>
      <c r="I257" s="19">
        <v>2025</v>
      </c>
    </row>
    <row r="258" spans="1:9" hidden="1" x14ac:dyDescent="0.3">
      <c r="A258" s="16" t="s">
        <v>7</v>
      </c>
      <c r="B258" s="16" t="s">
        <v>18</v>
      </c>
      <c r="C258" s="15">
        <v>11</v>
      </c>
      <c r="D258" s="17">
        <v>2735</v>
      </c>
      <c r="E258" s="17">
        <v>0</v>
      </c>
      <c r="F258" s="17">
        <v>-2735</v>
      </c>
      <c r="G258" s="18">
        <v>0</v>
      </c>
      <c r="H258" s="10" t="str">
        <f t="shared" si="3"/>
        <v>GASTOS</v>
      </c>
      <c r="I258" s="19">
        <v>2025</v>
      </c>
    </row>
    <row r="259" spans="1:9" hidden="1" x14ac:dyDescent="0.3">
      <c r="A259" s="16" t="s">
        <v>7</v>
      </c>
      <c r="B259" s="16" t="s">
        <v>62</v>
      </c>
      <c r="C259" s="15">
        <v>11</v>
      </c>
      <c r="D259" s="17">
        <v>759969</v>
      </c>
      <c r="E259" s="17">
        <v>852099</v>
      </c>
      <c r="F259" s="17">
        <v>92130</v>
      </c>
      <c r="G259" s="18">
        <v>1.1212286290625013</v>
      </c>
      <c r="H259" s="10" t="str">
        <f t="shared" ref="H259:H322" si="4">+IF(OR(A259="ADMINISTRACION",A259="COMERCIAL",A259="COMERCIAL-EXPORTACIONES",A259="LEASING DE LA BODEGA",A259="LOGISTICA-SALIDA",A259="OTROS GASTOS",A259="BODEGA ALQUILADA", A259="BODEGA CARTOPLAST", A259="BODEGA CARTOPLAS", A259= "GESTION HUMANA-OTROS GASTOS"),"GASTOS","COSTOS")</f>
        <v>GASTOS</v>
      </c>
      <c r="I259" s="19">
        <v>2025</v>
      </c>
    </row>
    <row r="260" spans="1:9" hidden="1" x14ac:dyDescent="0.3">
      <c r="A260" s="16" t="s">
        <v>7</v>
      </c>
      <c r="B260" s="16" t="s">
        <v>23</v>
      </c>
      <c r="C260" s="15">
        <v>11</v>
      </c>
      <c r="D260" s="17">
        <v>3594745</v>
      </c>
      <c r="E260" s="17">
        <v>3594745</v>
      </c>
      <c r="F260" s="17">
        <v>0</v>
      </c>
      <c r="G260" s="18">
        <v>1</v>
      </c>
      <c r="H260" s="10" t="str">
        <f t="shared" si="4"/>
        <v>GASTOS</v>
      </c>
      <c r="I260" s="19">
        <v>2025</v>
      </c>
    </row>
    <row r="261" spans="1:9" hidden="1" x14ac:dyDescent="0.3">
      <c r="A261" s="16" t="s">
        <v>7</v>
      </c>
      <c r="B261" s="16" t="s">
        <v>24</v>
      </c>
      <c r="C261" s="15">
        <v>11</v>
      </c>
      <c r="D261" s="17">
        <v>750677</v>
      </c>
      <c r="E261" s="17">
        <v>750677</v>
      </c>
      <c r="F261" s="17">
        <v>0</v>
      </c>
      <c r="G261" s="18">
        <v>1</v>
      </c>
      <c r="H261" s="10" t="str">
        <f t="shared" si="4"/>
        <v>GASTOS</v>
      </c>
      <c r="I261" s="19">
        <v>2025</v>
      </c>
    </row>
    <row r="262" spans="1:9" hidden="1" x14ac:dyDescent="0.3">
      <c r="A262" s="16" t="s">
        <v>7</v>
      </c>
      <c r="B262" s="16" t="s">
        <v>42</v>
      </c>
      <c r="C262" s="15">
        <v>11</v>
      </c>
      <c r="D262" s="17">
        <v>187593</v>
      </c>
      <c r="E262" s="17">
        <v>0</v>
      </c>
      <c r="F262" s="17">
        <v>-187593</v>
      </c>
      <c r="G262" s="18">
        <v>0</v>
      </c>
      <c r="H262" s="10" t="str">
        <f t="shared" si="4"/>
        <v>GASTOS</v>
      </c>
      <c r="I262" s="19">
        <v>2025</v>
      </c>
    </row>
    <row r="263" spans="1:9" hidden="1" x14ac:dyDescent="0.3">
      <c r="A263" s="16" t="s">
        <v>7</v>
      </c>
      <c r="B263" s="16" t="s">
        <v>25</v>
      </c>
      <c r="C263" s="15">
        <v>11</v>
      </c>
      <c r="D263" s="17">
        <v>1274167</v>
      </c>
      <c r="E263" s="17">
        <v>1274167</v>
      </c>
      <c r="F263" s="17">
        <v>0</v>
      </c>
      <c r="G263" s="18">
        <v>1</v>
      </c>
      <c r="H263" s="10" t="str">
        <f t="shared" si="4"/>
        <v>GASTOS</v>
      </c>
      <c r="I263" s="19">
        <v>2025</v>
      </c>
    </row>
    <row r="264" spans="1:9" hidden="1" x14ac:dyDescent="0.3">
      <c r="A264" s="16" t="s">
        <v>7</v>
      </c>
      <c r="B264" s="16" t="s">
        <v>26</v>
      </c>
      <c r="C264" s="15">
        <v>11</v>
      </c>
      <c r="D264" s="17">
        <v>211200</v>
      </c>
      <c r="E264" s="17">
        <v>20455546</v>
      </c>
      <c r="F264" s="17">
        <v>20244346</v>
      </c>
      <c r="G264" s="18">
        <v>96.853910984848483</v>
      </c>
      <c r="H264" s="10" t="str">
        <f t="shared" si="4"/>
        <v>GASTOS</v>
      </c>
      <c r="I264" s="19">
        <v>2025</v>
      </c>
    </row>
    <row r="265" spans="1:9" hidden="1" x14ac:dyDescent="0.3">
      <c r="A265" s="16" t="s">
        <v>7</v>
      </c>
      <c r="B265" s="16" t="s">
        <v>27</v>
      </c>
      <c r="C265" s="15">
        <v>11</v>
      </c>
      <c r="D265" s="17">
        <v>189713</v>
      </c>
      <c r="E265" s="17">
        <v>107735</v>
      </c>
      <c r="F265" s="17">
        <v>-81978</v>
      </c>
      <c r="G265" s="18">
        <v>0.56788411969659436</v>
      </c>
      <c r="H265" s="10" t="str">
        <f t="shared" si="4"/>
        <v>GASTOS</v>
      </c>
      <c r="I265" s="19">
        <v>2025</v>
      </c>
    </row>
    <row r="266" spans="1:9" hidden="1" x14ac:dyDescent="0.3">
      <c r="A266" s="16" t="s">
        <v>7</v>
      </c>
      <c r="B266" s="16" t="s">
        <v>28</v>
      </c>
      <c r="C266" s="15">
        <v>11</v>
      </c>
      <c r="D266" s="17">
        <v>250000</v>
      </c>
      <c r="E266" s="17">
        <v>500280</v>
      </c>
      <c r="F266" s="17">
        <v>250280</v>
      </c>
      <c r="G266" s="18">
        <v>2.0011199999999998</v>
      </c>
      <c r="H266" s="10" t="str">
        <f t="shared" si="4"/>
        <v>GASTOS</v>
      </c>
      <c r="I266" s="19">
        <v>2025</v>
      </c>
    </row>
    <row r="267" spans="1:9" hidden="1" x14ac:dyDescent="0.3">
      <c r="A267" s="16" t="s">
        <v>7</v>
      </c>
      <c r="B267" s="16" t="s">
        <v>29</v>
      </c>
      <c r="C267" s="15">
        <v>11</v>
      </c>
      <c r="D267" s="17">
        <v>450000</v>
      </c>
      <c r="E267" s="17">
        <v>215884</v>
      </c>
      <c r="F267" s="17">
        <v>-234116</v>
      </c>
      <c r="G267" s="18">
        <v>0.47974222222222224</v>
      </c>
      <c r="H267" s="10" t="str">
        <f t="shared" si="4"/>
        <v>GASTOS</v>
      </c>
      <c r="I267" s="19">
        <v>2025</v>
      </c>
    </row>
    <row r="268" spans="1:9" hidden="1" x14ac:dyDescent="0.3">
      <c r="A268" s="16" t="s">
        <v>7</v>
      </c>
      <c r="B268" s="16" t="s">
        <v>30</v>
      </c>
      <c r="C268" s="15">
        <v>11</v>
      </c>
      <c r="D268" s="17">
        <v>63682</v>
      </c>
      <c r="E268" s="17">
        <v>0</v>
      </c>
      <c r="F268" s="17">
        <v>-63682</v>
      </c>
      <c r="G268" s="18">
        <v>0</v>
      </c>
      <c r="H268" s="10" t="str">
        <f t="shared" si="4"/>
        <v>GASTOS</v>
      </c>
      <c r="I268" s="19">
        <v>2025</v>
      </c>
    </row>
    <row r="269" spans="1:9" hidden="1" x14ac:dyDescent="0.3">
      <c r="A269" s="16" t="s">
        <v>7</v>
      </c>
      <c r="B269" s="16" t="s">
        <v>8</v>
      </c>
      <c r="C269" s="15">
        <v>12</v>
      </c>
      <c r="D269" s="17">
        <v>3558750</v>
      </c>
      <c r="E269" s="17">
        <v>3558750</v>
      </c>
      <c r="F269" s="17">
        <v>0</v>
      </c>
      <c r="G269" s="18">
        <v>1</v>
      </c>
      <c r="H269" s="10" t="str">
        <f t="shared" si="4"/>
        <v>GASTOS</v>
      </c>
      <c r="I269" s="19">
        <v>2025</v>
      </c>
    </row>
    <row r="270" spans="1:9" hidden="1" x14ac:dyDescent="0.3">
      <c r="A270" s="16" t="s">
        <v>7</v>
      </c>
      <c r="B270" s="16" t="s">
        <v>9</v>
      </c>
      <c r="C270" s="15">
        <v>12</v>
      </c>
      <c r="D270" s="17">
        <v>1560750</v>
      </c>
      <c r="E270" s="17">
        <v>0</v>
      </c>
      <c r="F270" s="17">
        <v>-1560750</v>
      </c>
      <c r="G270" s="18">
        <v>0</v>
      </c>
      <c r="H270" s="10" t="str">
        <f t="shared" si="4"/>
        <v>GASTOS</v>
      </c>
      <c r="I270" s="19">
        <v>2025</v>
      </c>
    </row>
    <row r="271" spans="1:9" hidden="1" x14ac:dyDescent="0.3">
      <c r="A271" s="16" t="s">
        <v>7</v>
      </c>
      <c r="B271" s="16" t="s">
        <v>10</v>
      </c>
      <c r="C271" s="15">
        <v>12</v>
      </c>
      <c r="D271" s="17">
        <v>1423500</v>
      </c>
      <c r="E271" s="17">
        <v>1423500</v>
      </c>
      <c r="F271" s="17">
        <v>0</v>
      </c>
      <c r="G271" s="18">
        <v>1</v>
      </c>
      <c r="H271" s="10" t="str">
        <f t="shared" si="4"/>
        <v>GASTOS</v>
      </c>
      <c r="I271" s="19">
        <v>2025</v>
      </c>
    </row>
    <row r="272" spans="1:9" hidden="1" x14ac:dyDescent="0.3">
      <c r="A272" s="16" t="s">
        <v>7</v>
      </c>
      <c r="B272" s="16" t="s">
        <v>174</v>
      </c>
      <c r="C272" s="15">
        <v>12</v>
      </c>
      <c r="D272" s="17">
        <v>2461680</v>
      </c>
      <c r="E272" s="17">
        <v>0</v>
      </c>
      <c r="F272" s="17">
        <v>-2461680</v>
      </c>
      <c r="G272" s="18">
        <v>0</v>
      </c>
      <c r="H272" s="10" t="str">
        <f t="shared" si="4"/>
        <v>GASTOS</v>
      </c>
      <c r="I272" s="19">
        <v>2025</v>
      </c>
    </row>
    <row r="273" spans="1:9" hidden="1" x14ac:dyDescent="0.3">
      <c r="A273" s="16" t="s">
        <v>7</v>
      </c>
      <c r="B273" s="16" t="s">
        <v>11</v>
      </c>
      <c r="C273" s="15">
        <v>12</v>
      </c>
      <c r="D273" s="17">
        <v>1542566</v>
      </c>
      <c r="E273" s="17">
        <v>1082983</v>
      </c>
      <c r="F273" s="17">
        <v>-459583</v>
      </c>
      <c r="G273" s="18">
        <v>0.70206590836307814</v>
      </c>
      <c r="H273" s="10" t="str">
        <f t="shared" si="4"/>
        <v>GASTOS</v>
      </c>
      <c r="I273" s="19">
        <v>2025</v>
      </c>
    </row>
    <row r="274" spans="1:9" hidden="1" x14ac:dyDescent="0.3">
      <c r="A274" s="16" t="s">
        <v>7</v>
      </c>
      <c r="B274" s="16" t="s">
        <v>162</v>
      </c>
      <c r="C274" s="15">
        <v>12</v>
      </c>
      <c r="D274" s="17">
        <v>4270500</v>
      </c>
      <c r="E274" s="17">
        <v>0</v>
      </c>
      <c r="F274" s="17">
        <v>-4270500</v>
      </c>
      <c r="G274" s="18">
        <v>0</v>
      </c>
      <c r="H274" s="10" t="str">
        <f t="shared" si="4"/>
        <v>GASTOS</v>
      </c>
      <c r="I274" s="19">
        <v>2025</v>
      </c>
    </row>
    <row r="275" spans="1:9" hidden="1" x14ac:dyDescent="0.3">
      <c r="A275" s="16" t="s">
        <v>7</v>
      </c>
      <c r="B275" s="16" t="s">
        <v>163</v>
      </c>
      <c r="C275" s="15">
        <v>12</v>
      </c>
      <c r="D275" s="17">
        <v>0</v>
      </c>
      <c r="E275" s="17">
        <v>2700000</v>
      </c>
      <c r="F275" s="17">
        <v>2700000</v>
      </c>
      <c r="G275" s="18">
        <v>0</v>
      </c>
      <c r="H275" s="10" t="str">
        <f t="shared" si="4"/>
        <v>GASTOS</v>
      </c>
      <c r="I275" s="19">
        <v>2025</v>
      </c>
    </row>
    <row r="276" spans="1:9" hidden="1" x14ac:dyDescent="0.3">
      <c r="A276" s="16" t="s">
        <v>7</v>
      </c>
      <c r="B276" s="16" t="s">
        <v>102</v>
      </c>
      <c r="C276" s="15">
        <v>12</v>
      </c>
      <c r="D276" s="17">
        <v>0</v>
      </c>
      <c r="E276" s="17">
        <v>1164556</v>
      </c>
      <c r="F276" s="17">
        <v>1164556</v>
      </c>
      <c r="G276" s="18">
        <v>0</v>
      </c>
      <c r="H276" s="10" t="str">
        <f t="shared" si="4"/>
        <v>GASTOS</v>
      </c>
      <c r="I276" s="19">
        <v>2025</v>
      </c>
    </row>
    <row r="277" spans="1:9" hidden="1" x14ac:dyDescent="0.3">
      <c r="A277" s="16" t="s">
        <v>7</v>
      </c>
      <c r="B277" s="16" t="s">
        <v>14</v>
      </c>
      <c r="C277" s="15">
        <v>12</v>
      </c>
      <c r="D277" s="17">
        <v>91067.5</v>
      </c>
      <c r="E277" s="17">
        <v>0</v>
      </c>
      <c r="F277" s="17">
        <v>-91067.5</v>
      </c>
      <c r="G277" s="18">
        <v>0</v>
      </c>
      <c r="H277" s="10" t="str">
        <f t="shared" si="4"/>
        <v>GASTOS</v>
      </c>
      <c r="I277" s="19">
        <v>2025</v>
      </c>
    </row>
    <row r="278" spans="1:9" hidden="1" x14ac:dyDescent="0.3">
      <c r="A278" s="16" t="s">
        <v>7</v>
      </c>
      <c r="B278" s="16" t="s">
        <v>15</v>
      </c>
      <c r="C278" s="15">
        <v>12</v>
      </c>
      <c r="D278" s="17">
        <v>365000</v>
      </c>
      <c r="E278" s="17">
        <v>369104</v>
      </c>
      <c r="F278" s="17">
        <v>4104</v>
      </c>
      <c r="G278" s="18">
        <v>1.0112438356164384</v>
      </c>
      <c r="H278" s="10" t="str">
        <f t="shared" si="4"/>
        <v>GASTOS</v>
      </c>
      <c r="I278" s="19">
        <v>2025</v>
      </c>
    </row>
    <row r="279" spans="1:9" hidden="1" x14ac:dyDescent="0.3">
      <c r="A279" s="16" t="s">
        <v>7</v>
      </c>
      <c r="B279" s="16" t="s">
        <v>16</v>
      </c>
      <c r="C279" s="15">
        <v>12</v>
      </c>
      <c r="D279" s="17">
        <v>139340</v>
      </c>
      <c r="E279" s="17">
        <v>212000</v>
      </c>
      <c r="F279" s="17">
        <v>72660</v>
      </c>
      <c r="G279" s="18">
        <v>1.5214583034304578</v>
      </c>
      <c r="H279" s="10" t="str">
        <f t="shared" si="4"/>
        <v>GASTOS</v>
      </c>
      <c r="I279" s="19">
        <v>2025</v>
      </c>
    </row>
    <row r="280" spans="1:9" hidden="1" x14ac:dyDescent="0.3">
      <c r="A280" s="16" t="s">
        <v>7</v>
      </c>
      <c r="B280" s="16" t="s">
        <v>85</v>
      </c>
      <c r="C280" s="15">
        <v>12</v>
      </c>
      <c r="D280" s="17">
        <v>337805</v>
      </c>
      <c r="E280" s="17">
        <v>338612</v>
      </c>
      <c r="F280" s="17">
        <v>807</v>
      </c>
      <c r="G280" s="18">
        <v>1.0023889522061544</v>
      </c>
      <c r="H280" s="10" t="str">
        <f t="shared" si="4"/>
        <v>GASTOS</v>
      </c>
      <c r="I280" s="19">
        <v>2025</v>
      </c>
    </row>
    <row r="281" spans="1:9" hidden="1" x14ac:dyDescent="0.3">
      <c r="A281" s="16" t="s">
        <v>7</v>
      </c>
      <c r="B281" s="16" t="s">
        <v>17</v>
      </c>
      <c r="C281" s="15">
        <v>12</v>
      </c>
      <c r="D281" s="17">
        <v>35000</v>
      </c>
      <c r="E281" s="17">
        <v>35920</v>
      </c>
      <c r="F281" s="17">
        <v>920</v>
      </c>
      <c r="G281" s="18">
        <v>1.0262857142857142</v>
      </c>
      <c r="H281" s="10" t="str">
        <f t="shared" si="4"/>
        <v>GASTOS</v>
      </c>
      <c r="I281" s="19">
        <v>2025</v>
      </c>
    </row>
    <row r="282" spans="1:9" hidden="1" x14ac:dyDescent="0.3">
      <c r="A282" s="16" t="s">
        <v>7</v>
      </c>
      <c r="B282" s="16" t="s">
        <v>148</v>
      </c>
      <c r="C282" s="15">
        <v>12</v>
      </c>
      <c r="D282" s="17">
        <v>511272</v>
      </c>
      <c r="E282" s="17">
        <v>0</v>
      </c>
      <c r="F282" s="17">
        <v>-511272</v>
      </c>
      <c r="G282" s="18">
        <v>0</v>
      </c>
      <c r="H282" s="10" t="str">
        <f t="shared" si="4"/>
        <v>GASTOS</v>
      </c>
      <c r="I282" s="19">
        <v>2025</v>
      </c>
    </row>
    <row r="283" spans="1:9" hidden="1" x14ac:dyDescent="0.3">
      <c r="A283" s="16" t="s">
        <v>7</v>
      </c>
      <c r="B283" s="16" t="s">
        <v>170</v>
      </c>
      <c r="C283" s="15">
        <v>12</v>
      </c>
      <c r="D283" s="17">
        <v>0</v>
      </c>
      <c r="E283" s="17">
        <v>2786875</v>
      </c>
      <c r="F283" s="17">
        <v>2786875</v>
      </c>
      <c r="G283" s="18">
        <v>0</v>
      </c>
      <c r="H283" s="10" t="str">
        <f t="shared" si="4"/>
        <v>GASTOS</v>
      </c>
      <c r="I283" s="19">
        <v>2025</v>
      </c>
    </row>
    <row r="284" spans="1:9" hidden="1" x14ac:dyDescent="0.3">
      <c r="A284" s="16" t="s">
        <v>7</v>
      </c>
      <c r="B284" s="16" t="s">
        <v>18</v>
      </c>
      <c r="C284" s="15">
        <v>12</v>
      </c>
      <c r="D284" s="17">
        <v>2735</v>
      </c>
      <c r="E284" s="17">
        <v>0</v>
      </c>
      <c r="F284" s="17">
        <v>-2735</v>
      </c>
      <c r="G284" s="18">
        <v>0</v>
      </c>
      <c r="H284" s="10" t="str">
        <f t="shared" si="4"/>
        <v>GASTOS</v>
      </c>
      <c r="I284" s="19">
        <v>2025</v>
      </c>
    </row>
    <row r="285" spans="1:9" hidden="1" x14ac:dyDescent="0.3">
      <c r="A285" s="16" t="s">
        <v>7</v>
      </c>
      <c r="B285" s="16" t="s">
        <v>62</v>
      </c>
      <c r="C285" s="15">
        <v>12</v>
      </c>
      <c r="D285" s="17">
        <v>450946</v>
      </c>
      <c r="E285" s="17">
        <v>3109741</v>
      </c>
      <c r="F285" s="17">
        <v>2658795</v>
      </c>
      <c r="G285" s="18">
        <v>6.8960385500702968</v>
      </c>
      <c r="H285" s="10" t="str">
        <f t="shared" si="4"/>
        <v>GASTOS</v>
      </c>
      <c r="I285" s="19">
        <v>2025</v>
      </c>
    </row>
    <row r="286" spans="1:9" hidden="1" x14ac:dyDescent="0.3">
      <c r="A286" s="16" t="s">
        <v>7</v>
      </c>
      <c r="B286" s="16" t="s">
        <v>171</v>
      </c>
      <c r="C286" s="15">
        <v>12</v>
      </c>
      <c r="D286" s="17">
        <v>2753764</v>
      </c>
      <c r="E286" s="17">
        <v>0</v>
      </c>
      <c r="F286" s="17">
        <v>-2753764</v>
      </c>
      <c r="G286" s="18">
        <v>0</v>
      </c>
      <c r="H286" s="10" t="str">
        <f t="shared" si="4"/>
        <v>GASTOS</v>
      </c>
      <c r="I286" s="19">
        <v>2025</v>
      </c>
    </row>
    <row r="287" spans="1:9" hidden="1" x14ac:dyDescent="0.3">
      <c r="A287" s="16" t="s">
        <v>7</v>
      </c>
      <c r="B287" s="16" t="s">
        <v>23</v>
      </c>
      <c r="C287" s="15">
        <v>12</v>
      </c>
      <c r="D287" s="17">
        <v>3594745</v>
      </c>
      <c r="E287" s="17">
        <v>3594745</v>
      </c>
      <c r="F287" s="17">
        <v>0</v>
      </c>
      <c r="G287" s="18">
        <v>1</v>
      </c>
      <c r="H287" s="10" t="str">
        <f t="shared" si="4"/>
        <v>GASTOS</v>
      </c>
      <c r="I287" s="19">
        <v>2025</v>
      </c>
    </row>
    <row r="288" spans="1:9" hidden="1" x14ac:dyDescent="0.3">
      <c r="A288" s="16" t="s">
        <v>7</v>
      </c>
      <c r="B288" s="16" t="s">
        <v>24</v>
      </c>
      <c r="C288" s="15">
        <v>12</v>
      </c>
      <c r="D288" s="17">
        <v>750677</v>
      </c>
      <c r="E288" s="17">
        <v>750677</v>
      </c>
      <c r="F288" s="17">
        <v>0</v>
      </c>
      <c r="G288" s="18">
        <v>1</v>
      </c>
      <c r="H288" s="10" t="str">
        <f t="shared" si="4"/>
        <v>GASTOS</v>
      </c>
      <c r="I288" s="19">
        <v>2025</v>
      </c>
    </row>
    <row r="289" spans="1:9" hidden="1" x14ac:dyDescent="0.3">
      <c r="A289" s="16" t="s">
        <v>7</v>
      </c>
      <c r="B289" s="16" t="s">
        <v>42</v>
      </c>
      <c r="C289" s="15">
        <v>12</v>
      </c>
      <c r="D289" s="17">
        <v>187551</v>
      </c>
      <c r="E289" s="17">
        <v>0</v>
      </c>
      <c r="F289" s="17">
        <v>-187551</v>
      </c>
      <c r="G289" s="18">
        <v>0</v>
      </c>
      <c r="H289" s="10" t="str">
        <f t="shared" si="4"/>
        <v>GASTOS</v>
      </c>
      <c r="I289" s="19">
        <v>2025</v>
      </c>
    </row>
    <row r="290" spans="1:9" hidden="1" x14ac:dyDescent="0.3">
      <c r="A290" s="16" t="s">
        <v>7</v>
      </c>
      <c r="B290" s="16" t="s">
        <v>25</v>
      </c>
      <c r="C290" s="15">
        <v>12</v>
      </c>
      <c r="D290" s="17">
        <v>1274167</v>
      </c>
      <c r="E290" s="17">
        <v>0</v>
      </c>
      <c r="F290" s="17">
        <v>-1274167</v>
      </c>
      <c r="G290" s="18">
        <v>0</v>
      </c>
      <c r="H290" s="10" t="str">
        <f t="shared" si="4"/>
        <v>GASTOS</v>
      </c>
      <c r="I290" s="19">
        <v>2025</v>
      </c>
    </row>
    <row r="291" spans="1:9" hidden="1" x14ac:dyDescent="0.3">
      <c r="A291" s="16" t="s">
        <v>7</v>
      </c>
      <c r="B291" s="16" t="s">
        <v>26</v>
      </c>
      <c r="C291" s="15">
        <v>12</v>
      </c>
      <c r="D291" s="17">
        <v>28316985</v>
      </c>
      <c r="E291" s="17">
        <v>5621285</v>
      </c>
      <c r="F291" s="17">
        <v>-22695700</v>
      </c>
      <c r="G291" s="18">
        <v>0.19851283602403294</v>
      </c>
      <c r="H291" s="10" t="str">
        <f t="shared" si="4"/>
        <v>GASTOS</v>
      </c>
      <c r="I291" s="19">
        <v>2025</v>
      </c>
    </row>
    <row r="292" spans="1:9" hidden="1" x14ac:dyDescent="0.3">
      <c r="A292" s="16" t="s">
        <v>7</v>
      </c>
      <c r="B292" s="16" t="s">
        <v>27</v>
      </c>
      <c r="C292" s="15">
        <v>12</v>
      </c>
      <c r="D292" s="17">
        <v>286687</v>
      </c>
      <c r="E292" s="17">
        <v>205862</v>
      </c>
      <c r="F292" s="17">
        <v>-80825</v>
      </c>
      <c r="G292" s="18">
        <v>0.71807232277710542</v>
      </c>
      <c r="H292" s="10" t="str">
        <f t="shared" si="4"/>
        <v>GASTOS</v>
      </c>
      <c r="I292" s="19">
        <v>2025</v>
      </c>
    </row>
    <row r="293" spans="1:9" hidden="1" x14ac:dyDescent="0.3">
      <c r="A293" s="16" t="s">
        <v>7</v>
      </c>
      <c r="B293" s="16" t="s">
        <v>28</v>
      </c>
      <c r="C293" s="15">
        <v>12</v>
      </c>
      <c r="D293" s="17">
        <v>250000</v>
      </c>
      <c r="E293" s="17">
        <v>405574</v>
      </c>
      <c r="F293" s="17">
        <v>155574</v>
      </c>
      <c r="G293" s="18">
        <v>1.622296</v>
      </c>
      <c r="H293" s="10" t="str">
        <f t="shared" si="4"/>
        <v>GASTOS</v>
      </c>
      <c r="I293" s="19">
        <v>2025</v>
      </c>
    </row>
    <row r="294" spans="1:9" hidden="1" x14ac:dyDescent="0.3">
      <c r="A294" s="16" t="s">
        <v>7</v>
      </c>
      <c r="B294" s="16" t="s">
        <v>29</v>
      </c>
      <c r="C294" s="15">
        <v>12</v>
      </c>
      <c r="D294" s="17">
        <v>973395</v>
      </c>
      <c r="E294" s="17">
        <v>1711257</v>
      </c>
      <c r="F294" s="17">
        <v>737862</v>
      </c>
      <c r="G294" s="18">
        <v>1.7580293714268103</v>
      </c>
      <c r="H294" s="10" t="str">
        <f t="shared" si="4"/>
        <v>GASTOS</v>
      </c>
      <c r="I294" s="19">
        <v>2025</v>
      </c>
    </row>
    <row r="295" spans="1:9" hidden="1" x14ac:dyDescent="0.3">
      <c r="A295" s="16" t="s">
        <v>7</v>
      </c>
      <c r="B295" s="16" t="s">
        <v>30</v>
      </c>
      <c r="C295" s="15">
        <v>12</v>
      </c>
      <c r="D295" s="17">
        <v>63682</v>
      </c>
      <c r="E295" s="17">
        <v>0</v>
      </c>
      <c r="F295" s="17">
        <v>-63682</v>
      </c>
      <c r="G295" s="18">
        <v>0</v>
      </c>
      <c r="H295" s="10" t="str">
        <f t="shared" si="4"/>
        <v>GASTOS</v>
      </c>
      <c r="I295" s="19">
        <v>2025</v>
      </c>
    </row>
    <row r="296" spans="1:9" hidden="1" x14ac:dyDescent="0.3">
      <c r="A296" s="16" t="s">
        <v>155</v>
      </c>
      <c r="B296" s="16" t="s">
        <v>31</v>
      </c>
      <c r="C296" s="15">
        <v>12</v>
      </c>
      <c r="D296" s="17">
        <v>150490</v>
      </c>
      <c r="E296" s="17">
        <v>151982</v>
      </c>
      <c r="F296" s="17">
        <v>1492</v>
      </c>
      <c r="G296" s="18">
        <v>1.0099142800186058</v>
      </c>
      <c r="H296" s="10" t="str">
        <f t="shared" si="4"/>
        <v>GASTOS</v>
      </c>
      <c r="I296" s="19">
        <v>2025</v>
      </c>
    </row>
    <row r="297" spans="1:9" hidden="1" x14ac:dyDescent="0.3">
      <c r="A297" s="16" t="s">
        <v>155</v>
      </c>
      <c r="B297" s="16" t="s">
        <v>84</v>
      </c>
      <c r="C297" s="15">
        <v>12</v>
      </c>
      <c r="D297" s="17">
        <v>1021099</v>
      </c>
      <c r="E297" s="17">
        <v>967809</v>
      </c>
      <c r="F297" s="17">
        <v>-53290</v>
      </c>
      <c r="G297" s="18">
        <v>0.94781113290679952</v>
      </c>
      <c r="H297" s="10" t="str">
        <f t="shared" si="4"/>
        <v>GASTOS</v>
      </c>
      <c r="I297" s="19">
        <v>2025</v>
      </c>
    </row>
    <row r="298" spans="1:9" hidden="1" x14ac:dyDescent="0.3">
      <c r="A298" s="16" t="s">
        <v>155</v>
      </c>
      <c r="B298" s="16" t="s">
        <v>32</v>
      </c>
      <c r="C298" s="15">
        <v>12</v>
      </c>
      <c r="D298" s="17">
        <v>1200663</v>
      </c>
      <c r="E298" s="17">
        <v>596099</v>
      </c>
      <c r="F298" s="17">
        <v>-604564</v>
      </c>
      <c r="G298" s="18">
        <v>0.49647486430413867</v>
      </c>
      <c r="H298" s="10" t="str">
        <f t="shared" si="4"/>
        <v>GASTOS</v>
      </c>
      <c r="I298" s="19">
        <v>2025</v>
      </c>
    </row>
    <row r="299" spans="1:9" hidden="1" x14ac:dyDescent="0.3">
      <c r="A299" s="16" t="s">
        <v>155</v>
      </c>
      <c r="B299" s="16" t="s">
        <v>33</v>
      </c>
      <c r="C299" s="15">
        <v>12</v>
      </c>
      <c r="D299" s="17">
        <v>0</v>
      </c>
      <c r="E299" s="17">
        <v>114043</v>
      </c>
      <c r="F299" s="17">
        <v>114043</v>
      </c>
      <c r="G299" s="18">
        <v>0</v>
      </c>
      <c r="H299" s="10" t="str">
        <f t="shared" si="4"/>
        <v>GASTOS</v>
      </c>
      <c r="I299" s="19">
        <v>2025</v>
      </c>
    </row>
    <row r="300" spans="1:9" hidden="1" x14ac:dyDescent="0.3">
      <c r="A300" s="16" t="s">
        <v>155</v>
      </c>
      <c r="B300" s="16" t="s">
        <v>34</v>
      </c>
      <c r="C300" s="15">
        <v>12</v>
      </c>
      <c r="D300" s="17">
        <v>0</v>
      </c>
      <c r="E300" s="17">
        <v>-89847411</v>
      </c>
      <c r="F300" s="17">
        <v>-89847411</v>
      </c>
      <c r="G300" s="18">
        <v>0</v>
      </c>
      <c r="H300" s="10" t="str">
        <f t="shared" si="4"/>
        <v>GASTOS</v>
      </c>
      <c r="I300" s="19">
        <v>2025</v>
      </c>
    </row>
    <row r="301" spans="1:9" hidden="1" x14ac:dyDescent="0.3">
      <c r="A301" s="16" t="s">
        <v>155</v>
      </c>
      <c r="B301" s="16" t="s">
        <v>225</v>
      </c>
      <c r="C301" s="15">
        <v>12</v>
      </c>
      <c r="D301" s="17">
        <v>0</v>
      </c>
      <c r="E301" s="17">
        <v>196100</v>
      </c>
      <c r="F301" s="17">
        <v>196100</v>
      </c>
      <c r="G301" s="18">
        <v>0</v>
      </c>
      <c r="H301" s="10" t="str">
        <f t="shared" si="4"/>
        <v>GASTOS</v>
      </c>
      <c r="I301" s="19">
        <v>2025</v>
      </c>
    </row>
    <row r="302" spans="1:9" hidden="1" x14ac:dyDescent="0.3">
      <c r="A302" s="16" t="s">
        <v>155</v>
      </c>
      <c r="B302" s="16" t="s">
        <v>35</v>
      </c>
      <c r="C302" s="15">
        <v>12</v>
      </c>
      <c r="D302" s="17">
        <v>0</v>
      </c>
      <c r="E302" s="17">
        <v>12951.73</v>
      </c>
      <c r="F302" s="17">
        <v>12951.73</v>
      </c>
      <c r="G302" s="18">
        <v>0</v>
      </c>
      <c r="H302" s="10" t="str">
        <f t="shared" si="4"/>
        <v>GASTOS</v>
      </c>
      <c r="I302" s="19">
        <v>2025</v>
      </c>
    </row>
    <row r="303" spans="1:9" hidden="1" x14ac:dyDescent="0.3">
      <c r="A303" s="16" t="s">
        <v>155</v>
      </c>
      <c r="B303" s="16" t="s">
        <v>37</v>
      </c>
      <c r="C303" s="15">
        <v>12</v>
      </c>
      <c r="D303" s="17">
        <v>14667113</v>
      </c>
      <c r="E303" s="17">
        <v>26720626</v>
      </c>
      <c r="F303" s="17">
        <v>12053513</v>
      </c>
      <c r="G303" s="18">
        <v>1.8218054227849749</v>
      </c>
      <c r="H303" s="10" t="str">
        <f t="shared" si="4"/>
        <v>GASTOS</v>
      </c>
      <c r="I303" s="19">
        <v>2025</v>
      </c>
    </row>
    <row r="304" spans="1:9" hidden="1" x14ac:dyDescent="0.3">
      <c r="A304" s="16" t="s">
        <v>226</v>
      </c>
      <c r="B304" s="16" t="s">
        <v>16</v>
      </c>
      <c r="C304" s="15">
        <v>12</v>
      </c>
      <c r="D304" s="17">
        <v>40000</v>
      </c>
      <c r="E304" s="17">
        <v>0</v>
      </c>
      <c r="F304" s="17">
        <v>-40000</v>
      </c>
      <c r="G304" s="18">
        <v>0</v>
      </c>
      <c r="H304" s="10" t="str">
        <f t="shared" si="4"/>
        <v>COSTOS</v>
      </c>
      <c r="I304" s="19">
        <v>2025</v>
      </c>
    </row>
    <row r="305" spans="1:9" hidden="1" x14ac:dyDescent="0.3">
      <c r="A305" s="16" t="s">
        <v>151</v>
      </c>
      <c r="B305" s="16" t="s">
        <v>40</v>
      </c>
      <c r="C305" s="15">
        <v>10</v>
      </c>
      <c r="D305" s="17">
        <v>4200000</v>
      </c>
      <c r="E305" s="17">
        <v>3968143</v>
      </c>
      <c r="F305" s="17">
        <v>-231857</v>
      </c>
      <c r="G305" s="18">
        <v>0.94479595238095238</v>
      </c>
      <c r="H305" s="10" t="str">
        <f t="shared" si="4"/>
        <v>COSTOS</v>
      </c>
      <c r="I305" s="19">
        <v>2025</v>
      </c>
    </row>
    <row r="306" spans="1:9" hidden="1" x14ac:dyDescent="0.3">
      <c r="A306" s="16" t="s">
        <v>151</v>
      </c>
      <c r="B306" s="16" t="s">
        <v>16</v>
      </c>
      <c r="C306" s="15">
        <v>4</v>
      </c>
      <c r="D306" s="17">
        <v>40000</v>
      </c>
      <c r="E306" s="17">
        <v>0</v>
      </c>
      <c r="F306" s="17">
        <v>-40000</v>
      </c>
      <c r="G306" s="18">
        <v>0</v>
      </c>
      <c r="H306" s="10" t="str">
        <f t="shared" si="4"/>
        <v>COSTOS</v>
      </c>
      <c r="I306" s="19">
        <v>2025</v>
      </c>
    </row>
    <row r="307" spans="1:9" hidden="1" x14ac:dyDescent="0.3">
      <c r="A307" s="16" t="s">
        <v>151</v>
      </c>
      <c r="B307" s="16" t="s">
        <v>16</v>
      </c>
      <c r="C307" s="15">
        <v>8</v>
      </c>
      <c r="D307" s="17">
        <v>40000</v>
      </c>
      <c r="E307" s="17">
        <v>0</v>
      </c>
      <c r="F307" s="17">
        <v>-40000</v>
      </c>
      <c r="G307" s="18">
        <v>0</v>
      </c>
      <c r="H307" s="10" t="str">
        <f t="shared" si="4"/>
        <v>COSTOS</v>
      </c>
      <c r="I307" s="19">
        <v>2025</v>
      </c>
    </row>
    <row r="308" spans="1:9" hidden="1" x14ac:dyDescent="0.3">
      <c r="A308" s="16" t="s">
        <v>151</v>
      </c>
      <c r="B308" s="16" t="s">
        <v>40</v>
      </c>
      <c r="C308" s="15">
        <v>11</v>
      </c>
      <c r="D308" s="17">
        <v>0</v>
      </c>
      <c r="E308" s="17">
        <v>950000</v>
      </c>
      <c r="F308" s="17">
        <v>950000</v>
      </c>
      <c r="G308" s="18">
        <v>0</v>
      </c>
      <c r="H308" s="10" t="str">
        <f t="shared" si="4"/>
        <v>COSTOS</v>
      </c>
      <c r="I308" s="19">
        <v>2025</v>
      </c>
    </row>
    <row r="309" spans="1:9" hidden="1" x14ac:dyDescent="0.3">
      <c r="A309" s="16" t="s">
        <v>87</v>
      </c>
      <c r="B309" s="16" t="s">
        <v>16</v>
      </c>
      <c r="C309" s="15">
        <v>1</v>
      </c>
      <c r="D309" s="17">
        <v>140000</v>
      </c>
      <c r="E309" s="17">
        <v>25000</v>
      </c>
      <c r="F309" s="17">
        <v>-115000</v>
      </c>
      <c r="G309" s="18">
        <v>0.17857142857142858</v>
      </c>
      <c r="H309" s="10" t="str">
        <f t="shared" si="4"/>
        <v>COSTOS</v>
      </c>
      <c r="I309" s="19">
        <v>2025</v>
      </c>
    </row>
    <row r="310" spans="1:9" hidden="1" x14ac:dyDescent="0.3">
      <c r="A310" s="16" t="s">
        <v>87</v>
      </c>
      <c r="B310" s="16" t="s">
        <v>16</v>
      </c>
      <c r="C310" s="15">
        <v>2</v>
      </c>
      <c r="D310" s="17">
        <v>0</v>
      </c>
      <c r="E310" s="17">
        <v>25000</v>
      </c>
      <c r="F310" s="17">
        <v>25000</v>
      </c>
      <c r="G310" s="18">
        <v>0</v>
      </c>
      <c r="H310" s="10" t="str">
        <f t="shared" si="4"/>
        <v>COSTOS</v>
      </c>
      <c r="I310" s="19">
        <v>2025</v>
      </c>
    </row>
    <row r="311" spans="1:9" hidden="1" x14ac:dyDescent="0.3">
      <c r="A311" s="16" t="s">
        <v>87</v>
      </c>
      <c r="B311" s="16" t="s">
        <v>16</v>
      </c>
      <c r="C311" s="15">
        <v>3</v>
      </c>
      <c r="D311" s="17">
        <v>140000</v>
      </c>
      <c r="E311" s="17">
        <v>15000</v>
      </c>
      <c r="F311" s="17">
        <v>-125000</v>
      </c>
      <c r="G311" s="18">
        <v>0.10714285714285715</v>
      </c>
      <c r="H311" s="10" t="str">
        <f t="shared" si="4"/>
        <v>COSTOS</v>
      </c>
      <c r="I311" s="19">
        <v>2025</v>
      </c>
    </row>
    <row r="312" spans="1:9" hidden="1" x14ac:dyDescent="0.3">
      <c r="A312" s="16" t="s">
        <v>87</v>
      </c>
      <c r="B312" s="16" t="s">
        <v>16</v>
      </c>
      <c r="C312" s="15">
        <v>4</v>
      </c>
      <c r="D312" s="17">
        <v>0</v>
      </c>
      <c r="E312" s="17">
        <v>22000</v>
      </c>
      <c r="F312" s="17">
        <v>22000</v>
      </c>
      <c r="G312" s="18">
        <v>0</v>
      </c>
      <c r="H312" s="10" t="str">
        <f t="shared" si="4"/>
        <v>COSTOS</v>
      </c>
      <c r="I312" s="19">
        <v>2025</v>
      </c>
    </row>
    <row r="313" spans="1:9" hidden="1" x14ac:dyDescent="0.3">
      <c r="A313" s="16" t="s">
        <v>87</v>
      </c>
      <c r="B313" s="16" t="s">
        <v>16</v>
      </c>
      <c r="C313" s="15">
        <v>5</v>
      </c>
      <c r="D313" s="17">
        <v>140000</v>
      </c>
      <c r="E313" s="17">
        <v>12000</v>
      </c>
      <c r="F313" s="17">
        <v>-128000</v>
      </c>
      <c r="G313" s="18">
        <v>8.5714285714285715E-2</v>
      </c>
      <c r="H313" s="10" t="str">
        <f t="shared" si="4"/>
        <v>COSTOS</v>
      </c>
      <c r="I313" s="19">
        <v>2025</v>
      </c>
    </row>
    <row r="314" spans="1:9" hidden="1" x14ac:dyDescent="0.3">
      <c r="A314" s="16" t="s">
        <v>87</v>
      </c>
      <c r="B314" s="16" t="s">
        <v>16</v>
      </c>
      <c r="C314" s="15">
        <v>6</v>
      </c>
      <c r="D314" s="17">
        <v>0</v>
      </c>
      <c r="E314" s="17">
        <v>22000</v>
      </c>
      <c r="F314" s="17">
        <v>22000</v>
      </c>
      <c r="G314" s="18">
        <v>0</v>
      </c>
      <c r="H314" s="10" t="str">
        <f t="shared" si="4"/>
        <v>COSTOS</v>
      </c>
      <c r="I314" s="19">
        <v>2025</v>
      </c>
    </row>
    <row r="315" spans="1:9" hidden="1" x14ac:dyDescent="0.3">
      <c r="A315" s="16" t="s">
        <v>87</v>
      </c>
      <c r="B315" s="16" t="s">
        <v>16</v>
      </c>
      <c r="C315" s="15">
        <v>7</v>
      </c>
      <c r="D315" s="17">
        <v>140000</v>
      </c>
      <c r="E315" s="17">
        <v>32000</v>
      </c>
      <c r="F315" s="17">
        <v>-108000</v>
      </c>
      <c r="G315" s="18">
        <v>0.22857142857142859</v>
      </c>
      <c r="H315" s="10" t="str">
        <f t="shared" si="4"/>
        <v>COSTOS</v>
      </c>
      <c r="I315" s="19">
        <v>2025</v>
      </c>
    </row>
    <row r="316" spans="1:9" hidden="1" x14ac:dyDescent="0.3">
      <c r="A316" s="16" t="s">
        <v>87</v>
      </c>
      <c r="B316" s="16" t="s">
        <v>16</v>
      </c>
      <c r="C316" s="15">
        <v>9</v>
      </c>
      <c r="D316" s="17">
        <v>140000</v>
      </c>
      <c r="E316" s="17">
        <v>18000</v>
      </c>
      <c r="F316" s="17">
        <v>-122000</v>
      </c>
      <c r="G316" s="18">
        <v>0.12857142857142859</v>
      </c>
      <c r="H316" s="10" t="str">
        <f t="shared" si="4"/>
        <v>COSTOS</v>
      </c>
      <c r="I316" s="19">
        <v>2025</v>
      </c>
    </row>
    <row r="317" spans="1:9" hidden="1" x14ac:dyDescent="0.3">
      <c r="A317" s="16" t="s">
        <v>87</v>
      </c>
      <c r="B317" s="16" t="s">
        <v>16</v>
      </c>
      <c r="C317" s="15">
        <v>10</v>
      </c>
      <c r="D317" s="17">
        <v>0</v>
      </c>
      <c r="E317" s="17">
        <v>110000</v>
      </c>
      <c r="F317" s="17">
        <v>110000</v>
      </c>
      <c r="G317" s="18">
        <v>0</v>
      </c>
      <c r="H317" s="10" t="str">
        <f t="shared" si="4"/>
        <v>COSTOS</v>
      </c>
      <c r="I317" s="19">
        <v>2025</v>
      </c>
    </row>
    <row r="318" spans="1:9" hidden="1" x14ac:dyDescent="0.3">
      <c r="A318" s="16" t="s">
        <v>87</v>
      </c>
      <c r="B318" s="16" t="s">
        <v>28</v>
      </c>
      <c r="C318" s="15">
        <v>1</v>
      </c>
      <c r="D318" s="17">
        <v>200000</v>
      </c>
      <c r="E318" s="17">
        <v>107226</v>
      </c>
      <c r="F318" s="17">
        <v>-92774</v>
      </c>
      <c r="G318" s="18">
        <v>0.53613</v>
      </c>
      <c r="H318" s="10" t="str">
        <f t="shared" si="4"/>
        <v>COSTOS</v>
      </c>
      <c r="I318" s="19">
        <v>2025</v>
      </c>
    </row>
    <row r="319" spans="1:9" hidden="1" x14ac:dyDescent="0.3">
      <c r="A319" s="16" t="s">
        <v>87</v>
      </c>
      <c r="B319" s="16" t="s">
        <v>28</v>
      </c>
      <c r="C319" s="15">
        <v>2</v>
      </c>
      <c r="D319" s="17">
        <v>0</v>
      </c>
      <c r="E319" s="17">
        <v>31849</v>
      </c>
      <c r="F319" s="17">
        <v>31849</v>
      </c>
      <c r="G319" s="18">
        <v>0</v>
      </c>
      <c r="H319" s="10" t="str">
        <f t="shared" si="4"/>
        <v>COSTOS</v>
      </c>
      <c r="I319" s="19">
        <v>2025</v>
      </c>
    </row>
    <row r="320" spans="1:9" hidden="1" x14ac:dyDescent="0.3">
      <c r="A320" s="16" t="s">
        <v>87</v>
      </c>
      <c r="B320" s="16" t="s">
        <v>28</v>
      </c>
      <c r="C320" s="15">
        <v>3</v>
      </c>
      <c r="D320" s="17">
        <v>200000</v>
      </c>
      <c r="E320" s="17">
        <v>0</v>
      </c>
      <c r="F320" s="17">
        <v>-200000</v>
      </c>
      <c r="G320" s="18">
        <v>0</v>
      </c>
      <c r="H320" s="10" t="str">
        <f t="shared" si="4"/>
        <v>COSTOS</v>
      </c>
      <c r="I320" s="19">
        <v>2025</v>
      </c>
    </row>
    <row r="321" spans="1:9" hidden="1" x14ac:dyDescent="0.3">
      <c r="A321" s="16" t="s">
        <v>87</v>
      </c>
      <c r="B321" s="16" t="s">
        <v>28</v>
      </c>
      <c r="C321" s="15">
        <v>4</v>
      </c>
      <c r="D321" s="17">
        <v>0</v>
      </c>
      <c r="E321" s="17">
        <v>91009</v>
      </c>
      <c r="F321" s="17">
        <v>91009</v>
      </c>
      <c r="G321" s="18">
        <v>0</v>
      </c>
      <c r="H321" s="10" t="str">
        <f t="shared" si="4"/>
        <v>COSTOS</v>
      </c>
      <c r="I321" s="19">
        <v>2025</v>
      </c>
    </row>
    <row r="322" spans="1:9" hidden="1" x14ac:dyDescent="0.3">
      <c r="A322" s="16" t="s">
        <v>87</v>
      </c>
      <c r="B322" s="16" t="s">
        <v>28</v>
      </c>
      <c r="C322" s="15">
        <v>5</v>
      </c>
      <c r="D322" s="17">
        <v>200000</v>
      </c>
      <c r="E322" s="17">
        <v>0</v>
      </c>
      <c r="F322" s="17">
        <v>-200000</v>
      </c>
      <c r="G322" s="18">
        <v>0</v>
      </c>
      <c r="H322" s="10" t="str">
        <f t="shared" si="4"/>
        <v>COSTOS</v>
      </c>
      <c r="I322" s="19">
        <v>2025</v>
      </c>
    </row>
    <row r="323" spans="1:9" hidden="1" x14ac:dyDescent="0.3">
      <c r="A323" s="16" t="s">
        <v>87</v>
      </c>
      <c r="B323" s="16" t="s">
        <v>28</v>
      </c>
      <c r="C323" s="15">
        <v>7</v>
      </c>
      <c r="D323" s="17">
        <v>200000</v>
      </c>
      <c r="E323" s="17">
        <v>107226</v>
      </c>
      <c r="F323" s="17">
        <v>-92774</v>
      </c>
      <c r="G323" s="18">
        <v>0.53613</v>
      </c>
      <c r="H323" s="10" t="str">
        <f t="shared" ref="H323:H386" si="5">+IF(OR(A323="ADMINISTRACION",A323="COMERCIAL",A323="COMERCIAL-EXPORTACIONES",A323="LEASING DE LA BODEGA",A323="LOGISTICA-SALIDA",A323="OTROS GASTOS",A323="BODEGA ALQUILADA", A323="BODEGA CARTOPLAST", A323="BODEGA CARTOPLAS", A323= "GESTION HUMANA-OTROS GASTOS"),"GASTOS","COSTOS")</f>
        <v>COSTOS</v>
      </c>
      <c r="I323" s="19">
        <v>2025</v>
      </c>
    </row>
    <row r="324" spans="1:9" hidden="1" x14ac:dyDescent="0.3">
      <c r="A324" s="16" t="s">
        <v>87</v>
      </c>
      <c r="B324" s="16" t="s">
        <v>28</v>
      </c>
      <c r="C324" s="15">
        <v>9</v>
      </c>
      <c r="D324" s="17">
        <v>200000</v>
      </c>
      <c r="E324" s="17">
        <v>0</v>
      </c>
      <c r="F324" s="17">
        <v>-200000</v>
      </c>
      <c r="G324" s="18">
        <v>0</v>
      </c>
      <c r="H324" s="10" t="str">
        <f t="shared" si="5"/>
        <v>COSTOS</v>
      </c>
      <c r="I324" s="19">
        <v>2025</v>
      </c>
    </row>
    <row r="325" spans="1:9" hidden="1" x14ac:dyDescent="0.3">
      <c r="A325" s="16" t="s">
        <v>87</v>
      </c>
      <c r="B325" s="16" t="s">
        <v>28</v>
      </c>
      <c r="C325" s="15">
        <v>10</v>
      </c>
      <c r="D325" s="17">
        <v>0</v>
      </c>
      <c r="E325" s="17">
        <v>533667</v>
      </c>
      <c r="F325" s="17">
        <v>533667</v>
      </c>
      <c r="G325" s="18">
        <v>0</v>
      </c>
      <c r="H325" s="10" t="str">
        <f t="shared" si="5"/>
        <v>COSTOS</v>
      </c>
      <c r="I325" s="19">
        <v>2025</v>
      </c>
    </row>
    <row r="326" spans="1:9" hidden="1" x14ac:dyDescent="0.3">
      <c r="A326" s="16" t="s">
        <v>87</v>
      </c>
      <c r="B326" s="16" t="s">
        <v>16</v>
      </c>
      <c r="C326" s="15">
        <v>11</v>
      </c>
      <c r="D326" s="17">
        <v>140000</v>
      </c>
      <c r="E326" s="17">
        <v>0</v>
      </c>
      <c r="F326" s="17">
        <v>-140000</v>
      </c>
      <c r="G326" s="18">
        <v>0</v>
      </c>
      <c r="H326" s="10" t="str">
        <f t="shared" si="5"/>
        <v>COSTOS</v>
      </c>
      <c r="I326" s="19">
        <v>2025</v>
      </c>
    </row>
    <row r="327" spans="1:9" hidden="1" x14ac:dyDescent="0.3">
      <c r="A327" s="16" t="s">
        <v>87</v>
      </c>
      <c r="B327" s="16" t="s">
        <v>28</v>
      </c>
      <c r="C327" s="15">
        <v>11</v>
      </c>
      <c r="D327" s="17">
        <v>200000</v>
      </c>
      <c r="E327" s="17">
        <v>53613</v>
      </c>
      <c r="F327" s="17">
        <v>-146387</v>
      </c>
      <c r="G327" s="18">
        <v>0.268065</v>
      </c>
      <c r="H327" s="10" t="str">
        <f t="shared" si="5"/>
        <v>COSTOS</v>
      </c>
      <c r="I327" s="19">
        <v>2025</v>
      </c>
    </row>
    <row r="328" spans="1:9" hidden="1" x14ac:dyDescent="0.3">
      <c r="A328" s="16" t="s">
        <v>87</v>
      </c>
      <c r="B328" s="16" t="s">
        <v>16</v>
      </c>
      <c r="C328" s="15">
        <v>12</v>
      </c>
      <c r="D328" s="17">
        <v>0</v>
      </c>
      <c r="E328" s="17">
        <v>12000</v>
      </c>
      <c r="F328" s="17">
        <v>12000</v>
      </c>
      <c r="G328" s="18">
        <v>0</v>
      </c>
      <c r="H328" s="10" t="str">
        <f t="shared" si="5"/>
        <v>COSTOS</v>
      </c>
      <c r="I328" s="19">
        <v>2025</v>
      </c>
    </row>
    <row r="329" spans="1:9" hidden="1" x14ac:dyDescent="0.3">
      <c r="A329" s="16" t="s">
        <v>88</v>
      </c>
      <c r="B329" s="16" t="s">
        <v>40</v>
      </c>
      <c r="C329" s="15">
        <v>1</v>
      </c>
      <c r="D329" s="17">
        <v>0</v>
      </c>
      <c r="E329" s="17">
        <v>1643977</v>
      </c>
      <c r="F329" s="17">
        <v>1643977</v>
      </c>
      <c r="G329" s="18">
        <v>0</v>
      </c>
      <c r="H329" s="10" t="str">
        <f t="shared" si="5"/>
        <v>COSTOS</v>
      </c>
      <c r="I329" s="19">
        <v>2025</v>
      </c>
    </row>
    <row r="330" spans="1:9" hidden="1" x14ac:dyDescent="0.3">
      <c r="A330" s="16" t="s">
        <v>152</v>
      </c>
      <c r="B330" s="16" t="s">
        <v>40</v>
      </c>
      <c r="C330" s="15">
        <v>4</v>
      </c>
      <c r="D330" s="17">
        <v>650000</v>
      </c>
      <c r="E330" s="17">
        <v>0</v>
      </c>
      <c r="F330" s="17">
        <v>-650000</v>
      </c>
      <c r="G330" s="18">
        <v>0</v>
      </c>
      <c r="H330" s="10" t="str">
        <f t="shared" si="5"/>
        <v>COSTOS</v>
      </c>
      <c r="I330" s="19">
        <v>2025</v>
      </c>
    </row>
    <row r="331" spans="1:9" hidden="1" x14ac:dyDescent="0.3">
      <c r="A331" s="16" t="s">
        <v>152</v>
      </c>
      <c r="B331" s="16" t="s">
        <v>40</v>
      </c>
      <c r="C331" s="15">
        <v>8</v>
      </c>
      <c r="D331" s="17">
        <v>650000</v>
      </c>
      <c r="E331" s="17">
        <v>0</v>
      </c>
      <c r="F331" s="17">
        <v>-650000</v>
      </c>
      <c r="G331" s="18">
        <v>0</v>
      </c>
      <c r="H331" s="10" t="str">
        <f t="shared" si="5"/>
        <v>COSTOS</v>
      </c>
      <c r="I331" s="19">
        <v>2025</v>
      </c>
    </row>
    <row r="332" spans="1:9" hidden="1" x14ac:dyDescent="0.3">
      <c r="A332" s="16" t="s">
        <v>89</v>
      </c>
      <c r="B332" s="16" t="s">
        <v>14</v>
      </c>
      <c r="C332" s="15">
        <v>1</v>
      </c>
      <c r="D332" s="17">
        <v>2000000</v>
      </c>
      <c r="E332" s="17">
        <v>0</v>
      </c>
      <c r="F332" s="17">
        <v>-2000000</v>
      </c>
      <c r="G332" s="18">
        <v>0</v>
      </c>
      <c r="H332" s="10" t="str">
        <f t="shared" si="5"/>
        <v>COSTOS</v>
      </c>
      <c r="I332" s="19">
        <v>2025</v>
      </c>
    </row>
    <row r="333" spans="1:9" hidden="1" x14ac:dyDescent="0.3">
      <c r="A333" s="16" t="s">
        <v>89</v>
      </c>
      <c r="B333" s="16" t="s">
        <v>14</v>
      </c>
      <c r="C333" s="15">
        <v>2</v>
      </c>
      <c r="D333" s="17">
        <v>0</v>
      </c>
      <c r="E333" s="17">
        <v>815240</v>
      </c>
      <c r="F333" s="17">
        <v>815240</v>
      </c>
      <c r="G333" s="18">
        <v>0</v>
      </c>
      <c r="H333" s="10" t="str">
        <f t="shared" si="5"/>
        <v>COSTOS</v>
      </c>
      <c r="I333" s="19">
        <v>2025</v>
      </c>
    </row>
    <row r="334" spans="1:9" hidden="1" x14ac:dyDescent="0.3">
      <c r="A334" s="16" t="s">
        <v>89</v>
      </c>
      <c r="B334" s="16" t="s">
        <v>14</v>
      </c>
      <c r="C334" s="15">
        <v>3</v>
      </c>
      <c r="D334" s="17">
        <v>2200000</v>
      </c>
      <c r="E334" s="17">
        <v>1384840</v>
      </c>
      <c r="F334" s="17">
        <v>-815160</v>
      </c>
      <c r="G334" s="18">
        <v>0.62947272727272729</v>
      </c>
      <c r="H334" s="10" t="str">
        <f t="shared" si="5"/>
        <v>COSTOS</v>
      </c>
      <c r="I334" s="19">
        <v>2025</v>
      </c>
    </row>
    <row r="335" spans="1:9" hidden="1" x14ac:dyDescent="0.3">
      <c r="A335" s="16" t="s">
        <v>89</v>
      </c>
      <c r="B335" s="16" t="s">
        <v>14</v>
      </c>
      <c r="C335" s="15">
        <v>5</v>
      </c>
      <c r="D335" s="17">
        <v>2200000</v>
      </c>
      <c r="E335" s="17">
        <v>0</v>
      </c>
      <c r="F335" s="17">
        <v>-2200000</v>
      </c>
      <c r="G335" s="18">
        <v>0</v>
      </c>
      <c r="H335" s="10" t="str">
        <f t="shared" si="5"/>
        <v>COSTOS</v>
      </c>
      <c r="I335" s="19">
        <v>2025</v>
      </c>
    </row>
    <row r="336" spans="1:9" hidden="1" x14ac:dyDescent="0.3">
      <c r="A336" s="16" t="s">
        <v>89</v>
      </c>
      <c r="B336" s="16" t="s">
        <v>14</v>
      </c>
      <c r="C336" s="15">
        <v>6</v>
      </c>
      <c r="D336" s="17">
        <v>0</v>
      </c>
      <c r="E336" s="17">
        <v>729800</v>
      </c>
      <c r="F336" s="17">
        <v>729800</v>
      </c>
      <c r="G336" s="18">
        <v>0</v>
      </c>
      <c r="H336" s="10" t="str">
        <f t="shared" si="5"/>
        <v>COSTOS</v>
      </c>
      <c r="I336" s="19">
        <v>2025</v>
      </c>
    </row>
    <row r="337" spans="1:9" hidden="1" x14ac:dyDescent="0.3">
      <c r="A337" s="16" t="s">
        <v>89</v>
      </c>
      <c r="B337" s="16" t="s">
        <v>14</v>
      </c>
      <c r="C337" s="15">
        <v>7</v>
      </c>
      <c r="D337" s="17">
        <v>2200000</v>
      </c>
      <c r="E337" s="17">
        <v>1429696</v>
      </c>
      <c r="F337" s="17">
        <v>-770304</v>
      </c>
      <c r="G337" s="18">
        <v>0.64986181818181821</v>
      </c>
      <c r="H337" s="10" t="str">
        <f t="shared" si="5"/>
        <v>COSTOS</v>
      </c>
      <c r="I337" s="19">
        <v>2025</v>
      </c>
    </row>
    <row r="338" spans="1:9" hidden="1" x14ac:dyDescent="0.3">
      <c r="A338" s="16" t="s">
        <v>89</v>
      </c>
      <c r="B338" s="16" t="s">
        <v>14</v>
      </c>
      <c r="C338" s="15">
        <v>9</v>
      </c>
      <c r="D338" s="17">
        <v>2200000</v>
      </c>
      <c r="E338" s="17">
        <v>1097548</v>
      </c>
      <c r="F338" s="17">
        <v>-1102452</v>
      </c>
      <c r="G338" s="18">
        <v>0.49888545454545458</v>
      </c>
      <c r="H338" s="10" t="str">
        <f t="shared" si="5"/>
        <v>COSTOS</v>
      </c>
      <c r="I338" s="19">
        <v>2025</v>
      </c>
    </row>
    <row r="339" spans="1:9" hidden="1" x14ac:dyDescent="0.3">
      <c r="A339" s="16" t="s">
        <v>89</v>
      </c>
      <c r="B339" s="16" t="s">
        <v>16</v>
      </c>
      <c r="C339" s="15">
        <v>2</v>
      </c>
      <c r="D339" s="17">
        <v>0</v>
      </c>
      <c r="E339" s="17">
        <v>285000</v>
      </c>
      <c r="F339" s="17">
        <v>285000</v>
      </c>
      <c r="G339" s="18">
        <v>0</v>
      </c>
      <c r="H339" s="10" t="str">
        <f t="shared" si="5"/>
        <v>COSTOS</v>
      </c>
      <c r="I339" s="19">
        <v>2025</v>
      </c>
    </row>
    <row r="340" spans="1:9" hidden="1" x14ac:dyDescent="0.3">
      <c r="A340" s="16" t="s">
        <v>89</v>
      </c>
      <c r="B340" s="16" t="s">
        <v>16</v>
      </c>
      <c r="C340" s="15">
        <v>3</v>
      </c>
      <c r="D340" s="17">
        <v>0</v>
      </c>
      <c r="E340" s="17">
        <v>285000</v>
      </c>
      <c r="F340" s="17">
        <v>285000</v>
      </c>
      <c r="G340" s="18">
        <v>0</v>
      </c>
      <c r="H340" s="10" t="str">
        <f t="shared" si="5"/>
        <v>COSTOS</v>
      </c>
      <c r="I340" s="19">
        <v>2025</v>
      </c>
    </row>
    <row r="341" spans="1:9" hidden="1" x14ac:dyDescent="0.3">
      <c r="A341" s="16" t="s">
        <v>89</v>
      </c>
      <c r="B341" s="16" t="s">
        <v>16</v>
      </c>
      <c r="C341" s="15">
        <v>6</v>
      </c>
      <c r="D341" s="17">
        <v>0</v>
      </c>
      <c r="E341" s="17">
        <v>285000</v>
      </c>
      <c r="F341" s="17">
        <v>285000</v>
      </c>
      <c r="G341" s="18">
        <v>0</v>
      </c>
      <c r="H341" s="10" t="str">
        <f t="shared" si="5"/>
        <v>COSTOS</v>
      </c>
      <c r="I341" s="19">
        <v>2025</v>
      </c>
    </row>
    <row r="342" spans="1:9" hidden="1" x14ac:dyDescent="0.3">
      <c r="A342" s="16" t="s">
        <v>89</v>
      </c>
      <c r="B342" s="16" t="s">
        <v>16</v>
      </c>
      <c r="C342" s="15">
        <v>7</v>
      </c>
      <c r="D342" s="17">
        <v>0</v>
      </c>
      <c r="E342" s="17">
        <v>285000</v>
      </c>
      <c r="F342" s="17">
        <v>285000</v>
      </c>
      <c r="G342" s="18">
        <v>0</v>
      </c>
      <c r="H342" s="10" t="str">
        <f t="shared" si="5"/>
        <v>COSTOS</v>
      </c>
      <c r="I342" s="19">
        <v>2025</v>
      </c>
    </row>
    <row r="343" spans="1:9" hidden="1" x14ac:dyDescent="0.3">
      <c r="A343" s="16" t="s">
        <v>89</v>
      </c>
      <c r="B343" s="16" t="s">
        <v>16</v>
      </c>
      <c r="C343" s="15">
        <v>9</v>
      </c>
      <c r="D343" s="17">
        <v>0</v>
      </c>
      <c r="E343" s="17">
        <v>297000</v>
      </c>
      <c r="F343" s="17">
        <v>297000</v>
      </c>
      <c r="G343" s="18">
        <v>0</v>
      </c>
      <c r="H343" s="10" t="str">
        <f t="shared" si="5"/>
        <v>COSTOS</v>
      </c>
      <c r="I343" s="19">
        <v>2025</v>
      </c>
    </row>
    <row r="344" spans="1:9" hidden="1" x14ac:dyDescent="0.3">
      <c r="A344" s="16" t="s">
        <v>89</v>
      </c>
      <c r="B344" s="16" t="s">
        <v>14</v>
      </c>
      <c r="C344" s="15">
        <v>11</v>
      </c>
      <c r="D344" s="17">
        <v>2200000</v>
      </c>
      <c r="E344" s="17">
        <v>1535072</v>
      </c>
      <c r="F344" s="17">
        <v>-664928</v>
      </c>
      <c r="G344" s="18">
        <v>0.69776000000000005</v>
      </c>
      <c r="H344" s="10" t="str">
        <f t="shared" si="5"/>
        <v>COSTOS</v>
      </c>
      <c r="I344" s="19">
        <v>2025</v>
      </c>
    </row>
    <row r="345" spans="1:9" hidden="1" x14ac:dyDescent="0.3">
      <c r="A345" s="16" t="s">
        <v>89</v>
      </c>
      <c r="B345" s="16" t="s">
        <v>16</v>
      </c>
      <c r="C345" s="15">
        <v>11</v>
      </c>
      <c r="D345" s="17">
        <v>0</v>
      </c>
      <c r="E345" s="17">
        <v>285000</v>
      </c>
      <c r="F345" s="17">
        <v>285000</v>
      </c>
      <c r="G345" s="18">
        <v>0</v>
      </c>
      <c r="H345" s="10" t="str">
        <f t="shared" si="5"/>
        <v>COSTOS</v>
      </c>
      <c r="I345" s="19">
        <v>2025</v>
      </c>
    </row>
    <row r="346" spans="1:9" hidden="1" x14ac:dyDescent="0.3">
      <c r="A346" s="16" t="s">
        <v>219</v>
      </c>
      <c r="B346" s="16" t="s">
        <v>109</v>
      </c>
      <c r="C346" s="15">
        <v>3</v>
      </c>
      <c r="D346" s="17">
        <v>11647335</v>
      </c>
      <c r="E346" s="17">
        <v>0</v>
      </c>
      <c r="F346" s="17">
        <v>-11647335</v>
      </c>
      <c r="G346" s="18">
        <v>0</v>
      </c>
      <c r="H346" s="10" t="str">
        <f t="shared" si="5"/>
        <v>GASTOS</v>
      </c>
      <c r="I346" s="19">
        <v>2025</v>
      </c>
    </row>
    <row r="347" spans="1:9" hidden="1" x14ac:dyDescent="0.3">
      <c r="A347" s="16" t="s">
        <v>219</v>
      </c>
      <c r="B347" s="16" t="s">
        <v>109</v>
      </c>
      <c r="C347" s="15">
        <v>5</v>
      </c>
      <c r="D347" s="17">
        <v>0</v>
      </c>
      <c r="E347" s="17">
        <v>37668948</v>
      </c>
      <c r="F347" s="17">
        <v>37668948</v>
      </c>
      <c r="G347" s="18">
        <v>0</v>
      </c>
      <c r="H347" s="10" t="str">
        <f t="shared" si="5"/>
        <v>GASTOS</v>
      </c>
      <c r="I347" s="19">
        <v>2025</v>
      </c>
    </row>
    <row r="348" spans="1:9" hidden="1" x14ac:dyDescent="0.3">
      <c r="A348" s="16" t="s">
        <v>219</v>
      </c>
      <c r="B348" s="16" t="s">
        <v>109</v>
      </c>
      <c r="C348" s="15">
        <v>6</v>
      </c>
      <c r="D348" s="17">
        <v>11647335</v>
      </c>
      <c r="E348" s="17">
        <v>0</v>
      </c>
      <c r="F348" s="17">
        <v>-11647335</v>
      </c>
      <c r="G348" s="18">
        <v>0</v>
      </c>
      <c r="H348" s="10" t="str">
        <f t="shared" si="5"/>
        <v>GASTOS</v>
      </c>
      <c r="I348" s="19">
        <v>2025</v>
      </c>
    </row>
    <row r="349" spans="1:9" hidden="1" x14ac:dyDescent="0.3">
      <c r="A349" s="16" t="s">
        <v>219</v>
      </c>
      <c r="B349" s="16" t="s">
        <v>109</v>
      </c>
      <c r="C349" s="15">
        <v>9</v>
      </c>
      <c r="D349" s="17">
        <v>11647335</v>
      </c>
      <c r="E349" s="17">
        <v>0</v>
      </c>
      <c r="F349" s="17">
        <v>-11647335</v>
      </c>
      <c r="G349" s="18">
        <v>0</v>
      </c>
      <c r="H349" s="10" t="str">
        <f t="shared" si="5"/>
        <v>GASTOS</v>
      </c>
      <c r="I349" s="19">
        <v>2025</v>
      </c>
    </row>
    <row r="350" spans="1:9" hidden="1" x14ac:dyDescent="0.3">
      <c r="A350" s="16" t="s">
        <v>219</v>
      </c>
      <c r="B350" s="16" t="s">
        <v>66</v>
      </c>
      <c r="C350" s="15">
        <v>1</v>
      </c>
      <c r="D350" s="17">
        <v>50679000</v>
      </c>
      <c r="E350" s="17">
        <v>50679000</v>
      </c>
      <c r="F350" s="17">
        <v>0</v>
      </c>
      <c r="G350" s="18">
        <v>1</v>
      </c>
      <c r="H350" s="10" t="str">
        <f t="shared" si="5"/>
        <v>GASTOS</v>
      </c>
      <c r="I350" s="19">
        <v>2025</v>
      </c>
    </row>
    <row r="351" spans="1:9" hidden="1" x14ac:dyDescent="0.3">
      <c r="A351" s="16" t="s">
        <v>219</v>
      </c>
      <c r="B351" s="16" t="s">
        <v>102</v>
      </c>
      <c r="C351" s="15">
        <v>4</v>
      </c>
      <c r="D351" s="17">
        <v>6153426</v>
      </c>
      <c r="E351" s="17">
        <v>0</v>
      </c>
      <c r="F351" s="17">
        <v>-6153426</v>
      </c>
      <c r="G351" s="18">
        <v>0</v>
      </c>
      <c r="H351" s="10" t="str">
        <f t="shared" si="5"/>
        <v>GASTOS</v>
      </c>
      <c r="I351" s="19">
        <v>2025</v>
      </c>
    </row>
    <row r="352" spans="1:9" hidden="1" x14ac:dyDescent="0.3">
      <c r="A352" s="16" t="s">
        <v>219</v>
      </c>
      <c r="B352" s="16" t="s">
        <v>102</v>
      </c>
      <c r="C352" s="15">
        <v>5</v>
      </c>
      <c r="D352" s="17">
        <v>0</v>
      </c>
      <c r="E352" s="17">
        <v>537393</v>
      </c>
      <c r="F352" s="17">
        <v>537393</v>
      </c>
      <c r="G352" s="18">
        <v>0</v>
      </c>
      <c r="H352" s="10" t="str">
        <f t="shared" si="5"/>
        <v>GASTOS</v>
      </c>
      <c r="I352" s="19">
        <v>2025</v>
      </c>
    </row>
    <row r="353" spans="1:9" hidden="1" x14ac:dyDescent="0.3">
      <c r="A353" s="16" t="s">
        <v>219</v>
      </c>
      <c r="B353" s="16" t="s">
        <v>102</v>
      </c>
      <c r="C353" s="15">
        <v>6</v>
      </c>
      <c r="D353" s="17">
        <v>0</v>
      </c>
      <c r="E353" s="17">
        <v>537393</v>
      </c>
      <c r="F353" s="17">
        <v>537393</v>
      </c>
      <c r="G353" s="18">
        <v>0</v>
      </c>
      <c r="H353" s="10" t="str">
        <f t="shared" si="5"/>
        <v>GASTOS</v>
      </c>
      <c r="I353" s="19">
        <v>2025</v>
      </c>
    </row>
    <row r="354" spans="1:9" hidden="1" x14ac:dyDescent="0.3">
      <c r="A354" s="16" t="s">
        <v>219</v>
      </c>
      <c r="B354" s="16" t="s">
        <v>102</v>
      </c>
      <c r="C354" s="15">
        <v>7</v>
      </c>
      <c r="D354" s="17">
        <v>0</v>
      </c>
      <c r="E354" s="17">
        <v>537393</v>
      </c>
      <c r="F354" s="17">
        <v>537393</v>
      </c>
      <c r="G354" s="18">
        <v>0</v>
      </c>
      <c r="H354" s="10" t="str">
        <f t="shared" si="5"/>
        <v>GASTOS</v>
      </c>
      <c r="I354" s="19">
        <v>2025</v>
      </c>
    </row>
    <row r="355" spans="1:9" hidden="1" x14ac:dyDescent="0.3">
      <c r="A355" s="16" t="s">
        <v>219</v>
      </c>
      <c r="B355" s="16" t="s">
        <v>102</v>
      </c>
      <c r="C355" s="15">
        <v>8</v>
      </c>
      <c r="D355" s="17">
        <v>0</v>
      </c>
      <c r="E355" s="17">
        <v>537393</v>
      </c>
      <c r="F355" s="17">
        <v>537393</v>
      </c>
      <c r="G355" s="18">
        <v>0</v>
      </c>
      <c r="H355" s="10" t="str">
        <f t="shared" si="5"/>
        <v>GASTOS</v>
      </c>
      <c r="I355" s="19">
        <v>2025</v>
      </c>
    </row>
    <row r="356" spans="1:9" hidden="1" x14ac:dyDescent="0.3">
      <c r="A356" s="16" t="s">
        <v>219</v>
      </c>
      <c r="B356" s="16" t="s">
        <v>102</v>
      </c>
      <c r="C356" s="15">
        <v>9</v>
      </c>
      <c r="D356" s="17">
        <v>0</v>
      </c>
      <c r="E356" s="17">
        <v>537393</v>
      </c>
      <c r="F356" s="17">
        <v>537393</v>
      </c>
      <c r="G356" s="18">
        <v>0</v>
      </c>
      <c r="H356" s="10" t="str">
        <f t="shared" si="5"/>
        <v>GASTOS</v>
      </c>
      <c r="I356" s="19">
        <v>2025</v>
      </c>
    </row>
    <row r="357" spans="1:9" hidden="1" x14ac:dyDescent="0.3">
      <c r="A357" s="16" t="s">
        <v>219</v>
      </c>
      <c r="B357" s="16" t="s">
        <v>102</v>
      </c>
      <c r="C357" s="15">
        <v>10</v>
      </c>
      <c r="D357" s="17">
        <v>0</v>
      </c>
      <c r="E357" s="17">
        <v>537393</v>
      </c>
      <c r="F357" s="17">
        <v>537393</v>
      </c>
      <c r="G357" s="18">
        <v>0</v>
      </c>
      <c r="H357" s="10" t="str">
        <f t="shared" si="5"/>
        <v>GASTOS</v>
      </c>
      <c r="I357" s="19">
        <v>2025</v>
      </c>
    </row>
    <row r="358" spans="1:9" hidden="1" x14ac:dyDescent="0.3">
      <c r="A358" s="16" t="s">
        <v>219</v>
      </c>
      <c r="B358" s="16" t="s">
        <v>19</v>
      </c>
      <c r="C358" s="15">
        <v>1</v>
      </c>
      <c r="D358" s="17">
        <v>68085700</v>
      </c>
      <c r="E358" s="17">
        <v>68085700</v>
      </c>
      <c r="F358" s="17">
        <v>0</v>
      </c>
      <c r="G358" s="18">
        <v>1</v>
      </c>
      <c r="H358" s="10" t="str">
        <f t="shared" si="5"/>
        <v>GASTOS</v>
      </c>
      <c r="I358" s="19">
        <v>2025</v>
      </c>
    </row>
    <row r="359" spans="1:9" hidden="1" x14ac:dyDescent="0.3">
      <c r="A359" s="16" t="s">
        <v>219</v>
      </c>
      <c r="B359" s="16" t="s">
        <v>22</v>
      </c>
      <c r="C359" s="15">
        <v>9</v>
      </c>
      <c r="D359" s="17">
        <v>5000000</v>
      </c>
      <c r="E359" s="17">
        <v>0</v>
      </c>
      <c r="F359" s="17">
        <v>-5000000</v>
      </c>
      <c r="G359" s="18">
        <v>0</v>
      </c>
      <c r="H359" s="10" t="str">
        <f t="shared" si="5"/>
        <v>GASTOS</v>
      </c>
      <c r="I359" s="19">
        <v>2025</v>
      </c>
    </row>
    <row r="360" spans="1:9" hidden="1" x14ac:dyDescent="0.3">
      <c r="A360" s="16" t="s">
        <v>219</v>
      </c>
      <c r="B360" s="16" t="s">
        <v>22</v>
      </c>
      <c r="C360" s="15">
        <v>10</v>
      </c>
      <c r="D360" s="17">
        <v>5000000</v>
      </c>
      <c r="E360" s="17">
        <v>19500000</v>
      </c>
      <c r="F360" s="17">
        <v>14500000</v>
      </c>
      <c r="G360" s="18">
        <v>3.9</v>
      </c>
      <c r="H360" s="10" t="str">
        <f t="shared" si="5"/>
        <v>GASTOS</v>
      </c>
      <c r="I360" s="19">
        <v>2025</v>
      </c>
    </row>
    <row r="361" spans="1:9" hidden="1" x14ac:dyDescent="0.3">
      <c r="A361" s="16" t="s">
        <v>219</v>
      </c>
      <c r="B361" s="16" t="s">
        <v>23</v>
      </c>
      <c r="C361" s="15">
        <v>1</v>
      </c>
      <c r="D361" s="17">
        <v>6253870</v>
      </c>
      <c r="E361" s="17">
        <v>6253870</v>
      </c>
      <c r="F361" s="17">
        <v>0</v>
      </c>
      <c r="G361" s="18">
        <v>1</v>
      </c>
      <c r="H361" s="10" t="str">
        <f t="shared" si="5"/>
        <v>GASTOS</v>
      </c>
      <c r="I361" s="19">
        <v>2025</v>
      </c>
    </row>
    <row r="362" spans="1:9" hidden="1" x14ac:dyDescent="0.3">
      <c r="A362" s="16" t="s">
        <v>219</v>
      </c>
      <c r="B362" s="16" t="s">
        <v>23</v>
      </c>
      <c r="C362" s="15">
        <v>2</v>
      </c>
      <c r="D362" s="17">
        <v>6253870</v>
      </c>
      <c r="E362" s="17">
        <v>6253870</v>
      </c>
      <c r="F362" s="17">
        <v>0</v>
      </c>
      <c r="G362" s="18">
        <v>1</v>
      </c>
      <c r="H362" s="10" t="str">
        <f t="shared" si="5"/>
        <v>GASTOS</v>
      </c>
      <c r="I362" s="19">
        <v>2025</v>
      </c>
    </row>
    <row r="363" spans="1:9" hidden="1" x14ac:dyDescent="0.3">
      <c r="A363" s="16" t="s">
        <v>219</v>
      </c>
      <c r="B363" s="16" t="s">
        <v>23</v>
      </c>
      <c r="C363" s="15">
        <v>3</v>
      </c>
      <c r="D363" s="17">
        <v>6253870</v>
      </c>
      <c r="E363" s="17">
        <v>6253870</v>
      </c>
      <c r="F363" s="17">
        <v>0</v>
      </c>
      <c r="G363" s="18">
        <v>1</v>
      </c>
      <c r="H363" s="10" t="str">
        <f t="shared" si="5"/>
        <v>GASTOS</v>
      </c>
      <c r="I363" s="19">
        <v>2025</v>
      </c>
    </row>
    <row r="364" spans="1:9" hidden="1" x14ac:dyDescent="0.3">
      <c r="A364" s="16" t="s">
        <v>219</v>
      </c>
      <c r="B364" s="16" t="s">
        <v>23</v>
      </c>
      <c r="C364" s="15">
        <v>4</v>
      </c>
      <c r="D364" s="17">
        <v>6253870</v>
      </c>
      <c r="E364" s="17">
        <v>6253870</v>
      </c>
      <c r="F364" s="17">
        <v>0</v>
      </c>
      <c r="G364" s="18">
        <v>1</v>
      </c>
      <c r="H364" s="10" t="str">
        <f t="shared" si="5"/>
        <v>GASTOS</v>
      </c>
      <c r="I364" s="19">
        <v>2025</v>
      </c>
    </row>
    <row r="365" spans="1:9" hidden="1" x14ac:dyDescent="0.3">
      <c r="A365" s="16" t="s">
        <v>219</v>
      </c>
      <c r="B365" s="16" t="s">
        <v>23</v>
      </c>
      <c r="C365" s="15">
        <v>5</v>
      </c>
      <c r="D365" s="17">
        <v>6253870</v>
      </c>
      <c r="E365" s="17">
        <v>6253870</v>
      </c>
      <c r="F365" s="17">
        <v>0</v>
      </c>
      <c r="G365" s="18">
        <v>1</v>
      </c>
      <c r="H365" s="10" t="str">
        <f t="shared" si="5"/>
        <v>GASTOS</v>
      </c>
      <c r="I365" s="19">
        <v>2025</v>
      </c>
    </row>
    <row r="366" spans="1:9" hidden="1" x14ac:dyDescent="0.3">
      <c r="A366" s="16" t="s">
        <v>219</v>
      </c>
      <c r="B366" s="16" t="s">
        <v>23</v>
      </c>
      <c r="C366" s="15">
        <v>6</v>
      </c>
      <c r="D366" s="17">
        <v>6253870</v>
      </c>
      <c r="E366" s="17">
        <v>6253870</v>
      </c>
      <c r="F366" s="17">
        <v>0</v>
      </c>
      <c r="G366" s="18">
        <v>1</v>
      </c>
      <c r="H366" s="10" t="str">
        <f t="shared" si="5"/>
        <v>GASTOS</v>
      </c>
      <c r="I366" s="19">
        <v>2025</v>
      </c>
    </row>
    <row r="367" spans="1:9" hidden="1" x14ac:dyDescent="0.3">
      <c r="A367" s="16" t="s">
        <v>219</v>
      </c>
      <c r="B367" s="16" t="s">
        <v>23</v>
      </c>
      <c r="C367" s="15">
        <v>7</v>
      </c>
      <c r="D367" s="17">
        <v>6253870</v>
      </c>
      <c r="E367" s="17">
        <v>6253870</v>
      </c>
      <c r="F367" s="17">
        <v>0</v>
      </c>
      <c r="G367" s="18">
        <v>1</v>
      </c>
      <c r="H367" s="10" t="str">
        <f t="shared" si="5"/>
        <v>GASTOS</v>
      </c>
      <c r="I367" s="19">
        <v>2025</v>
      </c>
    </row>
    <row r="368" spans="1:9" hidden="1" x14ac:dyDescent="0.3">
      <c r="A368" s="16" t="s">
        <v>219</v>
      </c>
      <c r="B368" s="16" t="s">
        <v>23</v>
      </c>
      <c r="C368" s="15">
        <v>8</v>
      </c>
      <c r="D368" s="17">
        <v>6253870</v>
      </c>
      <c r="E368" s="17">
        <v>6253870</v>
      </c>
      <c r="F368" s="17">
        <v>0</v>
      </c>
      <c r="G368" s="18">
        <v>1</v>
      </c>
      <c r="H368" s="10" t="str">
        <f t="shared" si="5"/>
        <v>GASTOS</v>
      </c>
      <c r="I368" s="19">
        <v>2025</v>
      </c>
    </row>
    <row r="369" spans="1:9" hidden="1" x14ac:dyDescent="0.3">
      <c r="A369" s="16" t="s">
        <v>219</v>
      </c>
      <c r="B369" s="16" t="s">
        <v>23</v>
      </c>
      <c r="C369" s="15">
        <v>9</v>
      </c>
      <c r="D369" s="17">
        <v>6253870</v>
      </c>
      <c r="E369" s="17">
        <v>6253870</v>
      </c>
      <c r="F369" s="17">
        <v>0</v>
      </c>
      <c r="G369" s="18">
        <v>1</v>
      </c>
      <c r="H369" s="10" t="str">
        <f t="shared" si="5"/>
        <v>GASTOS</v>
      </c>
      <c r="I369" s="19">
        <v>2025</v>
      </c>
    </row>
    <row r="370" spans="1:9" hidden="1" x14ac:dyDescent="0.3">
      <c r="A370" s="16" t="s">
        <v>219</v>
      </c>
      <c r="B370" s="16" t="s">
        <v>23</v>
      </c>
      <c r="C370" s="15">
        <v>10</v>
      </c>
      <c r="D370" s="17">
        <v>6253870</v>
      </c>
      <c r="E370" s="17">
        <v>6253870</v>
      </c>
      <c r="F370" s="17">
        <v>0</v>
      </c>
      <c r="G370" s="18">
        <v>1</v>
      </c>
      <c r="H370" s="10" t="str">
        <f t="shared" si="5"/>
        <v>GASTOS</v>
      </c>
      <c r="I370" s="19">
        <v>2025</v>
      </c>
    </row>
    <row r="371" spans="1:9" hidden="1" x14ac:dyDescent="0.3">
      <c r="A371" s="16" t="s">
        <v>219</v>
      </c>
      <c r="B371" s="16" t="s">
        <v>102</v>
      </c>
      <c r="C371" s="15">
        <v>11</v>
      </c>
      <c r="D371" s="17">
        <v>0</v>
      </c>
      <c r="E371" s="17">
        <v>537393</v>
      </c>
      <c r="F371" s="17">
        <v>537393</v>
      </c>
      <c r="G371" s="18">
        <v>0</v>
      </c>
      <c r="H371" s="10" t="str">
        <f t="shared" si="5"/>
        <v>GASTOS</v>
      </c>
      <c r="I371" s="19">
        <v>2025</v>
      </c>
    </row>
    <row r="372" spans="1:9" hidden="1" x14ac:dyDescent="0.3">
      <c r="A372" s="16" t="s">
        <v>219</v>
      </c>
      <c r="B372" s="16" t="s">
        <v>72</v>
      </c>
      <c r="C372" s="15">
        <v>11</v>
      </c>
      <c r="D372" s="17">
        <v>0</v>
      </c>
      <c r="E372" s="17">
        <v>2709888</v>
      </c>
      <c r="F372" s="17">
        <v>2709888</v>
      </c>
      <c r="G372" s="18">
        <v>0</v>
      </c>
      <c r="H372" s="10" t="str">
        <f t="shared" si="5"/>
        <v>GASTOS</v>
      </c>
      <c r="I372" s="19">
        <v>2025</v>
      </c>
    </row>
    <row r="373" spans="1:9" hidden="1" x14ac:dyDescent="0.3">
      <c r="A373" s="16" t="s">
        <v>219</v>
      </c>
      <c r="B373" s="16" t="s">
        <v>73</v>
      </c>
      <c r="C373" s="15">
        <v>11</v>
      </c>
      <c r="D373" s="17">
        <v>0</v>
      </c>
      <c r="E373" s="17">
        <v>371912</v>
      </c>
      <c r="F373" s="17">
        <v>371912</v>
      </c>
      <c r="G373" s="18">
        <v>0</v>
      </c>
      <c r="H373" s="10" t="str">
        <f t="shared" si="5"/>
        <v>GASTOS</v>
      </c>
      <c r="I373" s="19">
        <v>2025</v>
      </c>
    </row>
    <row r="374" spans="1:9" hidden="1" x14ac:dyDescent="0.3">
      <c r="A374" s="16" t="s">
        <v>219</v>
      </c>
      <c r="B374" s="16" t="s">
        <v>22</v>
      </c>
      <c r="C374" s="15">
        <v>11</v>
      </c>
      <c r="D374" s="17">
        <v>5000000</v>
      </c>
      <c r="E374" s="17">
        <v>0</v>
      </c>
      <c r="F374" s="17">
        <v>-5000000</v>
      </c>
      <c r="G374" s="18">
        <v>0</v>
      </c>
      <c r="H374" s="10" t="str">
        <f t="shared" si="5"/>
        <v>GASTOS</v>
      </c>
      <c r="I374" s="19">
        <v>2025</v>
      </c>
    </row>
    <row r="375" spans="1:9" hidden="1" x14ac:dyDescent="0.3">
      <c r="A375" s="16" t="s">
        <v>219</v>
      </c>
      <c r="B375" s="16" t="s">
        <v>23</v>
      </c>
      <c r="C375" s="15">
        <v>11</v>
      </c>
      <c r="D375" s="17">
        <v>6253870</v>
      </c>
      <c r="E375" s="17">
        <v>6253870</v>
      </c>
      <c r="F375" s="17">
        <v>0</v>
      </c>
      <c r="G375" s="18">
        <v>1</v>
      </c>
      <c r="H375" s="10" t="str">
        <f t="shared" si="5"/>
        <v>GASTOS</v>
      </c>
      <c r="I375" s="19">
        <v>2025</v>
      </c>
    </row>
    <row r="376" spans="1:9" hidden="1" x14ac:dyDescent="0.3">
      <c r="A376" s="16" t="s">
        <v>219</v>
      </c>
      <c r="B376" s="16" t="s">
        <v>227</v>
      </c>
      <c r="C376" s="15">
        <v>12</v>
      </c>
      <c r="D376" s="17">
        <v>0</v>
      </c>
      <c r="E376" s="17">
        <v>2953000</v>
      </c>
      <c r="F376" s="17">
        <v>2953000</v>
      </c>
      <c r="G376" s="18">
        <v>0</v>
      </c>
      <c r="H376" s="10" t="str">
        <f t="shared" si="5"/>
        <v>GASTOS</v>
      </c>
      <c r="I376" s="19">
        <v>2025</v>
      </c>
    </row>
    <row r="377" spans="1:9" hidden="1" x14ac:dyDescent="0.3">
      <c r="A377" s="16" t="s">
        <v>219</v>
      </c>
      <c r="B377" s="16" t="s">
        <v>102</v>
      </c>
      <c r="C377" s="15">
        <v>12</v>
      </c>
      <c r="D377" s="17">
        <v>0</v>
      </c>
      <c r="E377" s="17">
        <v>537393</v>
      </c>
      <c r="F377" s="17">
        <v>537393</v>
      </c>
      <c r="G377" s="18">
        <v>0</v>
      </c>
      <c r="H377" s="10" t="str">
        <f t="shared" si="5"/>
        <v>GASTOS</v>
      </c>
      <c r="I377" s="19">
        <v>2025</v>
      </c>
    </row>
    <row r="378" spans="1:9" hidden="1" x14ac:dyDescent="0.3">
      <c r="A378" s="16" t="s">
        <v>219</v>
      </c>
      <c r="B378" s="16" t="s">
        <v>72</v>
      </c>
      <c r="C378" s="15">
        <v>12</v>
      </c>
      <c r="D378" s="17">
        <v>0</v>
      </c>
      <c r="E378" s="17">
        <v>2654805</v>
      </c>
      <c r="F378" s="17">
        <v>2654805</v>
      </c>
      <c r="G378" s="18">
        <v>0</v>
      </c>
      <c r="H378" s="10" t="str">
        <f t="shared" si="5"/>
        <v>GASTOS</v>
      </c>
      <c r="I378" s="19">
        <v>2025</v>
      </c>
    </row>
    <row r="379" spans="1:9" hidden="1" x14ac:dyDescent="0.3">
      <c r="A379" s="16" t="s">
        <v>219</v>
      </c>
      <c r="B379" s="16" t="s">
        <v>73</v>
      </c>
      <c r="C379" s="15">
        <v>12</v>
      </c>
      <c r="D379" s="17">
        <v>0</v>
      </c>
      <c r="E379" s="17">
        <v>94696</v>
      </c>
      <c r="F379" s="17">
        <v>94696</v>
      </c>
      <c r="G379" s="18">
        <v>0</v>
      </c>
      <c r="H379" s="10" t="str">
        <f t="shared" si="5"/>
        <v>GASTOS</v>
      </c>
      <c r="I379" s="19">
        <v>2025</v>
      </c>
    </row>
    <row r="380" spans="1:9" hidden="1" x14ac:dyDescent="0.3">
      <c r="A380" s="16" t="s">
        <v>219</v>
      </c>
      <c r="B380" s="16" t="s">
        <v>19</v>
      </c>
      <c r="C380" s="15">
        <v>12</v>
      </c>
      <c r="D380" s="17">
        <v>0</v>
      </c>
      <c r="E380" s="17">
        <v>60000</v>
      </c>
      <c r="F380" s="17">
        <v>60000</v>
      </c>
      <c r="G380" s="18">
        <v>0</v>
      </c>
      <c r="H380" s="10" t="str">
        <f t="shared" si="5"/>
        <v>GASTOS</v>
      </c>
      <c r="I380" s="19">
        <v>2025</v>
      </c>
    </row>
    <row r="381" spans="1:9" hidden="1" x14ac:dyDescent="0.3">
      <c r="A381" s="16" t="s">
        <v>219</v>
      </c>
      <c r="B381" s="16" t="s">
        <v>23</v>
      </c>
      <c r="C381" s="15">
        <v>12</v>
      </c>
      <c r="D381" s="17">
        <v>6253870</v>
      </c>
      <c r="E381" s="17">
        <v>6253870</v>
      </c>
      <c r="F381" s="17">
        <v>0</v>
      </c>
      <c r="G381" s="18">
        <v>1</v>
      </c>
      <c r="H381" s="10" t="str">
        <f t="shared" si="5"/>
        <v>GASTOS</v>
      </c>
      <c r="I381" s="19">
        <v>2025</v>
      </c>
    </row>
    <row r="382" spans="1:9" hidden="1" x14ac:dyDescent="0.3">
      <c r="A382" s="16" t="s">
        <v>219</v>
      </c>
      <c r="B382" s="16" t="s">
        <v>228</v>
      </c>
      <c r="C382" s="15">
        <v>12</v>
      </c>
      <c r="D382" s="17">
        <v>0</v>
      </c>
      <c r="E382" s="17">
        <v>3200000</v>
      </c>
      <c r="F382" s="17">
        <v>3200000</v>
      </c>
      <c r="G382" s="18">
        <v>0</v>
      </c>
      <c r="H382" s="10" t="str">
        <f t="shared" si="5"/>
        <v>GASTOS</v>
      </c>
      <c r="I382" s="19">
        <v>2025</v>
      </c>
    </row>
    <row r="383" spans="1:9" hidden="1" x14ac:dyDescent="0.3">
      <c r="A383" s="16" t="s">
        <v>223</v>
      </c>
      <c r="B383" s="16" t="s">
        <v>10</v>
      </c>
      <c r="C383" s="15">
        <v>10</v>
      </c>
      <c r="D383" s="17">
        <v>0</v>
      </c>
      <c r="E383" s="17">
        <v>4000000</v>
      </c>
      <c r="F383" s="17">
        <v>4000000</v>
      </c>
      <c r="G383" s="18">
        <v>0</v>
      </c>
      <c r="H383" s="10" t="str">
        <f t="shared" si="5"/>
        <v>GASTOS</v>
      </c>
      <c r="I383" s="19">
        <v>2025</v>
      </c>
    </row>
    <row r="384" spans="1:9" hidden="1" x14ac:dyDescent="0.3">
      <c r="A384" s="16" t="s">
        <v>223</v>
      </c>
      <c r="B384" s="16" t="s">
        <v>11</v>
      </c>
      <c r="C384" s="15">
        <v>12</v>
      </c>
      <c r="D384" s="17">
        <v>0</v>
      </c>
      <c r="E384" s="17">
        <v>2726000</v>
      </c>
      <c r="F384" s="17">
        <v>2726000</v>
      </c>
      <c r="G384" s="18">
        <v>0</v>
      </c>
      <c r="H384" s="10" t="str">
        <f t="shared" si="5"/>
        <v>GASTOS</v>
      </c>
      <c r="I384" s="19">
        <v>2025</v>
      </c>
    </row>
    <row r="385" spans="1:9" hidden="1" x14ac:dyDescent="0.3">
      <c r="A385" s="16" t="s">
        <v>90</v>
      </c>
      <c r="B385" s="16" t="s">
        <v>40</v>
      </c>
      <c r="C385" s="15">
        <v>1</v>
      </c>
      <c r="D385" s="17">
        <v>1630000</v>
      </c>
      <c r="E385" s="17">
        <v>0</v>
      </c>
      <c r="F385" s="17">
        <v>-1630000</v>
      </c>
      <c r="G385" s="18">
        <v>0</v>
      </c>
      <c r="H385" s="10" t="str">
        <f t="shared" si="5"/>
        <v>COSTOS</v>
      </c>
      <c r="I385" s="19">
        <v>2025</v>
      </c>
    </row>
    <row r="386" spans="1:9" hidden="1" x14ac:dyDescent="0.3">
      <c r="A386" s="16" t="s">
        <v>90</v>
      </c>
      <c r="B386" s="16" t="s">
        <v>40</v>
      </c>
      <c r="C386" s="15">
        <v>2</v>
      </c>
      <c r="D386" s="17">
        <v>1630000</v>
      </c>
      <c r="E386" s="17">
        <v>1140480</v>
      </c>
      <c r="F386" s="17">
        <v>-489520</v>
      </c>
      <c r="G386" s="18">
        <v>0.69968098159509207</v>
      </c>
      <c r="H386" s="10" t="str">
        <f t="shared" si="5"/>
        <v>COSTOS</v>
      </c>
      <c r="I386" s="19">
        <v>2025</v>
      </c>
    </row>
    <row r="387" spans="1:9" hidden="1" x14ac:dyDescent="0.3">
      <c r="A387" s="16" t="s">
        <v>90</v>
      </c>
      <c r="B387" s="16" t="s">
        <v>40</v>
      </c>
      <c r="C387" s="15">
        <v>3</v>
      </c>
      <c r="D387" s="17">
        <v>1630000</v>
      </c>
      <c r="E387" s="17">
        <v>4855600</v>
      </c>
      <c r="F387" s="17">
        <v>3225600</v>
      </c>
      <c r="G387" s="18">
        <v>2.9788957055214724</v>
      </c>
      <c r="H387" s="10" t="str">
        <f t="shared" ref="H387:H450" si="6">+IF(OR(A387="ADMINISTRACION",A387="COMERCIAL",A387="COMERCIAL-EXPORTACIONES",A387="LEASING DE LA BODEGA",A387="LOGISTICA-SALIDA",A387="OTROS GASTOS",A387="BODEGA ALQUILADA", A387="BODEGA CARTOPLAST", A387="BODEGA CARTOPLAS", A387= "GESTION HUMANA-OTROS GASTOS"),"GASTOS","COSTOS")</f>
        <v>COSTOS</v>
      </c>
      <c r="I387" s="19">
        <v>2025</v>
      </c>
    </row>
    <row r="388" spans="1:9" hidden="1" x14ac:dyDescent="0.3">
      <c r="A388" s="16" t="s">
        <v>90</v>
      </c>
      <c r="B388" s="16" t="s">
        <v>40</v>
      </c>
      <c r="C388" s="15">
        <v>4</v>
      </c>
      <c r="D388" s="17">
        <v>1630000</v>
      </c>
      <c r="E388" s="17">
        <v>-1580000</v>
      </c>
      <c r="F388" s="17">
        <v>-3210000</v>
      </c>
      <c r="G388" s="18">
        <v>-0.96932515337423319</v>
      </c>
      <c r="H388" s="10" t="str">
        <f t="shared" si="6"/>
        <v>COSTOS</v>
      </c>
      <c r="I388" s="19">
        <v>2025</v>
      </c>
    </row>
    <row r="389" spans="1:9" hidden="1" x14ac:dyDescent="0.3">
      <c r="A389" s="16" t="s">
        <v>90</v>
      </c>
      <c r="B389" s="16" t="s">
        <v>40</v>
      </c>
      <c r="C389" s="15">
        <v>5</v>
      </c>
      <c r="D389" s="17">
        <v>1630000</v>
      </c>
      <c r="E389" s="17">
        <v>0</v>
      </c>
      <c r="F389" s="17">
        <v>-1630000</v>
      </c>
      <c r="G389" s="18">
        <v>0</v>
      </c>
      <c r="H389" s="10" t="str">
        <f t="shared" si="6"/>
        <v>COSTOS</v>
      </c>
      <c r="I389" s="19">
        <v>2025</v>
      </c>
    </row>
    <row r="390" spans="1:9" hidden="1" x14ac:dyDescent="0.3">
      <c r="A390" s="16" t="s">
        <v>90</v>
      </c>
      <c r="B390" s="16" t="s">
        <v>40</v>
      </c>
      <c r="C390" s="15">
        <v>6</v>
      </c>
      <c r="D390" s="17">
        <v>1630000</v>
      </c>
      <c r="E390" s="17">
        <v>1638584</v>
      </c>
      <c r="F390" s="17">
        <v>8584</v>
      </c>
      <c r="G390" s="18">
        <v>1.0052662576687117</v>
      </c>
      <c r="H390" s="10" t="str">
        <f t="shared" si="6"/>
        <v>COSTOS</v>
      </c>
      <c r="I390" s="19">
        <v>2025</v>
      </c>
    </row>
    <row r="391" spans="1:9" hidden="1" x14ac:dyDescent="0.3">
      <c r="A391" s="16" t="s">
        <v>90</v>
      </c>
      <c r="B391" s="16" t="s">
        <v>40</v>
      </c>
      <c r="C391" s="15">
        <v>7</v>
      </c>
      <c r="D391" s="17">
        <v>1630000</v>
      </c>
      <c r="E391" s="17">
        <v>282000</v>
      </c>
      <c r="F391" s="17">
        <v>-1348000</v>
      </c>
      <c r="G391" s="18">
        <v>0.17300613496932515</v>
      </c>
      <c r="H391" s="10" t="str">
        <f t="shared" si="6"/>
        <v>COSTOS</v>
      </c>
      <c r="I391" s="19">
        <v>2025</v>
      </c>
    </row>
    <row r="392" spans="1:9" hidden="1" x14ac:dyDescent="0.3">
      <c r="A392" s="16" t="s">
        <v>90</v>
      </c>
      <c r="B392" s="16" t="s">
        <v>40</v>
      </c>
      <c r="C392" s="15">
        <v>8</v>
      </c>
      <c r="D392" s="17">
        <v>1630000</v>
      </c>
      <c r="E392" s="17">
        <v>3975780</v>
      </c>
      <c r="F392" s="17">
        <v>2345780</v>
      </c>
      <c r="G392" s="18">
        <v>2.4391288343558282</v>
      </c>
      <c r="H392" s="10" t="str">
        <f t="shared" si="6"/>
        <v>COSTOS</v>
      </c>
      <c r="I392" s="19">
        <v>2025</v>
      </c>
    </row>
    <row r="393" spans="1:9" hidden="1" x14ac:dyDescent="0.3">
      <c r="A393" s="16" t="s">
        <v>90</v>
      </c>
      <c r="B393" s="16" t="s">
        <v>40</v>
      </c>
      <c r="C393" s="15">
        <v>9</v>
      </c>
      <c r="D393" s="17">
        <v>1630000</v>
      </c>
      <c r="E393" s="17">
        <v>6176720</v>
      </c>
      <c r="F393" s="17">
        <v>4546720</v>
      </c>
      <c r="G393" s="18">
        <v>3.7893987730061349</v>
      </c>
      <c r="H393" s="10" t="str">
        <f t="shared" si="6"/>
        <v>COSTOS</v>
      </c>
      <c r="I393" s="19">
        <v>2025</v>
      </c>
    </row>
    <row r="394" spans="1:9" hidden="1" x14ac:dyDescent="0.3">
      <c r="A394" s="16" t="s">
        <v>90</v>
      </c>
      <c r="B394" s="16" t="s">
        <v>40</v>
      </c>
      <c r="C394" s="15">
        <v>10</v>
      </c>
      <c r="D394" s="17">
        <v>1630000</v>
      </c>
      <c r="E394" s="17">
        <v>4126340</v>
      </c>
      <c r="F394" s="17">
        <v>2496340</v>
      </c>
      <c r="G394" s="18">
        <v>2.5314969325153376</v>
      </c>
      <c r="H394" s="10" t="str">
        <f t="shared" si="6"/>
        <v>COSTOS</v>
      </c>
      <c r="I394" s="19">
        <v>2025</v>
      </c>
    </row>
    <row r="395" spans="1:9" hidden="1" x14ac:dyDescent="0.3">
      <c r="A395" s="16" t="s">
        <v>90</v>
      </c>
      <c r="B395" s="16" t="s">
        <v>16</v>
      </c>
      <c r="C395" s="15">
        <v>1</v>
      </c>
      <c r="D395" s="17">
        <v>100000</v>
      </c>
      <c r="E395" s="17">
        <v>0</v>
      </c>
      <c r="F395" s="17">
        <v>-100000</v>
      </c>
      <c r="G395" s="18">
        <v>0</v>
      </c>
      <c r="H395" s="10" t="str">
        <f t="shared" si="6"/>
        <v>COSTOS</v>
      </c>
      <c r="I395" s="19">
        <v>2025</v>
      </c>
    </row>
    <row r="396" spans="1:9" hidden="1" x14ac:dyDescent="0.3">
      <c r="A396" s="16" t="s">
        <v>90</v>
      </c>
      <c r="B396" s="16" t="s">
        <v>16</v>
      </c>
      <c r="C396" s="15">
        <v>2</v>
      </c>
      <c r="D396" s="17">
        <v>100000</v>
      </c>
      <c r="E396" s="17">
        <v>12000</v>
      </c>
      <c r="F396" s="17">
        <v>-88000</v>
      </c>
      <c r="G396" s="18">
        <v>0.12</v>
      </c>
      <c r="H396" s="10" t="str">
        <f t="shared" si="6"/>
        <v>COSTOS</v>
      </c>
      <c r="I396" s="19">
        <v>2025</v>
      </c>
    </row>
    <row r="397" spans="1:9" hidden="1" x14ac:dyDescent="0.3">
      <c r="A397" s="16" t="s">
        <v>90</v>
      </c>
      <c r="B397" s="16" t="s">
        <v>16</v>
      </c>
      <c r="C397" s="15">
        <v>3</v>
      </c>
      <c r="D397" s="17">
        <v>100000</v>
      </c>
      <c r="E397" s="17">
        <v>0</v>
      </c>
      <c r="F397" s="17">
        <v>-100000</v>
      </c>
      <c r="G397" s="18">
        <v>0</v>
      </c>
      <c r="H397" s="10" t="str">
        <f t="shared" si="6"/>
        <v>COSTOS</v>
      </c>
      <c r="I397" s="19">
        <v>2025</v>
      </c>
    </row>
    <row r="398" spans="1:9" hidden="1" x14ac:dyDescent="0.3">
      <c r="A398" s="16" t="s">
        <v>90</v>
      </c>
      <c r="B398" s="16" t="s">
        <v>16</v>
      </c>
      <c r="C398" s="15">
        <v>4</v>
      </c>
      <c r="D398" s="17">
        <v>100000</v>
      </c>
      <c r="E398" s="17">
        <v>22000</v>
      </c>
      <c r="F398" s="17">
        <v>-78000</v>
      </c>
      <c r="G398" s="18">
        <v>0.22</v>
      </c>
      <c r="H398" s="10" t="str">
        <f t="shared" si="6"/>
        <v>COSTOS</v>
      </c>
      <c r="I398" s="19">
        <v>2025</v>
      </c>
    </row>
    <row r="399" spans="1:9" hidden="1" x14ac:dyDescent="0.3">
      <c r="A399" s="16" t="s">
        <v>90</v>
      </c>
      <c r="B399" s="16" t="s">
        <v>16</v>
      </c>
      <c r="C399" s="15">
        <v>5</v>
      </c>
      <c r="D399" s="17">
        <v>100000</v>
      </c>
      <c r="E399" s="17">
        <v>10000</v>
      </c>
      <c r="F399" s="17">
        <v>-90000</v>
      </c>
      <c r="G399" s="18">
        <v>0.1</v>
      </c>
      <c r="H399" s="10" t="str">
        <f t="shared" si="6"/>
        <v>COSTOS</v>
      </c>
      <c r="I399" s="19">
        <v>2025</v>
      </c>
    </row>
    <row r="400" spans="1:9" hidden="1" x14ac:dyDescent="0.3">
      <c r="A400" s="16" t="s">
        <v>90</v>
      </c>
      <c r="B400" s="16" t="s">
        <v>16</v>
      </c>
      <c r="C400" s="15">
        <v>6</v>
      </c>
      <c r="D400" s="17">
        <v>100000</v>
      </c>
      <c r="E400" s="17">
        <v>10000</v>
      </c>
      <c r="F400" s="17">
        <v>-90000</v>
      </c>
      <c r="G400" s="18">
        <v>0.1</v>
      </c>
      <c r="H400" s="10" t="str">
        <f t="shared" si="6"/>
        <v>COSTOS</v>
      </c>
      <c r="I400" s="19">
        <v>2025</v>
      </c>
    </row>
    <row r="401" spans="1:9" hidden="1" x14ac:dyDescent="0.3">
      <c r="A401" s="16" t="s">
        <v>90</v>
      </c>
      <c r="B401" s="16" t="s">
        <v>16</v>
      </c>
      <c r="C401" s="15">
        <v>7</v>
      </c>
      <c r="D401" s="17">
        <v>100000</v>
      </c>
      <c r="E401" s="17">
        <v>49000</v>
      </c>
      <c r="F401" s="17">
        <v>-51000</v>
      </c>
      <c r="G401" s="18">
        <v>0.49</v>
      </c>
      <c r="H401" s="10" t="str">
        <f t="shared" si="6"/>
        <v>COSTOS</v>
      </c>
      <c r="I401" s="19">
        <v>2025</v>
      </c>
    </row>
    <row r="402" spans="1:9" hidden="1" x14ac:dyDescent="0.3">
      <c r="A402" s="16" t="s">
        <v>90</v>
      </c>
      <c r="B402" s="16" t="s">
        <v>16</v>
      </c>
      <c r="C402" s="15">
        <v>8</v>
      </c>
      <c r="D402" s="17">
        <v>100000</v>
      </c>
      <c r="E402" s="17">
        <v>0</v>
      </c>
      <c r="F402" s="17">
        <v>-100000</v>
      </c>
      <c r="G402" s="18">
        <v>0</v>
      </c>
      <c r="H402" s="10" t="str">
        <f t="shared" si="6"/>
        <v>COSTOS</v>
      </c>
      <c r="I402" s="19">
        <v>2025</v>
      </c>
    </row>
    <row r="403" spans="1:9" hidden="1" x14ac:dyDescent="0.3">
      <c r="A403" s="16" t="s">
        <v>90</v>
      </c>
      <c r="B403" s="16" t="s">
        <v>16</v>
      </c>
      <c r="C403" s="15">
        <v>9</v>
      </c>
      <c r="D403" s="17">
        <v>100000</v>
      </c>
      <c r="E403" s="17">
        <v>61000</v>
      </c>
      <c r="F403" s="17">
        <v>-39000</v>
      </c>
      <c r="G403" s="18">
        <v>0.61</v>
      </c>
      <c r="H403" s="10" t="str">
        <f t="shared" si="6"/>
        <v>COSTOS</v>
      </c>
      <c r="I403" s="19">
        <v>2025</v>
      </c>
    </row>
    <row r="404" spans="1:9" hidden="1" x14ac:dyDescent="0.3">
      <c r="A404" s="16" t="s">
        <v>90</v>
      </c>
      <c r="B404" s="16" t="s">
        <v>16</v>
      </c>
      <c r="C404" s="15">
        <v>10</v>
      </c>
      <c r="D404" s="17">
        <v>100000</v>
      </c>
      <c r="E404" s="17">
        <v>110000</v>
      </c>
      <c r="F404" s="17">
        <v>10000</v>
      </c>
      <c r="G404" s="18">
        <v>1.1000000000000001</v>
      </c>
      <c r="H404" s="10" t="str">
        <f t="shared" si="6"/>
        <v>COSTOS</v>
      </c>
      <c r="I404" s="19">
        <v>2025</v>
      </c>
    </row>
    <row r="405" spans="1:9" hidden="1" x14ac:dyDescent="0.3">
      <c r="A405" s="16" t="s">
        <v>90</v>
      </c>
      <c r="B405" s="16" t="s">
        <v>28</v>
      </c>
      <c r="C405" s="15">
        <v>1</v>
      </c>
      <c r="D405" s="17">
        <v>210000</v>
      </c>
      <c r="E405" s="17">
        <v>0</v>
      </c>
      <c r="F405" s="17">
        <v>-210000</v>
      </c>
      <c r="G405" s="18">
        <v>0</v>
      </c>
      <c r="H405" s="10" t="str">
        <f t="shared" si="6"/>
        <v>COSTOS</v>
      </c>
      <c r="I405" s="19">
        <v>2025</v>
      </c>
    </row>
    <row r="406" spans="1:9" hidden="1" x14ac:dyDescent="0.3">
      <c r="A406" s="16" t="s">
        <v>90</v>
      </c>
      <c r="B406" s="16" t="s">
        <v>28</v>
      </c>
      <c r="C406" s="15">
        <v>3</v>
      </c>
      <c r="D406" s="17">
        <v>210000</v>
      </c>
      <c r="E406" s="17">
        <v>250000</v>
      </c>
      <c r="F406" s="17">
        <v>40000</v>
      </c>
      <c r="G406" s="18">
        <v>1.1904761904761905</v>
      </c>
      <c r="H406" s="10" t="str">
        <f t="shared" si="6"/>
        <v>COSTOS</v>
      </c>
      <c r="I406" s="19">
        <v>2025</v>
      </c>
    </row>
    <row r="407" spans="1:9" hidden="1" x14ac:dyDescent="0.3">
      <c r="A407" s="16" t="s">
        <v>90</v>
      </c>
      <c r="B407" s="16" t="s">
        <v>28</v>
      </c>
      <c r="C407" s="15">
        <v>5</v>
      </c>
      <c r="D407" s="17">
        <v>210000</v>
      </c>
      <c r="E407" s="17">
        <v>0</v>
      </c>
      <c r="F407" s="17">
        <v>-210000</v>
      </c>
      <c r="G407" s="18">
        <v>0</v>
      </c>
      <c r="H407" s="10" t="str">
        <f t="shared" si="6"/>
        <v>COSTOS</v>
      </c>
      <c r="I407" s="19">
        <v>2025</v>
      </c>
    </row>
    <row r="408" spans="1:9" hidden="1" x14ac:dyDescent="0.3">
      <c r="A408" s="16" t="s">
        <v>90</v>
      </c>
      <c r="B408" s="16" t="s">
        <v>28</v>
      </c>
      <c r="C408" s="15">
        <v>6</v>
      </c>
      <c r="D408" s="17">
        <v>0</v>
      </c>
      <c r="E408" s="17">
        <v>91820</v>
      </c>
      <c r="F408" s="17">
        <v>91820</v>
      </c>
      <c r="G408" s="18">
        <v>0</v>
      </c>
      <c r="H408" s="10" t="str">
        <f t="shared" si="6"/>
        <v>COSTOS</v>
      </c>
      <c r="I408" s="19">
        <v>2025</v>
      </c>
    </row>
    <row r="409" spans="1:9" hidden="1" x14ac:dyDescent="0.3">
      <c r="A409" s="16" t="s">
        <v>90</v>
      </c>
      <c r="B409" s="16" t="s">
        <v>28</v>
      </c>
      <c r="C409" s="15">
        <v>7</v>
      </c>
      <c r="D409" s="17">
        <v>210000</v>
      </c>
      <c r="E409" s="17">
        <v>19324</v>
      </c>
      <c r="F409" s="17">
        <v>-190676</v>
      </c>
      <c r="G409" s="18">
        <v>9.2019047619047625E-2</v>
      </c>
      <c r="H409" s="10" t="str">
        <f t="shared" si="6"/>
        <v>COSTOS</v>
      </c>
      <c r="I409" s="19">
        <v>2025</v>
      </c>
    </row>
    <row r="410" spans="1:9" hidden="1" x14ac:dyDescent="0.3">
      <c r="A410" s="16" t="s">
        <v>90</v>
      </c>
      <c r="B410" s="16" t="s">
        <v>28</v>
      </c>
      <c r="C410" s="15">
        <v>9</v>
      </c>
      <c r="D410" s="17">
        <v>210000</v>
      </c>
      <c r="E410" s="17">
        <v>193030</v>
      </c>
      <c r="F410" s="17">
        <v>-16970</v>
      </c>
      <c r="G410" s="18">
        <v>0.91919047619047622</v>
      </c>
      <c r="H410" s="10" t="str">
        <f t="shared" si="6"/>
        <v>COSTOS</v>
      </c>
      <c r="I410" s="19">
        <v>2025</v>
      </c>
    </row>
    <row r="411" spans="1:9" hidden="1" x14ac:dyDescent="0.3">
      <c r="A411" s="16" t="s">
        <v>90</v>
      </c>
      <c r="B411" s="16" t="s">
        <v>40</v>
      </c>
      <c r="C411" s="15">
        <v>11</v>
      </c>
      <c r="D411" s="17">
        <v>1630000</v>
      </c>
      <c r="E411" s="17">
        <v>0</v>
      </c>
      <c r="F411" s="17">
        <v>-1630000</v>
      </c>
      <c r="G411" s="18">
        <v>0</v>
      </c>
      <c r="H411" s="10" t="str">
        <f t="shared" si="6"/>
        <v>COSTOS</v>
      </c>
      <c r="I411" s="19">
        <v>2025</v>
      </c>
    </row>
    <row r="412" spans="1:9" hidden="1" x14ac:dyDescent="0.3">
      <c r="A412" s="16" t="s">
        <v>90</v>
      </c>
      <c r="B412" s="16" t="s">
        <v>16</v>
      </c>
      <c r="C412" s="15">
        <v>11</v>
      </c>
      <c r="D412" s="17">
        <v>100000</v>
      </c>
      <c r="E412" s="17">
        <v>0</v>
      </c>
      <c r="F412" s="17">
        <v>-100000</v>
      </c>
      <c r="G412" s="18">
        <v>0</v>
      </c>
      <c r="H412" s="10" t="str">
        <f t="shared" si="6"/>
        <v>COSTOS</v>
      </c>
      <c r="I412" s="19">
        <v>2025</v>
      </c>
    </row>
    <row r="413" spans="1:9" hidden="1" x14ac:dyDescent="0.3">
      <c r="A413" s="16" t="s">
        <v>90</v>
      </c>
      <c r="B413" s="16" t="s">
        <v>28</v>
      </c>
      <c r="C413" s="15">
        <v>11</v>
      </c>
      <c r="D413" s="17">
        <v>210000</v>
      </c>
      <c r="E413" s="17">
        <v>0</v>
      </c>
      <c r="F413" s="17">
        <v>-210000</v>
      </c>
      <c r="G413" s="18">
        <v>0</v>
      </c>
      <c r="H413" s="10" t="str">
        <f t="shared" si="6"/>
        <v>COSTOS</v>
      </c>
      <c r="I413" s="19">
        <v>2025</v>
      </c>
    </row>
    <row r="414" spans="1:9" hidden="1" x14ac:dyDescent="0.3">
      <c r="A414" s="16" t="s">
        <v>157</v>
      </c>
      <c r="B414" s="16" t="s">
        <v>159</v>
      </c>
      <c r="C414" s="15">
        <v>8</v>
      </c>
      <c r="D414" s="17">
        <v>3000000</v>
      </c>
      <c r="E414" s="17">
        <v>1630600</v>
      </c>
      <c r="F414" s="17">
        <v>-1369400</v>
      </c>
      <c r="G414" s="18">
        <v>0.54353333333333331</v>
      </c>
      <c r="H414" s="10" t="str">
        <f t="shared" si="6"/>
        <v>COSTOS</v>
      </c>
      <c r="I414" s="19">
        <v>2025</v>
      </c>
    </row>
    <row r="415" spans="1:9" hidden="1" x14ac:dyDescent="0.3">
      <c r="A415" s="16" t="s">
        <v>157</v>
      </c>
      <c r="B415" s="16" t="s">
        <v>29</v>
      </c>
      <c r="C415" s="15">
        <v>5</v>
      </c>
      <c r="D415" s="17">
        <v>120000</v>
      </c>
      <c r="E415" s="17">
        <v>0</v>
      </c>
      <c r="F415" s="17">
        <v>-120000</v>
      </c>
      <c r="G415" s="18">
        <v>0</v>
      </c>
      <c r="H415" s="10" t="str">
        <f t="shared" si="6"/>
        <v>COSTOS</v>
      </c>
      <c r="I415" s="19">
        <v>2025</v>
      </c>
    </row>
    <row r="416" spans="1:9" hidden="1" x14ac:dyDescent="0.3">
      <c r="A416" s="16" t="s">
        <v>158</v>
      </c>
      <c r="B416" s="16" t="s">
        <v>159</v>
      </c>
      <c r="C416" s="15">
        <v>5</v>
      </c>
      <c r="D416" s="17">
        <v>1800000</v>
      </c>
      <c r="E416" s="17">
        <v>0</v>
      </c>
      <c r="F416" s="17">
        <v>-1800000</v>
      </c>
      <c r="G416" s="18">
        <v>0</v>
      </c>
      <c r="H416" s="10" t="str">
        <f t="shared" si="6"/>
        <v>COSTOS</v>
      </c>
      <c r="I416" s="19">
        <v>2025</v>
      </c>
    </row>
    <row r="417" spans="1:9" hidden="1" x14ac:dyDescent="0.3">
      <c r="A417" s="16" t="s">
        <v>158</v>
      </c>
      <c r="B417" s="16" t="s">
        <v>159</v>
      </c>
      <c r="C417" s="15">
        <v>7</v>
      </c>
      <c r="D417" s="17">
        <v>0</v>
      </c>
      <c r="E417" s="17">
        <v>1600000</v>
      </c>
      <c r="F417" s="17">
        <v>1600000</v>
      </c>
      <c r="G417" s="18">
        <v>0</v>
      </c>
      <c r="H417" s="10" t="str">
        <f t="shared" si="6"/>
        <v>COSTOS</v>
      </c>
      <c r="I417" s="19">
        <v>2025</v>
      </c>
    </row>
    <row r="418" spans="1:9" hidden="1" x14ac:dyDescent="0.3">
      <c r="A418" s="16" t="s">
        <v>91</v>
      </c>
      <c r="B418" s="16" t="s">
        <v>159</v>
      </c>
      <c r="C418" s="15">
        <v>9</v>
      </c>
      <c r="D418" s="17">
        <v>0</v>
      </c>
      <c r="E418" s="17">
        <v>8879930</v>
      </c>
      <c r="F418" s="17">
        <v>8879930</v>
      </c>
      <c r="G418" s="18">
        <v>0</v>
      </c>
      <c r="H418" s="10" t="str">
        <f t="shared" si="6"/>
        <v>COSTOS</v>
      </c>
      <c r="I418" s="19">
        <v>2025</v>
      </c>
    </row>
    <row r="419" spans="1:9" hidden="1" x14ac:dyDescent="0.3">
      <c r="A419" s="16" t="s">
        <v>91</v>
      </c>
      <c r="B419" s="16" t="s">
        <v>40</v>
      </c>
      <c r="C419" s="15">
        <v>1</v>
      </c>
      <c r="D419" s="17">
        <v>27370000</v>
      </c>
      <c r="E419" s="17">
        <v>30080000</v>
      </c>
      <c r="F419" s="17">
        <v>2710000</v>
      </c>
      <c r="G419" s="18">
        <v>1.0990135184508587</v>
      </c>
      <c r="H419" s="10" t="str">
        <f t="shared" si="6"/>
        <v>COSTOS</v>
      </c>
      <c r="I419" s="19">
        <v>2025</v>
      </c>
    </row>
    <row r="420" spans="1:9" hidden="1" x14ac:dyDescent="0.3">
      <c r="A420" s="16" t="s">
        <v>91</v>
      </c>
      <c r="B420" s="16" t="s">
        <v>40</v>
      </c>
      <c r="C420" s="15">
        <v>2</v>
      </c>
      <c r="D420" s="17">
        <v>22215000</v>
      </c>
      <c r="E420" s="17">
        <v>0</v>
      </c>
      <c r="F420" s="17">
        <v>-22215000</v>
      </c>
      <c r="G420" s="18">
        <v>0</v>
      </c>
      <c r="H420" s="10" t="str">
        <f t="shared" si="6"/>
        <v>COSTOS</v>
      </c>
      <c r="I420" s="19">
        <v>2025</v>
      </c>
    </row>
    <row r="421" spans="1:9" hidden="1" x14ac:dyDescent="0.3">
      <c r="A421" s="16" t="s">
        <v>91</v>
      </c>
      <c r="B421" s="16" t="s">
        <v>40</v>
      </c>
      <c r="C421" s="15">
        <v>3</v>
      </c>
      <c r="D421" s="17">
        <v>22215000</v>
      </c>
      <c r="E421" s="17">
        <v>0</v>
      </c>
      <c r="F421" s="17">
        <v>-22215000</v>
      </c>
      <c r="G421" s="18">
        <v>0</v>
      </c>
      <c r="H421" s="10" t="str">
        <f t="shared" si="6"/>
        <v>COSTOS</v>
      </c>
      <c r="I421" s="19">
        <v>2025</v>
      </c>
    </row>
    <row r="422" spans="1:9" hidden="1" x14ac:dyDescent="0.3">
      <c r="A422" s="16" t="s">
        <v>91</v>
      </c>
      <c r="B422" s="16" t="s">
        <v>40</v>
      </c>
      <c r="C422" s="15">
        <v>4</v>
      </c>
      <c r="D422" s="17">
        <v>22215000</v>
      </c>
      <c r="E422" s="17">
        <v>0</v>
      </c>
      <c r="F422" s="17">
        <v>-22215000</v>
      </c>
      <c r="G422" s="18">
        <v>0</v>
      </c>
      <c r="H422" s="10" t="str">
        <f t="shared" si="6"/>
        <v>COSTOS</v>
      </c>
      <c r="I422" s="19">
        <v>2025</v>
      </c>
    </row>
    <row r="423" spans="1:9" hidden="1" x14ac:dyDescent="0.3">
      <c r="A423" s="16" t="s">
        <v>91</v>
      </c>
      <c r="B423" s="16" t="s">
        <v>40</v>
      </c>
      <c r="C423" s="15">
        <v>5</v>
      </c>
      <c r="D423" s="17">
        <v>22215000</v>
      </c>
      <c r="E423" s="17">
        <v>63200000</v>
      </c>
      <c r="F423" s="17">
        <v>40985000</v>
      </c>
      <c r="G423" s="18">
        <v>2.8449246004951609</v>
      </c>
      <c r="H423" s="10" t="str">
        <f t="shared" si="6"/>
        <v>COSTOS</v>
      </c>
      <c r="I423" s="19">
        <v>2025</v>
      </c>
    </row>
    <row r="424" spans="1:9" hidden="1" x14ac:dyDescent="0.3">
      <c r="A424" s="16" t="s">
        <v>91</v>
      </c>
      <c r="B424" s="16" t="s">
        <v>16</v>
      </c>
      <c r="C424" s="15">
        <v>2</v>
      </c>
      <c r="D424" s="17">
        <v>0</v>
      </c>
      <c r="E424" s="17">
        <v>28815</v>
      </c>
      <c r="F424" s="17">
        <v>28815</v>
      </c>
      <c r="G424" s="18">
        <v>0</v>
      </c>
      <c r="H424" s="10" t="str">
        <f t="shared" si="6"/>
        <v>COSTOS</v>
      </c>
      <c r="I424" s="19">
        <v>2025</v>
      </c>
    </row>
    <row r="425" spans="1:9" hidden="1" x14ac:dyDescent="0.3">
      <c r="A425" s="16" t="s">
        <v>92</v>
      </c>
      <c r="B425" s="16" t="s">
        <v>40</v>
      </c>
      <c r="C425" s="15">
        <v>6</v>
      </c>
      <c r="D425" s="17">
        <v>7000000</v>
      </c>
      <c r="E425" s="17">
        <v>2210544</v>
      </c>
      <c r="F425" s="17">
        <v>-4789456</v>
      </c>
      <c r="G425" s="18">
        <v>0.31579200000000002</v>
      </c>
      <c r="H425" s="10" t="str">
        <f t="shared" si="6"/>
        <v>COSTOS</v>
      </c>
      <c r="I425" s="19">
        <v>2025</v>
      </c>
    </row>
    <row r="426" spans="1:9" hidden="1" x14ac:dyDescent="0.3">
      <c r="A426" s="16" t="s">
        <v>92</v>
      </c>
      <c r="B426" s="16" t="s">
        <v>16</v>
      </c>
      <c r="C426" s="15">
        <v>9</v>
      </c>
      <c r="D426" s="17">
        <v>0</v>
      </c>
      <c r="E426" s="17">
        <v>24000</v>
      </c>
      <c r="F426" s="17">
        <v>24000</v>
      </c>
      <c r="G426" s="18">
        <v>0</v>
      </c>
      <c r="H426" s="10" t="str">
        <f t="shared" si="6"/>
        <v>COSTOS</v>
      </c>
      <c r="I426" s="19">
        <v>2025</v>
      </c>
    </row>
    <row r="427" spans="1:9" hidden="1" x14ac:dyDescent="0.3">
      <c r="A427" s="16" t="s">
        <v>92</v>
      </c>
      <c r="B427" s="16" t="s">
        <v>41</v>
      </c>
      <c r="C427" s="15">
        <v>2</v>
      </c>
      <c r="D427" s="17">
        <v>215000</v>
      </c>
      <c r="E427" s="17">
        <v>0</v>
      </c>
      <c r="F427" s="17">
        <v>-215000</v>
      </c>
      <c r="G427" s="18">
        <v>0</v>
      </c>
      <c r="H427" s="10" t="str">
        <f t="shared" si="6"/>
        <v>COSTOS</v>
      </c>
      <c r="I427" s="19">
        <v>2025</v>
      </c>
    </row>
    <row r="428" spans="1:9" hidden="1" x14ac:dyDescent="0.3">
      <c r="A428" s="16" t="s">
        <v>92</v>
      </c>
      <c r="B428" s="16" t="s">
        <v>41</v>
      </c>
      <c r="C428" s="15">
        <v>7</v>
      </c>
      <c r="D428" s="17">
        <v>215000</v>
      </c>
      <c r="E428" s="17">
        <v>0</v>
      </c>
      <c r="F428" s="17">
        <v>-215000</v>
      </c>
      <c r="G428" s="18">
        <v>0</v>
      </c>
      <c r="H428" s="10" t="str">
        <f t="shared" si="6"/>
        <v>COSTOS</v>
      </c>
      <c r="I428" s="19">
        <v>2025</v>
      </c>
    </row>
    <row r="429" spans="1:9" hidden="1" x14ac:dyDescent="0.3">
      <c r="A429" s="16" t="s">
        <v>92</v>
      </c>
      <c r="B429" s="16" t="s">
        <v>41</v>
      </c>
      <c r="C429" s="15">
        <v>9</v>
      </c>
      <c r="D429" s="17">
        <v>0</v>
      </c>
      <c r="E429" s="17">
        <v>37815</v>
      </c>
      <c r="F429" s="17">
        <v>37815</v>
      </c>
      <c r="G429" s="18">
        <v>0</v>
      </c>
      <c r="H429" s="10" t="str">
        <f t="shared" si="6"/>
        <v>COSTOS</v>
      </c>
      <c r="I429" s="19">
        <v>2025</v>
      </c>
    </row>
    <row r="430" spans="1:9" hidden="1" x14ac:dyDescent="0.3">
      <c r="A430" s="16" t="s">
        <v>92</v>
      </c>
      <c r="B430" s="16" t="s">
        <v>28</v>
      </c>
      <c r="C430" s="15">
        <v>9</v>
      </c>
      <c r="D430" s="17">
        <v>0</v>
      </c>
      <c r="E430" s="17">
        <v>6400000</v>
      </c>
      <c r="F430" s="17">
        <v>6400000</v>
      </c>
      <c r="G430" s="18">
        <v>0</v>
      </c>
      <c r="H430" s="10" t="str">
        <f t="shared" si="6"/>
        <v>COSTOS</v>
      </c>
      <c r="I430" s="19">
        <v>2025</v>
      </c>
    </row>
    <row r="431" spans="1:9" hidden="1" x14ac:dyDescent="0.3">
      <c r="A431" s="16" t="s">
        <v>92</v>
      </c>
      <c r="B431" s="16" t="s">
        <v>41</v>
      </c>
      <c r="C431" s="15">
        <v>11</v>
      </c>
      <c r="D431" s="17">
        <v>215000</v>
      </c>
      <c r="E431" s="17">
        <v>0</v>
      </c>
      <c r="F431" s="17">
        <v>-215000</v>
      </c>
      <c r="G431" s="18">
        <v>0</v>
      </c>
      <c r="H431" s="10" t="str">
        <f t="shared" si="6"/>
        <v>COSTOS</v>
      </c>
      <c r="I431" s="19">
        <v>2025</v>
      </c>
    </row>
    <row r="432" spans="1:9" hidden="1" x14ac:dyDescent="0.3">
      <c r="A432" s="16" t="s">
        <v>229</v>
      </c>
      <c r="B432" s="16" t="s">
        <v>40</v>
      </c>
      <c r="C432" s="15">
        <v>12</v>
      </c>
      <c r="D432" s="17">
        <v>0</v>
      </c>
      <c r="E432" s="17">
        <v>3000000</v>
      </c>
      <c r="F432" s="17">
        <v>3000000</v>
      </c>
      <c r="G432" s="18">
        <v>0</v>
      </c>
      <c r="H432" s="10" t="str">
        <f t="shared" si="6"/>
        <v>COSTOS</v>
      </c>
      <c r="I432" s="19">
        <v>2025</v>
      </c>
    </row>
    <row r="433" spans="1:9" hidden="1" x14ac:dyDescent="0.3">
      <c r="A433" s="16" t="s">
        <v>229</v>
      </c>
      <c r="B433" s="16" t="s">
        <v>58</v>
      </c>
      <c r="C433" s="15">
        <v>12</v>
      </c>
      <c r="D433" s="17">
        <v>0</v>
      </c>
      <c r="E433" s="17">
        <v>1040000</v>
      </c>
      <c r="F433" s="17">
        <v>1040000</v>
      </c>
      <c r="G433" s="18">
        <v>0</v>
      </c>
      <c r="H433" s="10" t="str">
        <f t="shared" si="6"/>
        <v>COSTOS</v>
      </c>
      <c r="I433" s="19">
        <v>2025</v>
      </c>
    </row>
    <row r="434" spans="1:9" hidden="1" x14ac:dyDescent="0.3">
      <c r="A434" s="16" t="s">
        <v>93</v>
      </c>
      <c r="B434" s="16" t="s">
        <v>14</v>
      </c>
      <c r="C434" s="15">
        <v>2</v>
      </c>
      <c r="D434" s="17">
        <v>0</v>
      </c>
      <c r="E434" s="17">
        <v>6000</v>
      </c>
      <c r="F434" s="17">
        <v>6000</v>
      </c>
      <c r="G434" s="18">
        <v>0</v>
      </c>
      <c r="H434" s="10" t="str">
        <f t="shared" si="6"/>
        <v>COSTOS</v>
      </c>
      <c r="I434" s="19">
        <v>2025</v>
      </c>
    </row>
    <row r="435" spans="1:9" hidden="1" x14ac:dyDescent="0.3">
      <c r="A435" s="16" t="s">
        <v>93</v>
      </c>
      <c r="B435" s="16" t="s">
        <v>14</v>
      </c>
      <c r="C435" s="15">
        <v>3</v>
      </c>
      <c r="D435" s="17">
        <v>34844.9</v>
      </c>
      <c r="E435" s="17">
        <v>0</v>
      </c>
      <c r="F435" s="17">
        <v>-34844.9</v>
      </c>
      <c r="G435" s="18">
        <v>0</v>
      </c>
      <c r="H435" s="10" t="str">
        <f t="shared" si="6"/>
        <v>COSTOS</v>
      </c>
      <c r="I435" s="19">
        <v>2025</v>
      </c>
    </row>
    <row r="436" spans="1:9" hidden="1" x14ac:dyDescent="0.3">
      <c r="A436" s="16" t="s">
        <v>93</v>
      </c>
      <c r="B436" s="16" t="s">
        <v>14</v>
      </c>
      <c r="C436" s="15">
        <v>4</v>
      </c>
      <c r="D436" s="17">
        <v>22844.9</v>
      </c>
      <c r="E436" s="17">
        <v>0</v>
      </c>
      <c r="F436" s="17">
        <v>-22844.9</v>
      </c>
      <c r="G436" s="18">
        <v>0</v>
      </c>
      <c r="H436" s="10" t="str">
        <f t="shared" si="6"/>
        <v>COSTOS</v>
      </c>
      <c r="I436" s="19">
        <v>2025</v>
      </c>
    </row>
    <row r="437" spans="1:9" hidden="1" x14ac:dyDescent="0.3">
      <c r="A437" s="16" t="s">
        <v>93</v>
      </c>
      <c r="B437" s="16" t="s">
        <v>14</v>
      </c>
      <c r="C437" s="15">
        <v>5</v>
      </c>
      <c r="D437" s="17">
        <v>22844.9</v>
      </c>
      <c r="E437" s="17">
        <v>0</v>
      </c>
      <c r="F437" s="17">
        <v>-22844.9</v>
      </c>
      <c r="G437" s="18">
        <v>0</v>
      </c>
      <c r="H437" s="10" t="str">
        <f t="shared" si="6"/>
        <v>COSTOS</v>
      </c>
      <c r="I437" s="19">
        <v>2025</v>
      </c>
    </row>
    <row r="438" spans="1:9" hidden="1" x14ac:dyDescent="0.3">
      <c r="A438" s="16" t="s">
        <v>93</v>
      </c>
      <c r="B438" s="16" t="s">
        <v>14</v>
      </c>
      <c r="C438" s="15">
        <v>6</v>
      </c>
      <c r="D438" s="17">
        <v>34844.9</v>
      </c>
      <c r="E438" s="17">
        <v>0</v>
      </c>
      <c r="F438" s="17">
        <v>-34844.9</v>
      </c>
      <c r="G438" s="18">
        <v>0</v>
      </c>
      <c r="H438" s="10" t="str">
        <f t="shared" si="6"/>
        <v>COSTOS</v>
      </c>
      <c r="I438" s="19">
        <v>2025</v>
      </c>
    </row>
    <row r="439" spans="1:9" hidden="1" x14ac:dyDescent="0.3">
      <c r="A439" s="16" t="s">
        <v>93</v>
      </c>
      <c r="B439" s="16" t="s">
        <v>14</v>
      </c>
      <c r="C439" s="15">
        <v>7</v>
      </c>
      <c r="D439" s="17">
        <v>34844.9</v>
      </c>
      <c r="E439" s="17">
        <v>0</v>
      </c>
      <c r="F439" s="17">
        <v>-34844.9</v>
      </c>
      <c r="G439" s="18">
        <v>0</v>
      </c>
      <c r="H439" s="10" t="str">
        <f t="shared" si="6"/>
        <v>COSTOS</v>
      </c>
      <c r="I439" s="19">
        <v>2025</v>
      </c>
    </row>
    <row r="440" spans="1:9" hidden="1" x14ac:dyDescent="0.3">
      <c r="A440" s="16" t="s">
        <v>93</v>
      </c>
      <c r="B440" s="16" t="s">
        <v>14</v>
      </c>
      <c r="C440" s="15">
        <v>8</v>
      </c>
      <c r="D440" s="17">
        <v>22844.9</v>
      </c>
      <c r="E440" s="17">
        <v>0</v>
      </c>
      <c r="F440" s="17">
        <v>-22844.9</v>
      </c>
      <c r="G440" s="18">
        <v>0</v>
      </c>
      <c r="H440" s="10" t="str">
        <f t="shared" si="6"/>
        <v>COSTOS</v>
      </c>
      <c r="I440" s="19">
        <v>2025</v>
      </c>
    </row>
    <row r="441" spans="1:9" hidden="1" x14ac:dyDescent="0.3">
      <c r="A441" s="16" t="s">
        <v>93</v>
      </c>
      <c r="B441" s="16" t="s">
        <v>14</v>
      </c>
      <c r="C441" s="15">
        <v>9</v>
      </c>
      <c r="D441" s="17">
        <v>34844.9</v>
      </c>
      <c r="E441" s="17">
        <v>0</v>
      </c>
      <c r="F441" s="17">
        <v>-34844.9</v>
      </c>
      <c r="G441" s="18">
        <v>0</v>
      </c>
      <c r="H441" s="10" t="str">
        <f t="shared" si="6"/>
        <v>COSTOS</v>
      </c>
      <c r="I441" s="19">
        <v>2025</v>
      </c>
    </row>
    <row r="442" spans="1:9" hidden="1" x14ac:dyDescent="0.3">
      <c r="A442" s="16" t="s">
        <v>93</v>
      </c>
      <c r="B442" s="16" t="s">
        <v>14</v>
      </c>
      <c r="C442" s="15">
        <v>10</v>
      </c>
      <c r="D442" s="17">
        <v>34844.9</v>
      </c>
      <c r="E442" s="17">
        <v>0</v>
      </c>
      <c r="F442" s="17">
        <v>-34844.9</v>
      </c>
      <c r="G442" s="18">
        <v>0</v>
      </c>
      <c r="H442" s="10" t="str">
        <f t="shared" si="6"/>
        <v>COSTOS</v>
      </c>
      <c r="I442" s="19">
        <v>2025</v>
      </c>
    </row>
    <row r="443" spans="1:9" hidden="1" x14ac:dyDescent="0.3">
      <c r="A443" s="16" t="s">
        <v>93</v>
      </c>
      <c r="B443" s="16" t="s">
        <v>16</v>
      </c>
      <c r="C443" s="15">
        <v>6</v>
      </c>
      <c r="D443" s="17">
        <v>0</v>
      </c>
      <c r="E443" s="17">
        <v>195000</v>
      </c>
      <c r="F443" s="17">
        <v>195000</v>
      </c>
      <c r="G443" s="18">
        <v>0</v>
      </c>
      <c r="H443" s="10" t="str">
        <f t="shared" si="6"/>
        <v>COSTOS</v>
      </c>
      <c r="I443" s="19">
        <v>2025</v>
      </c>
    </row>
    <row r="444" spans="1:9" hidden="1" x14ac:dyDescent="0.3">
      <c r="A444" s="16" t="s">
        <v>93</v>
      </c>
      <c r="B444" s="16" t="s">
        <v>16</v>
      </c>
      <c r="C444" s="15">
        <v>8</v>
      </c>
      <c r="D444" s="17">
        <v>0</v>
      </c>
      <c r="E444" s="17">
        <v>10000</v>
      </c>
      <c r="F444" s="17">
        <v>10000</v>
      </c>
      <c r="G444" s="18">
        <v>0</v>
      </c>
      <c r="H444" s="10" t="str">
        <f t="shared" si="6"/>
        <v>COSTOS</v>
      </c>
      <c r="I444" s="19">
        <v>2025</v>
      </c>
    </row>
    <row r="445" spans="1:9" hidden="1" x14ac:dyDescent="0.3">
      <c r="A445" s="16" t="s">
        <v>93</v>
      </c>
      <c r="B445" s="16" t="s">
        <v>94</v>
      </c>
      <c r="C445" s="15">
        <v>1</v>
      </c>
      <c r="D445" s="17">
        <v>142623</v>
      </c>
      <c r="E445" s="17">
        <v>175090</v>
      </c>
      <c r="F445" s="17">
        <v>32467</v>
      </c>
      <c r="G445" s="18">
        <v>1.2276421054107682</v>
      </c>
      <c r="H445" s="10" t="str">
        <f t="shared" si="6"/>
        <v>COSTOS</v>
      </c>
      <c r="I445" s="19">
        <v>2025</v>
      </c>
    </row>
    <row r="446" spans="1:9" hidden="1" x14ac:dyDescent="0.3">
      <c r="A446" s="16" t="s">
        <v>93</v>
      </c>
      <c r="B446" s="16" t="s">
        <v>94</v>
      </c>
      <c r="C446" s="15">
        <v>2</v>
      </c>
      <c r="D446" s="17">
        <v>115697</v>
      </c>
      <c r="E446" s="17">
        <v>166866</v>
      </c>
      <c r="F446" s="17">
        <v>51169</v>
      </c>
      <c r="G446" s="18">
        <v>1.4422673016586429</v>
      </c>
      <c r="H446" s="10" t="str">
        <f t="shared" si="6"/>
        <v>COSTOS</v>
      </c>
      <c r="I446" s="19">
        <v>2025</v>
      </c>
    </row>
    <row r="447" spans="1:9" hidden="1" x14ac:dyDescent="0.3">
      <c r="A447" s="16" t="s">
        <v>93</v>
      </c>
      <c r="B447" s="16" t="s">
        <v>94</v>
      </c>
      <c r="C447" s="15">
        <v>3</v>
      </c>
      <c r="D447" s="17">
        <v>115879</v>
      </c>
      <c r="E447" s="17">
        <v>167309</v>
      </c>
      <c r="F447" s="17">
        <v>51430</v>
      </c>
      <c r="G447" s="18">
        <v>1.4438250243788779</v>
      </c>
      <c r="H447" s="10" t="str">
        <f t="shared" si="6"/>
        <v>COSTOS</v>
      </c>
      <c r="I447" s="19">
        <v>2025</v>
      </c>
    </row>
    <row r="448" spans="1:9" hidden="1" x14ac:dyDescent="0.3">
      <c r="A448" s="16" t="s">
        <v>93</v>
      </c>
      <c r="B448" s="16" t="s">
        <v>94</v>
      </c>
      <c r="C448" s="15">
        <v>4</v>
      </c>
      <c r="D448" s="17">
        <v>115590</v>
      </c>
      <c r="E448" s="17">
        <v>177549</v>
      </c>
      <c r="F448" s="17">
        <v>61959</v>
      </c>
      <c r="G448" s="18">
        <v>1.5360238774980535</v>
      </c>
      <c r="H448" s="10" t="str">
        <f t="shared" si="6"/>
        <v>COSTOS</v>
      </c>
      <c r="I448" s="19">
        <v>2025</v>
      </c>
    </row>
    <row r="449" spans="1:9" hidden="1" x14ac:dyDescent="0.3">
      <c r="A449" s="16" t="s">
        <v>93</v>
      </c>
      <c r="B449" s="16" t="s">
        <v>94</v>
      </c>
      <c r="C449" s="15">
        <v>5</v>
      </c>
      <c r="D449" s="17">
        <v>114766</v>
      </c>
      <c r="E449" s="17">
        <v>197678</v>
      </c>
      <c r="F449" s="17">
        <v>82912</v>
      </c>
      <c r="G449" s="18">
        <v>1.7224439293867522</v>
      </c>
      <c r="H449" s="10" t="str">
        <f t="shared" si="6"/>
        <v>COSTOS</v>
      </c>
      <c r="I449" s="19">
        <v>2025</v>
      </c>
    </row>
    <row r="450" spans="1:9" hidden="1" x14ac:dyDescent="0.3">
      <c r="A450" s="16" t="s">
        <v>93</v>
      </c>
      <c r="B450" s="16" t="s">
        <v>94</v>
      </c>
      <c r="C450" s="15">
        <v>6</v>
      </c>
      <c r="D450" s="17">
        <v>115005</v>
      </c>
      <c r="E450" s="17">
        <v>201480</v>
      </c>
      <c r="F450" s="17">
        <v>86475</v>
      </c>
      <c r="G450" s="18">
        <v>1.7519238293987218</v>
      </c>
      <c r="H450" s="10" t="str">
        <f t="shared" si="6"/>
        <v>COSTOS</v>
      </c>
      <c r="I450" s="19">
        <v>2025</v>
      </c>
    </row>
    <row r="451" spans="1:9" hidden="1" x14ac:dyDescent="0.3">
      <c r="A451" s="16" t="s">
        <v>93</v>
      </c>
      <c r="B451" s="16" t="s">
        <v>94</v>
      </c>
      <c r="C451" s="15">
        <v>7</v>
      </c>
      <c r="D451" s="17">
        <v>121954</v>
      </c>
      <c r="E451" s="17">
        <v>194918</v>
      </c>
      <c r="F451" s="17">
        <v>72964</v>
      </c>
      <c r="G451" s="18">
        <v>1.5982911589615758</v>
      </c>
      <c r="H451" s="10" t="str">
        <f t="shared" ref="H451:H514" si="7">+IF(OR(A451="ADMINISTRACION",A451="COMERCIAL",A451="COMERCIAL-EXPORTACIONES",A451="LEASING DE LA BODEGA",A451="LOGISTICA-SALIDA",A451="OTROS GASTOS",A451="BODEGA ALQUILADA", A451="BODEGA CARTOPLAST", A451="BODEGA CARTOPLAS", A451= "GESTION HUMANA-OTROS GASTOS"),"GASTOS","COSTOS")</f>
        <v>COSTOS</v>
      </c>
      <c r="I451" s="19">
        <v>2025</v>
      </c>
    </row>
    <row r="452" spans="1:9" hidden="1" x14ac:dyDescent="0.3">
      <c r="A452" s="16" t="s">
        <v>93</v>
      </c>
      <c r="B452" s="16" t="s">
        <v>94</v>
      </c>
      <c r="C452" s="15">
        <v>8</v>
      </c>
      <c r="D452" s="17">
        <v>124339</v>
      </c>
      <c r="E452" s="17">
        <v>196794</v>
      </c>
      <c r="F452" s="17">
        <v>72455</v>
      </c>
      <c r="G452" s="18">
        <v>1.5827214309267408</v>
      </c>
      <c r="H452" s="10" t="str">
        <f t="shared" si="7"/>
        <v>COSTOS</v>
      </c>
      <c r="I452" s="19">
        <v>2025</v>
      </c>
    </row>
    <row r="453" spans="1:9" hidden="1" x14ac:dyDescent="0.3">
      <c r="A453" s="16" t="s">
        <v>93</v>
      </c>
      <c r="B453" s="16" t="s">
        <v>94</v>
      </c>
      <c r="C453" s="15">
        <v>9</v>
      </c>
      <c r="D453" s="17">
        <v>125825</v>
      </c>
      <c r="E453" s="17">
        <v>189686</v>
      </c>
      <c r="F453" s="17">
        <v>63861</v>
      </c>
      <c r="G453" s="18">
        <v>1.5075382475660641</v>
      </c>
      <c r="H453" s="10" t="str">
        <f t="shared" si="7"/>
        <v>COSTOS</v>
      </c>
      <c r="I453" s="19">
        <v>2025</v>
      </c>
    </row>
    <row r="454" spans="1:9" hidden="1" x14ac:dyDescent="0.3">
      <c r="A454" s="16" t="s">
        <v>93</v>
      </c>
      <c r="B454" s="16" t="s">
        <v>94</v>
      </c>
      <c r="C454" s="15">
        <v>10</v>
      </c>
      <c r="D454" s="17">
        <v>125763</v>
      </c>
      <c r="E454" s="17">
        <v>189112</v>
      </c>
      <c r="F454" s="17">
        <v>63349</v>
      </c>
      <c r="G454" s="18">
        <v>1.5037173095425522</v>
      </c>
      <c r="H454" s="10" t="str">
        <f t="shared" si="7"/>
        <v>COSTOS</v>
      </c>
      <c r="I454" s="19">
        <v>2025</v>
      </c>
    </row>
    <row r="455" spans="1:9" hidden="1" x14ac:dyDescent="0.3">
      <c r="A455" s="16" t="s">
        <v>93</v>
      </c>
      <c r="B455" s="16" t="s">
        <v>62</v>
      </c>
      <c r="C455" s="15">
        <v>8</v>
      </c>
      <c r="D455" s="17">
        <v>0</v>
      </c>
      <c r="E455" s="17">
        <v>290000</v>
      </c>
      <c r="F455" s="17">
        <v>290000</v>
      </c>
      <c r="G455" s="18">
        <v>0</v>
      </c>
      <c r="H455" s="10" t="str">
        <f t="shared" si="7"/>
        <v>COSTOS</v>
      </c>
      <c r="I455" s="19">
        <v>2025</v>
      </c>
    </row>
    <row r="456" spans="1:9" hidden="1" x14ac:dyDescent="0.3">
      <c r="A456" s="16" t="s">
        <v>93</v>
      </c>
      <c r="B456" s="16" t="s">
        <v>42</v>
      </c>
      <c r="C456" s="15">
        <v>1</v>
      </c>
      <c r="D456" s="17">
        <v>0</v>
      </c>
      <c r="E456" s="17">
        <v>2249900</v>
      </c>
      <c r="F456" s="17">
        <v>2249900</v>
      </c>
      <c r="G456" s="18">
        <v>0</v>
      </c>
      <c r="H456" s="10" t="str">
        <f t="shared" si="7"/>
        <v>COSTOS</v>
      </c>
      <c r="I456" s="19">
        <v>2025</v>
      </c>
    </row>
    <row r="457" spans="1:9" hidden="1" x14ac:dyDescent="0.3">
      <c r="A457" s="16" t="s">
        <v>93</v>
      </c>
      <c r="B457" s="16" t="s">
        <v>42</v>
      </c>
      <c r="C457" s="15">
        <v>9</v>
      </c>
      <c r="D457" s="17">
        <v>0</v>
      </c>
      <c r="E457" s="17">
        <v>2490000</v>
      </c>
      <c r="F457" s="17">
        <v>2490000</v>
      </c>
      <c r="G457" s="18">
        <v>0</v>
      </c>
      <c r="H457" s="10" t="str">
        <f t="shared" si="7"/>
        <v>COSTOS</v>
      </c>
      <c r="I457" s="19">
        <v>2025</v>
      </c>
    </row>
    <row r="458" spans="1:9" hidden="1" x14ac:dyDescent="0.3">
      <c r="A458" s="16" t="s">
        <v>93</v>
      </c>
      <c r="B458" s="16" t="s">
        <v>27</v>
      </c>
      <c r="C458" s="15">
        <v>1</v>
      </c>
      <c r="D458" s="17">
        <v>104836</v>
      </c>
      <c r="E458" s="17">
        <v>0</v>
      </c>
      <c r="F458" s="17">
        <v>-104836</v>
      </c>
      <c r="G458" s="18">
        <v>0</v>
      </c>
      <c r="H458" s="10" t="str">
        <f t="shared" si="7"/>
        <v>COSTOS</v>
      </c>
      <c r="I458" s="19">
        <v>2025</v>
      </c>
    </row>
    <row r="459" spans="1:9" hidden="1" x14ac:dyDescent="0.3">
      <c r="A459" s="16" t="s">
        <v>93</v>
      </c>
      <c r="B459" s="16" t="s">
        <v>27</v>
      </c>
      <c r="C459" s="15">
        <v>2</v>
      </c>
      <c r="D459" s="17">
        <v>107208</v>
      </c>
      <c r="E459" s="17">
        <v>105373</v>
      </c>
      <c r="F459" s="17">
        <v>-1835</v>
      </c>
      <c r="G459" s="18">
        <v>0.9828837400194016</v>
      </c>
      <c r="H459" s="10" t="str">
        <f t="shared" si="7"/>
        <v>COSTOS</v>
      </c>
      <c r="I459" s="19">
        <v>2025</v>
      </c>
    </row>
    <row r="460" spans="1:9" hidden="1" x14ac:dyDescent="0.3">
      <c r="A460" s="16" t="s">
        <v>93</v>
      </c>
      <c r="B460" s="16" t="s">
        <v>27</v>
      </c>
      <c r="C460" s="15">
        <v>3</v>
      </c>
      <c r="D460" s="17">
        <v>112852</v>
      </c>
      <c r="E460" s="17">
        <v>103291</v>
      </c>
      <c r="F460" s="17">
        <v>-9561</v>
      </c>
      <c r="G460" s="18">
        <v>0.9152784177506823</v>
      </c>
      <c r="H460" s="10" t="str">
        <f t="shared" si="7"/>
        <v>COSTOS</v>
      </c>
      <c r="I460" s="19">
        <v>2025</v>
      </c>
    </row>
    <row r="461" spans="1:9" hidden="1" x14ac:dyDescent="0.3">
      <c r="A461" s="16" t="s">
        <v>93</v>
      </c>
      <c r="B461" s="16" t="s">
        <v>27</v>
      </c>
      <c r="C461" s="15">
        <v>4</v>
      </c>
      <c r="D461" s="17">
        <v>119871</v>
      </c>
      <c r="E461" s="17">
        <v>116631</v>
      </c>
      <c r="F461" s="17">
        <v>-3240</v>
      </c>
      <c r="G461" s="18">
        <v>0.97297094376454696</v>
      </c>
      <c r="H461" s="10" t="str">
        <f t="shared" si="7"/>
        <v>COSTOS</v>
      </c>
      <c r="I461" s="19">
        <v>2025</v>
      </c>
    </row>
    <row r="462" spans="1:9" hidden="1" x14ac:dyDescent="0.3">
      <c r="A462" s="16" t="s">
        <v>93</v>
      </c>
      <c r="B462" s="16" t="s">
        <v>27</v>
      </c>
      <c r="C462" s="15">
        <v>5</v>
      </c>
      <c r="D462" s="17">
        <v>116843</v>
      </c>
      <c r="E462" s="17">
        <v>133629</v>
      </c>
      <c r="F462" s="17">
        <v>16786</v>
      </c>
      <c r="G462" s="18">
        <v>1.1436628638429345</v>
      </c>
      <c r="H462" s="10" t="str">
        <f t="shared" si="7"/>
        <v>COSTOS</v>
      </c>
      <c r="I462" s="19">
        <v>2025</v>
      </c>
    </row>
    <row r="463" spans="1:9" hidden="1" x14ac:dyDescent="0.3">
      <c r="A463" s="16" t="s">
        <v>93</v>
      </c>
      <c r="B463" s="16" t="s">
        <v>27</v>
      </c>
      <c r="C463" s="15">
        <v>6</v>
      </c>
      <c r="D463" s="17">
        <v>123860</v>
      </c>
      <c r="E463" s="17">
        <v>137275</v>
      </c>
      <c r="F463" s="17">
        <v>13415</v>
      </c>
      <c r="G463" s="18">
        <v>1.1083077668335217</v>
      </c>
      <c r="H463" s="10" t="str">
        <f t="shared" si="7"/>
        <v>COSTOS</v>
      </c>
      <c r="I463" s="19">
        <v>2025</v>
      </c>
    </row>
    <row r="464" spans="1:9" hidden="1" x14ac:dyDescent="0.3">
      <c r="A464" s="16" t="s">
        <v>93</v>
      </c>
      <c r="B464" s="16" t="s">
        <v>27</v>
      </c>
      <c r="C464" s="15">
        <v>7</v>
      </c>
      <c r="D464" s="17">
        <v>110964</v>
      </c>
      <c r="E464" s="17">
        <v>145546</v>
      </c>
      <c r="F464" s="17">
        <v>34582</v>
      </c>
      <c r="G464" s="18">
        <v>1.3116506254280669</v>
      </c>
      <c r="H464" s="10" t="str">
        <f t="shared" si="7"/>
        <v>COSTOS</v>
      </c>
      <c r="I464" s="19">
        <v>2025</v>
      </c>
    </row>
    <row r="465" spans="1:9" hidden="1" x14ac:dyDescent="0.3">
      <c r="A465" s="16" t="s">
        <v>93</v>
      </c>
      <c r="B465" s="16" t="s">
        <v>27</v>
      </c>
      <c r="C465" s="15">
        <v>8</v>
      </c>
      <c r="D465" s="17">
        <v>98427</v>
      </c>
      <c r="E465" s="17">
        <v>128748</v>
      </c>
      <c r="F465" s="17">
        <v>30321</v>
      </c>
      <c r="G465" s="18">
        <v>1.3080557164192752</v>
      </c>
      <c r="H465" s="10" t="str">
        <f t="shared" si="7"/>
        <v>COSTOS</v>
      </c>
      <c r="I465" s="19">
        <v>2025</v>
      </c>
    </row>
    <row r="466" spans="1:9" hidden="1" x14ac:dyDescent="0.3">
      <c r="A466" s="16" t="s">
        <v>93</v>
      </c>
      <c r="B466" s="16" t="s">
        <v>27</v>
      </c>
      <c r="C466" s="15">
        <v>9</v>
      </c>
      <c r="D466" s="17">
        <v>126679</v>
      </c>
      <c r="E466" s="17">
        <v>166388</v>
      </c>
      <c r="F466" s="17">
        <v>39709</v>
      </c>
      <c r="G466" s="18">
        <v>1.3134615840036628</v>
      </c>
      <c r="H466" s="10" t="str">
        <f t="shared" si="7"/>
        <v>COSTOS</v>
      </c>
      <c r="I466" s="19">
        <v>2025</v>
      </c>
    </row>
    <row r="467" spans="1:9" hidden="1" x14ac:dyDescent="0.3">
      <c r="A467" s="16" t="s">
        <v>93</v>
      </c>
      <c r="B467" s="16" t="s">
        <v>27</v>
      </c>
      <c r="C467" s="15">
        <v>10</v>
      </c>
      <c r="D467" s="17">
        <v>131353</v>
      </c>
      <c r="E467" s="17">
        <v>177367</v>
      </c>
      <c r="F467" s="17">
        <v>46014</v>
      </c>
      <c r="G467" s="18">
        <v>1.3503079488096961</v>
      </c>
      <c r="H467" s="10" t="str">
        <f t="shared" si="7"/>
        <v>COSTOS</v>
      </c>
      <c r="I467" s="19">
        <v>2025</v>
      </c>
    </row>
    <row r="468" spans="1:9" hidden="1" x14ac:dyDescent="0.3">
      <c r="A468" s="16" t="s">
        <v>93</v>
      </c>
      <c r="B468" s="16" t="s">
        <v>28</v>
      </c>
      <c r="C468" s="15">
        <v>1</v>
      </c>
      <c r="D468" s="17">
        <v>25525</v>
      </c>
      <c r="E468" s="17">
        <v>73175</v>
      </c>
      <c r="F468" s="17">
        <v>47650</v>
      </c>
      <c r="G468" s="18">
        <v>2.8667972575905978</v>
      </c>
      <c r="H468" s="10" t="str">
        <f t="shared" si="7"/>
        <v>COSTOS</v>
      </c>
      <c r="I468" s="19">
        <v>2025</v>
      </c>
    </row>
    <row r="469" spans="1:9" hidden="1" x14ac:dyDescent="0.3">
      <c r="A469" s="16" t="s">
        <v>93</v>
      </c>
      <c r="B469" s="16" t="s">
        <v>28</v>
      </c>
      <c r="C469" s="15">
        <v>2</v>
      </c>
      <c r="D469" s="17">
        <v>28826</v>
      </c>
      <c r="E469" s="17">
        <v>34343</v>
      </c>
      <c r="F469" s="17">
        <v>5517</v>
      </c>
      <c r="G469" s="18">
        <v>1.1913897176160411</v>
      </c>
      <c r="H469" s="10" t="str">
        <f t="shared" si="7"/>
        <v>COSTOS</v>
      </c>
      <c r="I469" s="19">
        <v>2025</v>
      </c>
    </row>
    <row r="470" spans="1:9" hidden="1" x14ac:dyDescent="0.3">
      <c r="A470" s="16" t="s">
        <v>93</v>
      </c>
      <c r="B470" s="16" t="s">
        <v>28</v>
      </c>
      <c r="C470" s="15">
        <v>3</v>
      </c>
      <c r="D470" s="17">
        <v>110802</v>
      </c>
      <c r="E470" s="17">
        <v>123924</v>
      </c>
      <c r="F470" s="17">
        <v>13122</v>
      </c>
      <c r="G470" s="18">
        <v>1.1184274652082093</v>
      </c>
      <c r="H470" s="10" t="str">
        <f t="shared" si="7"/>
        <v>COSTOS</v>
      </c>
      <c r="I470" s="19">
        <v>2025</v>
      </c>
    </row>
    <row r="471" spans="1:9" hidden="1" x14ac:dyDescent="0.3">
      <c r="A471" s="16" t="s">
        <v>93</v>
      </c>
      <c r="B471" s="16" t="s">
        <v>28</v>
      </c>
      <c r="C471" s="15">
        <v>4</v>
      </c>
      <c r="D471" s="17">
        <v>14396</v>
      </c>
      <c r="E471" s="17">
        <v>48825</v>
      </c>
      <c r="F471" s="17">
        <v>34429</v>
      </c>
      <c r="G471" s="18">
        <v>3.3915671019727704</v>
      </c>
      <c r="H471" s="10" t="str">
        <f t="shared" si="7"/>
        <v>COSTOS</v>
      </c>
      <c r="I471" s="19">
        <v>2025</v>
      </c>
    </row>
    <row r="472" spans="1:9" hidden="1" x14ac:dyDescent="0.3">
      <c r="A472" s="16" t="s">
        <v>93</v>
      </c>
      <c r="B472" s="16" t="s">
        <v>28</v>
      </c>
      <c r="C472" s="15">
        <v>5</v>
      </c>
      <c r="D472" s="17">
        <v>22606</v>
      </c>
      <c r="E472" s="17">
        <v>81967</v>
      </c>
      <c r="F472" s="17">
        <v>59361</v>
      </c>
      <c r="G472" s="18">
        <v>3.6258957798814477</v>
      </c>
      <c r="H472" s="10" t="str">
        <f t="shared" si="7"/>
        <v>COSTOS</v>
      </c>
      <c r="I472" s="19">
        <v>2025</v>
      </c>
    </row>
    <row r="473" spans="1:9" hidden="1" x14ac:dyDescent="0.3">
      <c r="A473" s="16" t="s">
        <v>93</v>
      </c>
      <c r="B473" s="16" t="s">
        <v>28</v>
      </c>
      <c r="C473" s="15">
        <v>6</v>
      </c>
      <c r="D473" s="17">
        <v>34205</v>
      </c>
      <c r="E473" s="17">
        <v>53895</v>
      </c>
      <c r="F473" s="17">
        <v>19690</v>
      </c>
      <c r="G473" s="18">
        <v>1.5756468352580033</v>
      </c>
      <c r="H473" s="10" t="str">
        <f t="shared" si="7"/>
        <v>COSTOS</v>
      </c>
      <c r="I473" s="19">
        <v>2025</v>
      </c>
    </row>
    <row r="474" spans="1:9" hidden="1" x14ac:dyDescent="0.3">
      <c r="A474" s="16" t="s">
        <v>93</v>
      </c>
      <c r="B474" s="16" t="s">
        <v>28</v>
      </c>
      <c r="C474" s="15">
        <v>7</v>
      </c>
      <c r="D474" s="17">
        <v>29973</v>
      </c>
      <c r="E474" s="17">
        <v>83431</v>
      </c>
      <c r="F474" s="17">
        <v>53458</v>
      </c>
      <c r="G474" s="18">
        <v>2.7835385179995331</v>
      </c>
      <c r="H474" s="10" t="str">
        <f t="shared" si="7"/>
        <v>COSTOS</v>
      </c>
      <c r="I474" s="19">
        <v>2025</v>
      </c>
    </row>
    <row r="475" spans="1:9" hidden="1" x14ac:dyDescent="0.3">
      <c r="A475" s="16" t="s">
        <v>93</v>
      </c>
      <c r="B475" s="16" t="s">
        <v>28</v>
      </c>
      <c r="C475" s="15">
        <v>8</v>
      </c>
      <c r="D475" s="17">
        <v>20108</v>
      </c>
      <c r="E475" s="17">
        <v>76788</v>
      </c>
      <c r="F475" s="17">
        <v>56680</v>
      </c>
      <c r="G475" s="18">
        <v>3.8187785955838476</v>
      </c>
      <c r="H475" s="10" t="str">
        <f t="shared" si="7"/>
        <v>COSTOS</v>
      </c>
      <c r="I475" s="19">
        <v>2025</v>
      </c>
    </row>
    <row r="476" spans="1:9" hidden="1" x14ac:dyDescent="0.3">
      <c r="A476" s="16" t="s">
        <v>93</v>
      </c>
      <c r="B476" s="16" t="s">
        <v>28</v>
      </c>
      <c r="C476" s="15">
        <v>9</v>
      </c>
      <c r="D476" s="17">
        <v>64035</v>
      </c>
      <c r="E476" s="17">
        <v>33144</v>
      </c>
      <c r="F476" s="17">
        <v>-30891</v>
      </c>
      <c r="G476" s="18">
        <v>0.51759194190676971</v>
      </c>
      <c r="H476" s="10" t="str">
        <f t="shared" si="7"/>
        <v>COSTOS</v>
      </c>
      <c r="I476" s="19">
        <v>2025</v>
      </c>
    </row>
    <row r="477" spans="1:9" hidden="1" x14ac:dyDescent="0.3">
      <c r="A477" s="16" t="s">
        <v>93</v>
      </c>
      <c r="B477" s="16" t="s">
        <v>28</v>
      </c>
      <c r="C477" s="15">
        <v>10</v>
      </c>
      <c r="D477" s="17">
        <v>20323</v>
      </c>
      <c r="E477" s="17">
        <v>56684</v>
      </c>
      <c r="F477" s="17">
        <v>36361</v>
      </c>
      <c r="G477" s="18">
        <v>2.7891551444176548</v>
      </c>
      <c r="H477" s="10" t="str">
        <f t="shared" si="7"/>
        <v>COSTOS</v>
      </c>
      <c r="I477" s="19">
        <v>2025</v>
      </c>
    </row>
    <row r="478" spans="1:9" hidden="1" x14ac:dyDescent="0.3">
      <c r="A478" s="16" t="s">
        <v>93</v>
      </c>
      <c r="B478" s="16" t="s">
        <v>29</v>
      </c>
      <c r="C478" s="15">
        <v>1</v>
      </c>
      <c r="D478" s="17">
        <v>49154</v>
      </c>
      <c r="E478" s="17">
        <v>0</v>
      </c>
      <c r="F478" s="17">
        <v>-49154</v>
      </c>
      <c r="G478" s="18">
        <v>0</v>
      </c>
      <c r="H478" s="10" t="str">
        <f t="shared" si="7"/>
        <v>COSTOS</v>
      </c>
      <c r="I478" s="19">
        <v>2025</v>
      </c>
    </row>
    <row r="479" spans="1:9" hidden="1" x14ac:dyDescent="0.3">
      <c r="A479" s="16" t="s">
        <v>93</v>
      </c>
      <c r="B479" s="16" t="s">
        <v>29</v>
      </c>
      <c r="C479" s="15">
        <v>2</v>
      </c>
      <c r="D479" s="17">
        <v>80203</v>
      </c>
      <c r="E479" s="17">
        <v>0</v>
      </c>
      <c r="F479" s="17">
        <v>-80203</v>
      </c>
      <c r="G479" s="18">
        <v>0</v>
      </c>
      <c r="H479" s="10" t="str">
        <f t="shared" si="7"/>
        <v>COSTOS</v>
      </c>
      <c r="I479" s="19">
        <v>2025</v>
      </c>
    </row>
    <row r="480" spans="1:9" hidden="1" x14ac:dyDescent="0.3">
      <c r="A480" s="16" t="s">
        <v>93</v>
      </c>
      <c r="B480" s="16" t="s">
        <v>29</v>
      </c>
      <c r="C480" s="15">
        <v>3</v>
      </c>
      <c r="D480" s="17">
        <v>31974</v>
      </c>
      <c r="E480" s="17">
        <v>190743</v>
      </c>
      <c r="F480" s="17">
        <v>158769</v>
      </c>
      <c r="G480" s="18">
        <v>5.9655657721899047</v>
      </c>
      <c r="H480" s="10" t="str">
        <f t="shared" si="7"/>
        <v>COSTOS</v>
      </c>
      <c r="I480" s="19">
        <v>2025</v>
      </c>
    </row>
    <row r="481" spans="1:9" hidden="1" x14ac:dyDescent="0.3">
      <c r="A481" s="16" t="s">
        <v>93</v>
      </c>
      <c r="B481" s="16" t="s">
        <v>29</v>
      </c>
      <c r="C481" s="15">
        <v>4</v>
      </c>
      <c r="D481" s="17">
        <v>92451</v>
      </c>
      <c r="E481" s="17">
        <v>15504</v>
      </c>
      <c r="F481" s="17">
        <v>-76947</v>
      </c>
      <c r="G481" s="18">
        <v>0.16769964629912062</v>
      </c>
      <c r="H481" s="10" t="str">
        <f t="shared" si="7"/>
        <v>COSTOS</v>
      </c>
      <c r="I481" s="19">
        <v>2025</v>
      </c>
    </row>
    <row r="482" spans="1:9" hidden="1" x14ac:dyDescent="0.3">
      <c r="A482" s="16" t="s">
        <v>93</v>
      </c>
      <c r="B482" s="16" t="s">
        <v>29</v>
      </c>
      <c r="C482" s="15">
        <v>5</v>
      </c>
      <c r="D482" s="17">
        <v>0</v>
      </c>
      <c r="E482" s="17">
        <v>59000</v>
      </c>
      <c r="F482" s="17">
        <v>59000</v>
      </c>
      <c r="G482" s="18">
        <v>0</v>
      </c>
      <c r="H482" s="10" t="str">
        <f t="shared" si="7"/>
        <v>COSTOS</v>
      </c>
      <c r="I482" s="19">
        <v>2025</v>
      </c>
    </row>
    <row r="483" spans="1:9" hidden="1" x14ac:dyDescent="0.3">
      <c r="A483" s="16" t="s">
        <v>93</v>
      </c>
      <c r="B483" s="16" t="s">
        <v>29</v>
      </c>
      <c r="C483" s="15">
        <v>6</v>
      </c>
      <c r="D483" s="17">
        <v>0</v>
      </c>
      <c r="E483" s="17">
        <v>68000</v>
      </c>
      <c r="F483" s="17">
        <v>68000</v>
      </c>
      <c r="G483" s="18">
        <v>0</v>
      </c>
      <c r="H483" s="10" t="str">
        <f t="shared" si="7"/>
        <v>COSTOS</v>
      </c>
      <c r="I483" s="19">
        <v>2025</v>
      </c>
    </row>
    <row r="484" spans="1:9" hidden="1" x14ac:dyDescent="0.3">
      <c r="A484" s="16" t="s">
        <v>93</v>
      </c>
      <c r="B484" s="16" t="s">
        <v>29</v>
      </c>
      <c r="C484" s="15">
        <v>7</v>
      </c>
      <c r="D484" s="17">
        <v>0</v>
      </c>
      <c r="E484" s="17">
        <v>196500</v>
      </c>
      <c r="F484" s="17">
        <v>196500</v>
      </c>
      <c r="G484" s="18">
        <v>0</v>
      </c>
      <c r="H484" s="10" t="str">
        <f t="shared" si="7"/>
        <v>COSTOS</v>
      </c>
      <c r="I484" s="19">
        <v>2025</v>
      </c>
    </row>
    <row r="485" spans="1:9" hidden="1" x14ac:dyDescent="0.3">
      <c r="A485" s="16" t="s">
        <v>93</v>
      </c>
      <c r="B485" s="16" t="s">
        <v>29</v>
      </c>
      <c r="C485" s="15">
        <v>8</v>
      </c>
      <c r="D485" s="17">
        <v>32334</v>
      </c>
      <c r="E485" s="17">
        <v>155500</v>
      </c>
      <c r="F485" s="17">
        <v>123166</v>
      </c>
      <c r="G485" s="18">
        <v>4.8091791921816043</v>
      </c>
      <c r="H485" s="10" t="str">
        <f t="shared" si="7"/>
        <v>COSTOS</v>
      </c>
      <c r="I485" s="19">
        <v>2025</v>
      </c>
    </row>
    <row r="486" spans="1:9" hidden="1" x14ac:dyDescent="0.3">
      <c r="A486" s="16" t="s">
        <v>93</v>
      </c>
      <c r="B486" s="16" t="s">
        <v>29</v>
      </c>
      <c r="C486" s="15">
        <v>9</v>
      </c>
      <c r="D486" s="17">
        <v>0</v>
      </c>
      <c r="E486" s="17">
        <v>131000</v>
      </c>
      <c r="F486" s="17">
        <v>131000</v>
      </c>
      <c r="G486" s="18">
        <v>0</v>
      </c>
      <c r="H486" s="10" t="str">
        <f t="shared" si="7"/>
        <v>COSTOS</v>
      </c>
      <c r="I486" s="19">
        <v>2025</v>
      </c>
    </row>
    <row r="487" spans="1:9" hidden="1" x14ac:dyDescent="0.3">
      <c r="A487" s="16" t="s">
        <v>93</v>
      </c>
      <c r="B487" s="16" t="s">
        <v>29</v>
      </c>
      <c r="C487" s="15">
        <v>10</v>
      </c>
      <c r="D487" s="17">
        <v>0</v>
      </c>
      <c r="E487" s="17">
        <v>144000</v>
      </c>
      <c r="F487" s="17">
        <v>144000</v>
      </c>
      <c r="G487" s="18">
        <v>0</v>
      </c>
      <c r="H487" s="10" t="str">
        <f t="shared" si="7"/>
        <v>COSTOS</v>
      </c>
      <c r="I487" s="19">
        <v>2025</v>
      </c>
    </row>
    <row r="488" spans="1:9" hidden="1" x14ac:dyDescent="0.3">
      <c r="A488" s="16" t="s">
        <v>93</v>
      </c>
      <c r="B488" s="16" t="s">
        <v>14</v>
      </c>
      <c r="C488" s="15">
        <v>11</v>
      </c>
      <c r="D488" s="17">
        <v>22844.9</v>
      </c>
      <c r="E488" s="17">
        <v>0</v>
      </c>
      <c r="F488" s="17">
        <v>-22844.9</v>
      </c>
      <c r="G488" s="18">
        <v>0</v>
      </c>
      <c r="H488" s="10" t="str">
        <f t="shared" si="7"/>
        <v>COSTOS</v>
      </c>
      <c r="I488" s="19">
        <v>2025</v>
      </c>
    </row>
    <row r="489" spans="1:9" hidden="1" x14ac:dyDescent="0.3">
      <c r="A489" s="16" t="s">
        <v>93</v>
      </c>
      <c r="B489" s="16" t="s">
        <v>94</v>
      </c>
      <c r="C489" s="15">
        <v>11</v>
      </c>
      <c r="D489" s="17">
        <v>156722</v>
      </c>
      <c r="E489" s="17">
        <v>184598</v>
      </c>
      <c r="F489" s="17">
        <v>27876</v>
      </c>
      <c r="G489" s="18">
        <v>1.1778690930437334</v>
      </c>
      <c r="H489" s="10" t="str">
        <f t="shared" si="7"/>
        <v>COSTOS</v>
      </c>
      <c r="I489" s="19">
        <v>2025</v>
      </c>
    </row>
    <row r="490" spans="1:9" hidden="1" x14ac:dyDescent="0.3">
      <c r="A490" s="16" t="s">
        <v>93</v>
      </c>
      <c r="B490" s="16" t="s">
        <v>27</v>
      </c>
      <c r="C490" s="15">
        <v>11</v>
      </c>
      <c r="D490" s="17">
        <v>124409</v>
      </c>
      <c r="E490" s="17">
        <v>179559</v>
      </c>
      <c r="F490" s="17">
        <v>55150</v>
      </c>
      <c r="G490" s="18">
        <v>1.4432959030295236</v>
      </c>
      <c r="H490" s="10" t="str">
        <f t="shared" si="7"/>
        <v>COSTOS</v>
      </c>
      <c r="I490" s="19">
        <v>2025</v>
      </c>
    </row>
    <row r="491" spans="1:9" hidden="1" x14ac:dyDescent="0.3">
      <c r="A491" s="16" t="s">
        <v>93</v>
      </c>
      <c r="B491" s="16" t="s">
        <v>28</v>
      </c>
      <c r="C491" s="15">
        <v>11</v>
      </c>
      <c r="D491" s="17">
        <v>50669</v>
      </c>
      <c r="E491" s="17">
        <v>39880</v>
      </c>
      <c r="F491" s="17">
        <v>-10789</v>
      </c>
      <c r="G491" s="18">
        <v>0.78706901655844796</v>
      </c>
      <c r="H491" s="10" t="str">
        <f t="shared" si="7"/>
        <v>COSTOS</v>
      </c>
      <c r="I491" s="19">
        <v>2025</v>
      </c>
    </row>
    <row r="492" spans="1:9" hidden="1" x14ac:dyDescent="0.3">
      <c r="A492" s="16" t="s">
        <v>93</v>
      </c>
      <c r="B492" s="16" t="s">
        <v>29</v>
      </c>
      <c r="C492" s="15">
        <v>11</v>
      </c>
      <c r="D492" s="17">
        <v>38924</v>
      </c>
      <c r="E492" s="17">
        <v>59000</v>
      </c>
      <c r="F492" s="17">
        <v>20076</v>
      </c>
      <c r="G492" s="18">
        <v>1.5157743294625425</v>
      </c>
      <c r="H492" s="10" t="str">
        <f t="shared" si="7"/>
        <v>COSTOS</v>
      </c>
      <c r="I492" s="19">
        <v>2025</v>
      </c>
    </row>
    <row r="493" spans="1:9" hidden="1" x14ac:dyDescent="0.3">
      <c r="A493" s="16" t="s">
        <v>93</v>
      </c>
      <c r="B493" s="16" t="s">
        <v>14</v>
      </c>
      <c r="C493" s="15">
        <v>12</v>
      </c>
      <c r="D493" s="17">
        <v>34844.9</v>
      </c>
      <c r="E493" s="17">
        <v>0</v>
      </c>
      <c r="F493" s="17">
        <v>-34844.9</v>
      </c>
      <c r="G493" s="18">
        <v>0</v>
      </c>
      <c r="H493" s="10" t="str">
        <f t="shared" si="7"/>
        <v>COSTOS</v>
      </c>
      <c r="I493" s="19">
        <v>2025</v>
      </c>
    </row>
    <row r="494" spans="1:9" hidden="1" x14ac:dyDescent="0.3">
      <c r="A494" s="16" t="s">
        <v>93</v>
      </c>
      <c r="B494" s="16" t="s">
        <v>94</v>
      </c>
      <c r="C494" s="15">
        <v>12</v>
      </c>
      <c r="D494" s="17">
        <v>132508</v>
      </c>
      <c r="E494" s="17">
        <v>210975</v>
      </c>
      <c r="F494" s="17">
        <v>78467</v>
      </c>
      <c r="G494" s="18">
        <v>1.5921680200440729</v>
      </c>
      <c r="H494" s="10" t="str">
        <f t="shared" si="7"/>
        <v>COSTOS</v>
      </c>
      <c r="I494" s="19">
        <v>2025</v>
      </c>
    </row>
    <row r="495" spans="1:9" hidden="1" x14ac:dyDescent="0.3">
      <c r="A495" s="16" t="s">
        <v>93</v>
      </c>
      <c r="B495" s="16" t="s">
        <v>42</v>
      </c>
      <c r="C495" s="15">
        <v>12</v>
      </c>
      <c r="D495" s="17">
        <v>0</v>
      </c>
      <c r="E495" s="17">
        <v>2490000</v>
      </c>
      <c r="F495" s="17">
        <v>2490000</v>
      </c>
      <c r="G495" s="18">
        <v>0</v>
      </c>
      <c r="H495" s="10" t="str">
        <f t="shared" si="7"/>
        <v>COSTOS</v>
      </c>
      <c r="I495" s="19">
        <v>2025</v>
      </c>
    </row>
    <row r="496" spans="1:9" hidden="1" x14ac:dyDescent="0.3">
      <c r="A496" s="16" t="s">
        <v>93</v>
      </c>
      <c r="B496" s="16" t="s">
        <v>27</v>
      </c>
      <c r="C496" s="15">
        <v>12</v>
      </c>
      <c r="D496" s="17">
        <v>238827</v>
      </c>
      <c r="E496" s="17">
        <v>343103</v>
      </c>
      <c r="F496" s="17">
        <v>104276</v>
      </c>
      <c r="G496" s="18">
        <v>1.4366173003889846</v>
      </c>
      <c r="H496" s="10" t="str">
        <f t="shared" si="7"/>
        <v>COSTOS</v>
      </c>
      <c r="I496" s="19">
        <v>2025</v>
      </c>
    </row>
    <row r="497" spans="1:9" hidden="1" x14ac:dyDescent="0.3">
      <c r="A497" s="16" t="s">
        <v>93</v>
      </c>
      <c r="B497" s="16" t="s">
        <v>28</v>
      </c>
      <c r="C497" s="15">
        <v>12</v>
      </c>
      <c r="D497" s="17">
        <v>79937</v>
      </c>
      <c r="E497" s="17">
        <v>36750</v>
      </c>
      <c r="F497" s="17">
        <v>-43187</v>
      </c>
      <c r="G497" s="18">
        <v>0.45973704292130052</v>
      </c>
      <c r="H497" s="10" t="str">
        <f t="shared" si="7"/>
        <v>COSTOS</v>
      </c>
      <c r="I497" s="19">
        <v>2025</v>
      </c>
    </row>
    <row r="498" spans="1:9" hidden="1" x14ac:dyDescent="0.3">
      <c r="A498" s="16" t="s">
        <v>93</v>
      </c>
      <c r="B498" s="16" t="s">
        <v>29</v>
      </c>
      <c r="C498" s="15">
        <v>12</v>
      </c>
      <c r="D498" s="17">
        <v>0</v>
      </c>
      <c r="E498" s="17">
        <v>72000</v>
      </c>
      <c r="F498" s="17">
        <v>72000</v>
      </c>
      <c r="G498" s="18">
        <v>0</v>
      </c>
      <c r="H498" s="10" t="str">
        <f t="shared" si="7"/>
        <v>COSTOS</v>
      </c>
      <c r="I498" s="19">
        <v>2025</v>
      </c>
    </row>
    <row r="499" spans="1:9" hidden="1" x14ac:dyDescent="0.3">
      <c r="A499" s="16" t="s">
        <v>95</v>
      </c>
      <c r="B499" s="16" t="s">
        <v>16</v>
      </c>
      <c r="C499" s="15">
        <v>1</v>
      </c>
      <c r="D499" s="17">
        <v>0</v>
      </c>
      <c r="E499" s="17">
        <v>18000</v>
      </c>
      <c r="F499" s="17">
        <v>18000</v>
      </c>
      <c r="G499" s="18">
        <v>0</v>
      </c>
      <c r="H499" s="10" t="str">
        <f t="shared" si="7"/>
        <v>COSTOS</v>
      </c>
      <c r="I499" s="19">
        <v>2025</v>
      </c>
    </row>
    <row r="500" spans="1:9" hidden="1" x14ac:dyDescent="0.3">
      <c r="A500" s="16" t="s">
        <v>95</v>
      </c>
      <c r="B500" s="16" t="s">
        <v>16</v>
      </c>
      <c r="C500" s="15">
        <v>2</v>
      </c>
      <c r="D500" s="17">
        <v>0</v>
      </c>
      <c r="E500" s="17">
        <v>45000</v>
      </c>
      <c r="F500" s="17">
        <v>45000</v>
      </c>
      <c r="G500" s="18">
        <v>0</v>
      </c>
      <c r="H500" s="10" t="str">
        <f t="shared" si="7"/>
        <v>COSTOS</v>
      </c>
      <c r="I500" s="19">
        <v>2025</v>
      </c>
    </row>
    <row r="501" spans="1:9" hidden="1" x14ac:dyDescent="0.3">
      <c r="A501" s="16" t="s">
        <v>95</v>
      </c>
      <c r="B501" s="16" t="s">
        <v>16</v>
      </c>
      <c r="C501" s="15">
        <v>6</v>
      </c>
      <c r="D501" s="17">
        <v>0</v>
      </c>
      <c r="E501" s="17">
        <v>34000</v>
      </c>
      <c r="F501" s="17">
        <v>34000</v>
      </c>
      <c r="G501" s="18">
        <v>0</v>
      </c>
      <c r="H501" s="10" t="str">
        <f t="shared" si="7"/>
        <v>COSTOS</v>
      </c>
      <c r="I501" s="19">
        <v>2025</v>
      </c>
    </row>
    <row r="502" spans="1:9" hidden="1" x14ac:dyDescent="0.3">
      <c r="A502" s="16" t="s">
        <v>95</v>
      </c>
      <c r="B502" s="16" t="s">
        <v>41</v>
      </c>
      <c r="C502" s="15">
        <v>7</v>
      </c>
      <c r="D502" s="17">
        <v>0</v>
      </c>
      <c r="E502" s="17">
        <v>100840</v>
      </c>
      <c r="F502" s="17">
        <v>100840</v>
      </c>
      <c r="G502" s="18">
        <v>0</v>
      </c>
      <c r="H502" s="10" t="str">
        <f t="shared" si="7"/>
        <v>COSTOS</v>
      </c>
      <c r="I502" s="19">
        <v>2025</v>
      </c>
    </row>
    <row r="503" spans="1:9" hidden="1" x14ac:dyDescent="0.3">
      <c r="A503" s="16" t="s">
        <v>95</v>
      </c>
      <c r="B503" s="16" t="s">
        <v>28</v>
      </c>
      <c r="C503" s="15">
        <v>2</v>
      </c>
      <c r="D503" s="17">
        <v>1000000</v>
      </c>
      <c r="E503" s="17">
        <v>403361</v>
      </c>
      <c r="F503" s="17">
        <v>-596639</v>
      </c>
      <c r="G503" s="18">
        <v>0.40336100000000003</v>
      </c>
      <c r="H503" s="10" t="str">
        <f t="shared" si="7"/>
        <v>COSTOS</v>
      </c>
      <c r="I503" s="19">
        <v>2025</v>
      </c>
    </row>
    <row r="504" spans="1:9" hidden="1" x14ac:dyDescent="0.3">
      <c r="A504" s="16" t="s">
        <v>95</v>
      </c>
      <c r="B504" s="16" t="s">
        <v>28</v>
      </c>
      <c r="C504" s="15">
        <v>3</v>
      </c>
      <c r="D504" s="17">
        <v>1000000</v>
      </c>
      <c r="E504" s="17">
        <v>0</v>
      </c>
      <c r="F504" s="17">
        <v>-1000000</v>
      </c>
      <c r="G504" s="18">
        <v>0</v>
      </c>
      <c r="H504" s="10" t="str">
        <f t="shared" si="7"/>
        <v>COSTOS</v>
      </c>
      <c r="I504" s="19">
        <v>2025</v>
      </c>
    </row>
    <row r="505" spans="1:9" hidden="1" x14ac:dyDescent="0.3">
      <c r="A505" s="16" t="s">
        <v>95</v>
      </c>
      <c r="B505" s="16" t="s">
        <v>28</v>
      </c>
      <c r="C505" s="15">
        <v>4</v>
      </c>
      <c r="D505" s="17">
        <v>1000000</v>
      </c>
      <c r="E505" s="17">
        <v>1490290</v>
      </c>
      <c r="F505" s="17">
        <v>490290</v>
      </c>
      <c r="G505" s="18">
        <v>1.4902899999999999</v>
      </c>
      <c r="H505" s="10" t="str">
        <f t="shared" si="7"/>
        <v>COSTOS</v>
      </c>
      <c r="I505" s="19">
        <v>2025</v>
      </c>
    </row>
    <row r="506" spans="1:9" hidden="1" x14ac:dyDescent="0.3">
      <c r="A506" s="16" t="s">
        <v>95</v>
      </c>
      <c r="B506" s="16" t="s">
        <v>28</v>
      </c>
      <c r="C506" s="15">
        <v>5</v>
      </c>
      <c r="D506" s="17">
        <v>8000000</v>
      </c>
      <c r="E506" s="17">
        <v>0</v>
      </c>
      <c r="F506" s="17">
        <v>-8000000</v>
      </c>
      <c r="G506" s="18">
        <v>0</v>
      </c>
      <c r="H506" s="10" t="str">
        <f t="shared" si="7"/>
        <v>COSTOS</v>
      </c>
      <c r="I506" s="19">
        <v>2025</v>
      </c>
    </row>
    <row r="507" spans="1:9" hidden="1" x14ac:dyDescent="0.3">
      <c r="A507" s="16" t="s">
        <v>95</v>
      </c>
      <c r="B507" s="16" t="s">
        <v>28</v>
      </c>
      <c r="C507" s="15">
        <v>6</v>
      </c>
      <c r="D507" s="17">
        <v>1000000</v>
      </c>
      <c r="E507" s="17">
        <v>0</v>
      </c>
      <c r="F507" s="17">
        <v>-1000000</v>
      </c>
      <c r="G507" s="18">
        <v>0</v>
      </c>
      <c r="H507" s="10" t="str">
        <f t="shared" si="7"/>
        <v>COSTOS</v>
      </c>
      <c r="I507" s="19">
        <v>2025</v>
      </c>
    </row>
    <row r="508" spans="1:9" hidden="1" x14ac:dyDescent="0.3">
      <c r="A508" s="16" t="s">
        <v>95</v>
      </c>
      <c r="B508" s="16" t="s">
        <v>28</v>
      </c>
      <c r="C508" s="15">
        <v>7</v>
      </c>
      <c r="D508" s="17">
        <v>1000000</v>
      </c>
      <c r="E508" s="17">
        <v>753193</v>
      </c>
      <c r="F508" s="17">
        <v>-246807</v>
      </c>
      <c r="G508" s="18">
        <v>0.753193</v>
      </c>
      <c r="H508" s="10" t="str">
        <f t="shared" si="7"/>
        <v>COSTOS</v>
      </c>
      <c r="I508" s="19">
        <v>2025</v>
      </c>
    </row>
    <row r="509" spans="1:9" hidden="1" x14ac:dyDescent="0.3">
      <c r="A509" s="16" t="s">
        <v>95</v>
      </c>
      <c r="B509" s="16" t="s">
        <v>28</v>
      </c>
      <c r="C509" s="15">
        <v>8</v>
      </c>
      <c r="D509" s="17">
        <v>1000000</v>
      </c>
      <c r="E509" s="17">
        <v>0</v>
      </c>
      <c r="F509" s="17">
        <v>-1000000</v>
      </c>
      <c r="G509" s="18">
        <v>0</v>
      </c>
      <c r="H509" s="10" t="str">
        <f t="shared" si="7"/>
        <v>COSTOS</v>
      </c>
      <c r="I509" s="19">
        <v>2025</v>
      </c>
    </row>
    <row r="510" spans="1:9" hidden="1" x14ac:dyDescent="0.3">
      <c r="A510" s="16" t="s">
        <v>95</v>
      </c>
      <c r="B510" s="16" t="s">
        <v>28</v>
      </c>
      <c r="C510" s="15">
        <v>9</v>
      </c>
      <c r="D510" s="17">
        <v>1000000</v>
      </c>
      <c r="E510" s="17">
        <v>115000</v>
      </c>
      <c r="F510" s="17">
        <v>-885000</v>
      </c>
      <c r="G510" s="18">
        <v>0.115</v>
      </c>
      <c r="H510" s="10" t="str">
        <f t="shared" si="7"/>
        <v>COSTOS</v>
      </c>
      <c r="I510" s="19">
        <v>2025</v>
      </c>
    </row>
    <row r="511" spans="1:9" hidden="1" x14ac:dyDescent="0.3">
      <c r="A511" s="16" t="s">
        <v>95</v>
      </c>
      <c r="B511" s="16" t="s">
        <v>28</v>
      </c>
      <c r="C511" s="15">
        <v>10</v>
      </c>
      <c r="D511" s="17">
        <v>1000000</v>
      </c>
      <c r="E511" s="17">
        <v>150400</v>
      </c>
      <c r="F511" s="17">
        <v>-849600</v>
      </c>
      <c r="G511" s="18">
        <v>0.15040000000000001</v>
      </c>
      <c r="H511" s="10" t="str">
        <f t="shared" si="7"/>
        <v>COSTOS</v>
      </c>
      <c r="I511" s="19">
        <v>2025</v>
      </c>
    </row>
    <row r="512" spans="1:9" hidden="1" x14ac:dyDescent="0.3">
      <c r="A512" s="16" t="s">
        <v>95</v>
      </c>
      <c r="B512" s="16" t="s">
        <v>28</v>
      </c>
      <c r="C512" s="15">
        <v>11</v>
      </c>
      <c r="D512" s="17">
        <v>1000000</v>
      </c>
      <c r="E512" s="17">
        <v>187255</v>
      </c>
      <c r="F512" s="17">
        <v>-812745</v>
      </c>
      <c r="G512" s="18">
        <v>0.187255</v>
      </c>
      <c r="H512" s="10" t="str">
        <f t="shared" si="7"/>
        <v>COSTOS</v>
      </c>
      <c r="I512" s="19">
        <v>2025</v>
      </c>
    </row>
    <row r="513" spans="1:9" hidden="1" x14ac:dyDescent="0.3">
      <c r="A513" s="16" t="s">
        <v>230</v>
      </c>
      <c r="B513" s="16" t="s">
        <v>40</v>
      </c>
      <c r="C513" s="15">
        <v>12</v>
      </c>
      <c r="D513" s="17">
        <v>1630000</v>
      </c>
      <c r="E513" s="17">
        <v>0</v>
      </c>
      <c r="F513" s="17">
        <v>-1630000</v>
      </c>
      <c r="G513" s="18">
        <v>0</v>
      </c>
      <c r="H513" s="10" t="str">
        <f t="shared" si="7"/>
        <v>COSTOS</v>
      </c>
      <c r="I513" s="19">
        <v>2025</v>
      </c>
    </row>
    <row r="514" spans="1:9" hidden="1" x14ac:dyDescent="0.3">
      <c r="A514" s="16" t="s">
        <v>230</v>
      </c>
      <c r="B514" s="16" t="s">
        <v>16</v>
      </c>
      <c r="C514" s="15">
        <v>12</v>
      </c>
      <c r="D514" s="17">
        <v>100000</v>
      </c>
      <c r="E514" s="17">
        <v>0</v>
      </c>
      <c r="F514" s="17">
        <v>-100000</v>
      </c>
      <c r="G514" s="18">
        <v>0</v>
      </c>
      <c r="H514" s="10" t="str">
        <f t="shared" si="7"/>
        <v>COSTOS</v>
      </c>
      <c r="I514" s="19">
        <v>2025</v>
      </c>
    </row>
    <row r="515" spans="1:9" hidden="1" x14ac:dyDescent="0.3">
      <c r="A515" s="16" t="s">
        <v>230</v>
      </c>
      <c r="B515" s="16" t="s">
        <v>28</v>
      </c>
      <c r="C515" s="15">
        <v>12</v>
      </c>
      <c r="D515" s="17">
        <v>0</v>
      </c>
      <c r="E515" s="17">
        <v>160840</v>
      </c>
      <c r="F515" s="17">
        <v>160840</v>
      </c>
      <c r="G515" s="18">
        <v>0</v>
      </c>
      <c r="H515" s="10" t="str">
        <f t="shared" ref="H515:H578" si="8">+IF(OR(A515="ADMINISTRACION",A515="COMERCIAL",A515="COMERCIAL-EXPORTACIONES",A515="LEASING DE LA BODEGA",A515="LOGISTICA-SALIDA",A515="OTROS GASTOS",A515="BODEGA ALQUILADA", A515="BODEGA CARTOPLAST", A515="BODEGA CARTOPLAS", A515= "GESTION HUMANA-OTROS GASTOS"),"GASTOS","COSTOS")</f>
        <v>COSTOS</v>
      </c>
      <c r="I515" s="19">
        <v>2025</v>
      </c>
    </row>
    <row r="516" spans="1:9" hidden="1" x14ac:dyDescent="0.3">
      <c r="A516" s="16" t="s">
        <v>96</v>
      </c>
      <c r="B516" s="16" t="s">
        <v>16</v>
      </c>
      <c r="C516" s="15">
        <v>1</v>
      </c>
      <c r="D516" s="17">
        <v>0</v>
      </c>
      <c r="E516" s="17">
        <v>13000</v>
      </c>
      <c r="F516" s="17">
        <v>13000</v>
      </c>
      <c r="G516" s="18">
        <v>0</v>
      </c>
      <c r="H516" s="10" t="str">
        <f t="shared" si="8"/>
        <v>COSTOS</v>
      </c>
      <c r="I516" s="19">
        <v>2025</v>
      </c>
    </row>
    <row r="517" spans="1:9" hidden="1" x14ac:dyDescent="0.3">
      <c r="A517" s="16" t="s">
        <v>96</v>
      </c>
      <c r="B517" s="16" t="s">
        <v>16</v>
      </c>
      <c r="C517" s="15">
        <v>2</v>
      </c>
      <c r="D517" s="17">
        <v>0</v>
      </c>
      <c r="E517" s="17">
        <v>33000</v>
      </c>
      <c r="F517" s="17">
        <v>33000</v>
      </c>
      <c r="G517" s="18">
        <v>0</v>
      </c>
      <c r="H517" s="10" t="str">
        <f t="shared" si="8"/>
        <v>COSTOS</v>
      </c>
      <c r="I517" s="19">
        <v>2025</v>
      </c>
    </row>
    <row r="518" spans="1:9" hidden="1" x14ac:dyDescent="0.3">
      <c r="A518" s="16" t="s">
        <v>96</v>
      </c>
      <c r="B518" s="16" t="s">
        <v>16</v>
      </c>
      <c r="C518" s="15">
        <v>3</v>
      </c>
      <c r="D518" s="17">
        <v>0</v>
      </c>
      <c r="E518" s="17">
        <v>15000</v>
      </c>
      <c r="F518" s="17">
        <v>15000</v>
      </c>
      <c r="G518" s="18">
        <v>0</v>
      </c>
      <c r="H518" s="10" t="str">
        <f t="shared" si="8"/>
        <v>COSTOS</v>
      </c>
      <c r="I518" s="19">
        <v>2025</v>
      </c>
    </row>
    <row r="519" spans="1:9" hidden="1" x14ac:dyDescent="0.3">
      <c r="A519" s="16" t="s">
        <v>96</v>
      </c>
      <c r="B519" s="16" t="s">
        <v>16</v>
      </c>
      <c r="C519" s="15">
        <v>4</v>
      </c>
      <c r="D519" s="17">
        <v>0</v>
      </c>
      <c r="E519" s="17">
        <v>22000</v>
      </c>
      <c r="F519" s="17">
        <v>22000</v>
      </c>
      <c r="G519" s="18">
        <v>0</v>
      </c>
      <c r="H519" s="10" t="str">
        <f t="shared" si="8"/>
        <v>COSTOS</v>
      </c>
      <c r="I519" s="19">
        <v>2025</v>
      </c>
    </row>
    <row r="520" spans="1:9" hidden="1" x14ac:dyDescent="0.3">
      <c r="A520" s="16" t="s">
        <v>96</v>
      </c>
      <c r="B520" s="16" t="s">
        <v>16</v>
      </c>
      <c r="C520" s="15">
        <v>5</v>
      </c>
      <c r="D520" s="17">
        <v>0</v>
      </c>
      <c r="E520" s="17">
        <v>10000</v>
      </c>
      <c r="F520" s="17">
        <v>10000</v>
      </c>
      <c r="G520" s="18">
        <v>0</v>
      </c>
      <c r="H520" s="10" t="str">
        <f t="shared" si="8"/>
        <v>COSTOS</v>
      </c>
      <c r="I520" s="19">
        <v>2025</v>
      </c>
    </row>
    <row r="521" spans="1:9" hidden="1" x14ac:dyDescent="0.3">
      <c r="A521" s="16" t="s">
        <v>96</v>
      </c>
      <c r="B521" s="16" t="s">
        <v>16</v>
      </c>
      <c r="C521" s="15">
        <v>10</v>
      </c>
      <c r="D521" s="17">
        <v>0</v>
      </c>
      <c r="E521" s="17">
        <v>10000</v>
      </c>
      <c r="F521" s="17">
        <v>10000</v>
      </c>
      <c r="G521" s="18">
        <v>0</v>
      </c>
      <c r="H521" s="10" t="str">
        <f t="shared" si="8"/>
        <v>COSTOS</v>
      </c>
      <c r="I521" s="19">
        <v>2025</v>
      </c>
    </row>
    <row r="522" spans="1:9" hidden="1" x14ac:dyDescent="0.3">
      <c r="A522" s="16" t="s">
        <v>96</v>
      </c>
      <c r="B522" s="16" t="s">
        <v>28</v>
      </c>
      <c r="C522" s="15">
        <v>1</v>
      </c>
      <c r="D522" s="17">
        <v>0</v>
      </c>
      <c r="E522" s="17">
        <v>71429</v>
      </c>
      <c r="F522" s="17">
        <v>71429</v>
      </c>
      <c r="G522" s="18">
        <v>0</v>
      </c>
      <c r="H522" s="10" t="str">
        <f t="shared" si="8"/>
        <v>COSTOS</v>
      </c>
      <c r="I522" s="19">
        <v>2025</v>
      </c>
    </row>
    <row r="523" spans="1:9" hidden="1" x14ac:dyDescent="0.3">
      <c r="A523" s="16" t="s">
        <v>96</v>
      </c>
      <c r="B523" s="16" t="s">
        <v>28</v>
      </c>
      <c r="C523" s="15">
        <v>2</v>
      </c>
      <c r="D523" s="17">
        <v>0</v>
      </c>
      <c r="E523" s="17">
        <v>215293</v>
      </c>
      <c r="F523" s="17">
        <v>215293</v>
      </c>
      <c r="G523" s="18">
        <v>0</v>
      </c>
      <c r="H523" s="10" t="str">
        <f t="shared" si="8"/>
        <v>COSTOS</v>
      </c>
      <c r="I523" s="19">
        <v>2025</v>
      </c>
    </row>
    <row r="524" spans="1:9" hidden="1" x14ac:dyDescent="0.3">
      <c r="A524" s="16" t="s">
        <v>96</v>
      </c>
      <c r="B524" s="16" t="s">
        <v>28</v>
      </c>
      <c r="C524" s="15">
        <v>4</v>
      </c>
      <c r="D524" s="17">
        <v>0</v>
      </c>
      <c r="E524" s="17">
        <v>221176</v>
      </c>
      <c r="F524" s="17">
        <v>221176</v>
      </c>
      <c r="G524" s="18">
        <v>0</v>
      </c>
      <c r="H524" s="10" t="str">
        <f t="shared" si="8"/>
        <v>COSTOS</v>
      </c>
      <c r="I524" s="19">
        <v>2025</v>
      </c>
    </row>
    <row r="525" spans="1:9" hidden="1" x14ac:dyDescent="0.3">
      <c r="A525" s="16" t="s">
        <v>96</v>
      </c>
      <c r="B525" s="16" t="s">
        <v>28</v>
      </c>
      <c r="C525" s="15">
        <v>5</v>
      </c>
      <c r="D525" s="17">
        <v>0</v>
      </c>
      <c r="E525" s="17">
        <v>187008</v>
      </c>
      <c r="F525" s="17">
        <v>187008</v>
      </c>
      <c r="G525" s="18">
        <v>0</v>
      </c>
      <c r="H525" s="10" t="str">
        <f t="shared" si="8"/>
        <v>COSTOS</v>
      </c>
      <c r="I525" s="19">
        <v>2025</v>
      </c>
    </row>
    <row r="526" spans="1:9" hidden="1" x14ac:dyDescent="0.3">
      <c r="A526" s="16" t="s">
        <v>96</v>
      </c>
      <c r="B526" s="16" t="s">
        <v>28</v>
      </c>
      <c r="C526" s="15">
        <v>6</v>
      </c>
      <c r="D526" s="17">
        <v>0</v>
      </c>
      <c r="E526" s="17">
        <v>138823</v>
      </c>
      <c r="F526" s="17">
        <v>138823</v>
      </c>
      <c r="G526" s="18">
        <v>0</v>
      </c>
      <c r="H526" s="10" t="str">
        <f t="shared" si="8"/>
        <v>COSTOS</v>
      </c>
      <c r="I526" s="19">
        <v>2025</v>
      </c>
    </row>
    <row r="527" spans="1:9" hidden="1" x14ac:dyDescent="0.3">
      <c r="A527" s="16" t="s">
        <v>96</v>
      </c>
      <c r="B527" s="16" t="s">
        <v>28</v>
      </c>
      <c r="C527" s="15">
        <v>7</v>
      </c>
      <c r="D527" s="17">
        <v>0</v>
      </c>
      <c r="E527" s="17">
        <v>316456</v>
      </c>
      <c r="F527" s="17">
        <v>316456</v>
      </c>
      <c r="G527" s="18">
        <v>0</v>
      </c>
      <c r="H527" s="10" t="str">
        <f t="shared" si="8"/>
        <v>COSTOS</v>
      </c>
      <c r="I527" s="19">
        <v>2025</v>
      </c>
    </row>
    <row r="528" spans="1:9" hidden="1" x14ac:dyDescent="0.3">
      <c r="A528" s="16" t="s">
        <v>96</v>
      </c>
      <c r="B528" s="16" t="s">
        <v>28</v>
      </c>
      <c r="C528" s="15">
        <v>9</v>
      </c>
      <c r="D528" s="17">
        <v>0</v>
      </c>
      <c r="E528" s="17">
        <v>287226</v>
      </c>
      <c r="F528" s="17">
        <v>287226</v>
      </c>
      <c r="G528" s="18">
        <v>0</v>
      </c>
      <c r="H528" s="10" t="str">
        <f t="shared" si="8"/>
        <v>COSTOS</v>
      </c>
      <c r="I528" s="19">
        <v>2025</v>
      </c>
    </row>
    <row r="529" spans="1:9" hidden="1" x14ac:dyDescent="0.3">
      <c r="A529" s="16" t="s">
        <v>231</v>
      </c>
      <c r="B529" s="16" t="s">
        <v>16</v>
      </c>
      <c r="C529" s="15">
        <v>12</v>
      </c>
      <c r="D529" s="17">
        <v>0</v>
      </c>
      <c r="E529" s="17">
        <v>10000</v>
      </c>
      <c r="F529" s="17">
        <v>10000</v>
      </c>
      <c r="G529" s="18">
        <v>0</v>
      </c>
      <c r="H529" s="10" t="str">
        <f t="shared" si="8"/>
        <v>COSTOS</v>
      </c>
      <c r="I529" s="19">
        <v>2025</v>
      </c>
    </row>
    <row r="530" spans="1:9" hidden="1" x14ac:dyDescent="0.3">
      <c r="A530" s="16" t="s">
        <v>231</v>
      </c>
      <c r="B530" s="16" t="s">
        <v>28</v>
      </c>
      <c r="C530" s="15">
        <v>12</v>
      </c>
      <c r="D530" s="17">
        <v>1000000</v>
      </c>
      <c r="E530" s="17">
        <v>0</v>
      </c>
      <c r="F530" s="17">
        <v>-1000000</v>
      </c>
      <c r="G530" s="18">
        <v>0</v>
      </c>
      <c r="H530" s="10" t="str">
        <f t="shared" si="8"/>
        <v>COSTOS</v>
      </c>
      <c r="I530" s="19">
        <v>2025</v>
      </c>
    </row>
    <row r="531" spans="1:9" hidden="1" x14ac:dyDescent="0.3">
      <c r="A531" s="16" t="s">
        <v>43</v>
      </c>
      <c r="B531" s="16" t="s">
        <v>97</v>
      </c>
      <c r="C531" s="15">
        <v>3</v>
      </c>
      <c r="D531" s="17">
        <v>0</v>
      </c>
      <c r="E531" s="17">
        <v>434640</v>
      </c>
      <c r="F531" s="17">
        <v>434640</v>
      </c>
      <c r="G531" s="18">
        <v>0</v>
      </c>
      <c r="H531" s="10" t="str">
        <f t="shared" si="8"/>
        <v>GASTOS</v>
      </c>
      <c r="I531" s="19">
        <v>2025</v>
      </c>
    </row>
    <row r="532" spans="1:9" hidden="1" x14ac:dyDescent="0.3">
      <c r="A532" s="16" t="s">
        <v>43</v>
      </c>
      <c r="B532" s="16" t="s">
        <v>97</v>
      </c>
      <c r="C532" s="15">
        <v>4</v>
      </c>
      <c r="D532" s="17">
        <v>2000000</v>
      </c>
      <c r="E532" s="17">
        <v>0</v>
      </c>
      <c r="F532" s="17">
        <v>-2000000</v>
      </c>
      <c r="G532" s="18">
        <v>0</v>
      </c>
      <c r="H532" s="10" t="str">
        <f t="shared" si="8"/>
        <v>GASTOS</v>
      </c>
      <c r="I532" s="19">
        <v>2025</v>
      </c>
    </row>
    <row r="533" spans="1:9" hidden="1" x14ac:dyDescent="0.3">
      <c r="A533" s="16" t="s">
        <v>43</v>
      </c>
      <c r="B533" s="16" t="s">
        <v>97</v>
      </c>
      <c r="C533" s="15">
        <v>5</v>
      </c>
      <c r="D533" s="17">
        <v>2000000</v>
      </c>
      <c r="E533" s="17">
        <v>0</v>
      </c>
      <c r="F533" s="17">
        <v>-2000000</v>
      </c>
      <c r="G533" s="18">
        <v>0</v>
      </c>
      <c r="H533" s="10" t="str">
        <f t="shared" si="8"/>
        <v>GASTOS</v>
      </c>
      <c r="I533" s="19">
        <v>2025</v>
      </c>
    </row>
    <row r="534" spans="1:9" hidden="1" x14ac:dyDescent="0.3">
      <c r="A534" s="16" t="s">
        <v>43</v>
      </c>
      <c r="B534" s="16" t="s">
        <v>97</v>
      </c>
      <c r="C534" s="15">
        <v>7</v>
      </c>
      <c r="D534" s="17">
        <v>0</v>
      </c>
      <c r="E534" s="17">
        <v>11889000</v>
      </c>
      <c r="F534" s="17">
        <v>11889000</v>
      </c>
      <c r="G534" s="18">
        <v>0</v>
      </c>
      <c r="H534" s="10" t="str">
        <f t="shared" si="8"/>
        <v>GASTOS</v>
      </c>
      <c r="I534" s="19">
        <v>2025</v>
      </c>
    </row>
    <row r="535" spans="1:9" hidden="1" x14ac:dyDescent="0.3">
      <c r="A535" s="16" t="s">
        <v>43</v>
      </c>
      <c r="B535" s="16" t="s">
        <v>98</v>
      </c>
      <c r="C535" s="15">
        <v>1</v>
      </c>
      <c r="D535" s="17">
        <v>32287000</v>
      </c>
      <c r="E535" s="17">
        <v>32287000</v>
      </c>
      <c r="F535" s="17">
        <v>0</v>
      </c>
      <c r="G535" s="18">
        <v>1</v>
      </c>
      <c r="H535" s="10" t="str">
        <f t="shared" si="8"/>
        <v>GASTOS</v>
      </c>
      <c r="I535" s="19">
        <v>2025</v>
      </c>
    </row>
    <row r="536" spans="1:9" hidden="1" x14ac:dyDescent="0.3">
      <c r="A536" s="16" t="s">
        <v>43</v>
      </c>
      <c r="B536" s="16" t="s">
        <v>98</v>
      </c>
      <c r="C536" s="15">
        <v>2</v>
      </c>
      <c r="D536" s="17">
        <v>33105000</v>
      </c>
      <c r="E536" s="17">
        <v>33105000</v>
      </c>
      <c r="F536" s="17">
        <v>0</v>
      </c>
      <c r="G536" s="18">
        <v>1</v>
      </c>
      <c r="H536" s="10" t="str">
        <f t="shared" si="8"/>
        <v>GASTOS</v>
      </c>
      <c r="I536" s="19">
        <v>2025</v>
      </c>
    </row>
    <row r="537" spans="1:9" hidden="1" x14ac:dyDescent="0.3">
      <c r="A537" s="16" t="s">
        <v>43</v>
      </c>
      <c r="B537" s="16" t="s">
        <v>98</v>
      </c>
      <c r="C537" s="15">
        <v>3</v>
      </c>
      <c r="D537" s="17">
        <v>22979760</v>
      </c>
      <c r="E537" s="17">
        <v>32644000</v>
      </c>
      <c r="F537" s="17">
        <v>9664240</v>
      </c>
      <c r="G537" s="18">
        <v>1.420554435729529</v>
      </c>
      <c r="H537" s="10" t="str">
        <f t="shared" si="8"/>
        <v>GASTOS</v>
      </c>
      <c r="I537" s="19">
        <v>2025</v>
      </c>
    </row>
    <row r="538" spans="1:9" hidden="1" x14ac:dyDescent="0.3">
      <c r="A538" s="16" t="s">
        <v>43</v>
      </c>
      <c r="B538" s="16" t="s">
        <v>98</v>
      </c>
      <c r="C538" s="15">
        <v>4</v>
      </c>
      <c r="D538" s="17">
        <v>34630203</v>
      </c>
      <c r="E538" s="17">
        <v>27566000</v>
      </c>
      <c r="F538" s="17">
        <v>-7064203</v>
      </c>
      <c r="G538" s="18">
        <v>0.79601034969387852</v>
      </c>
      <c r="H538" s="10" t="str">
        <f t="shared" si="8"/>
        <v>GASTOS</v>
      </c>
      <c r="I538" s="19">
        <v>2025</v>
      </c>
    </row>
    <row r="539" spans="1:9" hidden="1" x14ac:dyDescent="0.3">
      <c r="A539" s="16" t="s">
        <v>43</v>
      </c>
      <c r="B539" s="16" t="s">
        <v>98</v>
      </c>
      <c r="C539" s="15">
        <v>5</v>
      </c>
      <c r="D539" s="17">
        <v>34377330</v>
      </c>
      <c r="E539" s="17">
        <v>33879000</v>
      </c>
      <c r="F539" s="17">
        <v>-498330</v>
      </c>
      <c r="G539" s="18">
        <v>0.98550410983051906</v>
      </c>
      <c r="H539" s="10" t="str">
        <f t="shared" si="8"/>
        <v>GASTOS</v>
      </c>
      <c r="I539" s="19">
        <v>2025</v>
      </c>
    </row>
    <row r="540" spans="1:9" hidden="1" x14ac:dyDescent="0.3">
      <c r="A540" s="16" t="s">
        <v>43</v>
      </c>
      <c r="B540" s="16" t="s">
        <v>98</v>
      </c>
      <c r="C540" s="15">
        <v>6</v>
      </c>
      <c r="D540" s="17">
        <v>34475070</v>
      </c>
      <c r="E540" s="17">
        <v>31757000</v>
      </c>
      <c r="F540" s="17">
        <v>-2718070</v>
      </c>
      <c r="G540" s="18">
        <v>0.9211583906863714</v>
      </c>
      <c r="H540" s="10" t="str">
        <f t="shared" si="8"/>
        <v>GASTOS</v>
      </c>
      <c r="I540" s="19">
        <v>2025</v>
      </c>
    </row>
    <row r="541" spans="1:9" hidden="1" x14ac:dyDescent="0.3">
      <c r="A541" s="16" t="s">
        <v>43</v>
      </c>
      <c r="B541" s="16" t="s">
        <v>98</v>
      </c>
      <c r="C541" s="15">
        <v>7</v>
      </c>
      <c r="D541" s="17">
        <v>29037468</v>
      </c>
      <c r="E541" s="17">
        <v>32523000</v>
      </c>
      <c r="F541" s="17">
        <v>3485532</v>
      </c>
      <c r="G541" s="18">
        <v>1.1200356725317786</v>
      </c>
      <c r="H541" s="10" t="str">
        <f t="shared" si="8"/>
        <v>GASTOS</v>
      </c>
      <c r="I541" s="19">
        <v>2025</v>
      </c>
    </row>
    <row r="542" spans="1:9" hidden="1" x14ac:dyDescent="0.3">
      <c r="A542" s="16" t="s">
        <v>43</v>
      </c>
      <c r="B542" s="16" t="s">
        <v>98</v>
      </c>
      <c r="C542" s="15">
        <v>8</v>
      </c>
      <c r="D542" s="17">
        <v>35714196</v>
      </c>
      <c r="E542" s="17">
        <v>31143000</v>
      </c>
      <c r="F542" s="17">
        <v>-4571196</v>
      </c>
      <c r="G542" s="18">
        <v>0.87200619047955052</v>
      </c>
      <c r="H542" s="10" t="str">
        <f t="shared" si="8"/>
        <v>GASTOS</v>
      </c>
      <c r="I542" s="19">
        <v>2025</v>
      </c>
    </row>
    <row r="543" spans="1:9" hidden="1" x14ac:dyDescent="0.3">
      <c r="A543" s="16" t="s">
        <v>43</v>
      </c>
      <c r="B543" s="16" t="s">
        <v>98</v>
      </c>
      <c r="C543" s="15">
        <v>9</v>
      </c>
      <c r="D543" s="17">
        <v>37747188</v>
      </c>
      <c r="E543" s="17">
        <v>36073000</v>
      </c>
      <c r="F543" s="17">
        <v>-1674188</v>
      </c>
      <c r="G543" s="18">
        <v>0.95564734517442729</v>
      </c>
      <c r="H543" s="10" t="str">
        <f t="shared" si="8"/>
        <v>GASTOS</v>
      </c>
      <c r="I543" s="19">
        <v>2025</v>
      </c>
    </row>
    <row r="544" spans="1:9" hidden="1" x14ac:dyDescent="0.3">
      <c r="A544" s="16" t="s">
        <v>43</v>
      </c>
      <c r="B544" s="16" t="s">
        <v>98</v>
      </c>
      <c r="C544" s="15">
        <v>10</v>
      </c>
      <c r="D544" s="17">
        <v>38286930</v>
      </c>
      <c r="E544" s="17">
        <v>34720000</v>
      </c>
      <c r="F544" s="17">
        <v>-3566930</v>
      </c>
      <c r="G544" s="18">
        <v>0.90683687618725251</v>
      </c>
      <c r="H544" s="10" t="str">
        <f t="shared" si="8"/>
        <v>GASTOS</v>
      </c>
      <c r="I544" s="19">
        <v>2025</v>
      </c>
    </row>
    <row r="545" spans="1:9" hidden="1" x14ac:dyDescent="0.3">
      <c r="A545" s="16" t="s">
        <v>43</v>
      </c>
      <c r="B545" s="16" t="s">
        <v>44</v>
      </c>
      <c r="C545" s="15">
        <v>2</v>
      </c>
      <c r="D545" s="17">
        <v>20216000</v>
      </c>
      <c r="E545" s="17">
        <v>20216000</v>
      </c>
      <c r="F545" s="17">
        <v>0</v>
      </c>
      <c r="G545" s="18">
        <v>1</v>
      </c>
      <c r="H545" s="10" t="str">
        <f t="shared" si="8"/>
        <v>GASTOS</v>
      </c>
      <c r="I545" s="19">
        <v>2025</v>
      </c>
    </row>
    <row r="546" spans="1:9" hidden="1" x14ac:dyDescent="0.3">
      <c r="A546" s="16" t="s">
        <v>43</v>
      </c>
      <c r="B546" s="16" t="s">
        <v>44</v>
      </c>
      <c r="C546" s="15">
        <v>3</v>
      </c>
      <c r="D546" s="17">
        <v>0</v>
      </c>
      <c r="E546" s="17">
        <v>320000</v>
      </c>
      <c r="F546" s="17">
        <v>320000</v>
      </c>
      <c r="G546" s="18">
        <v>0</v>
      </c>
      <c r="H546" s="10" t="str">
        <f t="shared" si="8"/>
        <v>GASTOS</v>
      </c>
      <c r="I546" s="19">
        <v>2025</v>
      </c>
    </row>
    <row r="547" spans="1:9" hidden="1" x14ac:dyDescent="0.3">
      <c r="A547" s="16" t="s">
        <v>43</v>
      </c>
      <c r="B547" s="16" t="s">
        <v>44</v>
      </c>
      <c r="C547" s="15">
        <v>5</v>
      </c>
      <c r="D547" s="17">
        <v>20216000</v>
      </c>
      <c r="E547" s="17">
        <v>20216000</v>
      </c>
      <c r="F547" s="17">
        <v>0</v>
      </c>
      <c r="G547" s="18">
        <v>1</v>
      </c>
      <c r="H547" s="10" t="str">
        <f t="shared" si="8"/>
        <v>GASTOS</v>
      </c>
      <c r="I547" s="19">
        <v>2025</v>
      </c>
    </row>
    <row r="548" spans="1:9" hidden="1" x14ac:dyDescent="0.3">
      <c r="A548" s="16" t="s">
        <v>43</v>
      </c>
      <c r="B548" s="16" t="s">
        <v>44</v>
      </c>
      <c r="C548" s="15">
        <v>8</v>
      </c>
      <c r="D548" s="17">
        <v>20216000</v>
      </c>
      <c r="E548" s="17">
        <v>34970103</v>
      </c>
      <c r="F548" s="17">
        <v>14754103</v>
      </c>
      <c r="G548" s="18">
        <v>1.7298230609418284</v>
      </c>
      <c r="H548" s="10" t="str">
        <f t="shared" si="8"/>
        <v>GASTOS</v>
      </c>
      <c r="I548" s="19">
        <v>2025</v>
      </c>
    </row>
    <row r="549" spans="1:9" hidden="1" x14ac:dyDescent="0.3">
      <c r="A549" s="16" t="s">
        <v>43</v>
      </c>
      <c r="B549" s="16" t="s">
        <v>14</v>
      </c>
      <c r="C549" s="15">
        <v>2</v>
      </c>
      <c r="D549" s="17">
        <v>0</v>
      </c>
      <c r="E549" s="17">
        <v>4000</v>
      </c>
      <c r="F549" s="17">
        <v>4000</v>
      </c>
      <c r="G549" s="18">
        <v>0</v>
      </c>
      <c r="H549" s="10" t="str">
        <f t="shared" si="8"/>
        <v>GASTOS</v>
      </c>
      <c r="I549" s="19">
        <v>2025</v>
      </c>
    </row>
    <row r="550" spans="1:9" hidden="1" x14ac:dyDescent="0.3">
      <c r="A550" s="16" t="s">
        <v>43</v>
      </c>
      <c r="B550" s="16" t="s">
        <v>16</v>
      </c>
      <c r="C550" s="15">
        <v>1</v>
      </c>
      <c r="D550" s="17">
        <v>208268</v>
      </c>
      <c r="E550" s="17">
        <v>321105</v>
      </c>
      <c r="F550" s="17">
        <v>112837</v>
      </c>
      <c r="G550" s="18">
        <v>1.5417875045614304</v>
      </c>
      <c r="H550" s="10" t="str">
        <f t="shared" si="8"/>
        <v>GASTOS</v>
      </c>
      <c r="I550" s="19">
        <v>2025</v>
      </c>
    </row>
    <row r="551" spans="1:9" hidden="1" x14ac:dyDescent="0.3">
      <c r="A551" s="16" t="s">
        <v>43</v>
      </c>
      <c r="B551" s="16" t="s">
        <v>16</v>
      </c>
      <c r="C551" s="15">
        <v>2</v>
      </c>
      <c r="D551" s="17">
        <v>249013</v>
      </c>
      <c r="E551" s="17">
        <v>586364</v>
      </c>
      <c r="F551" s="17">
        <v>337351</v>
      </c>
      <c r="G551" s="18">
        <v>2.3547525631191948</v>
      </c>
      <c r="H551" s="10" t="str">
        <f t="shared" si="8"/>
        <v>GASTOS</v>
      </c>
      <c r="I551" s="19">
        <v>2025</v>
      </c>
    </row>
    <row r="552" spans="1:9" hidden="1" x14ac:dyDescent="0.3">
      <c r="A552" s="16" t="s">
        <v>43</v>
      </c>
      <c r="B552" s="16" t="s">
        <v>16</v>
      </c>
      <c r="C552" s="15">
        <v>3</v>
      </c>
      <c r="D552" s="17">
        <v>567318</v>
      </c>
      <c r="E552" s="17">
        <v>638660</v>
      </c>
      <c r="F552" s="17">
        <v>71342</v>
      </c>
      <c r="G552" s="18">
        <v>1.1257531049605336</v>
      </c>
      <c r="H552" s="10" t="str">
        <f t="shared" si="8"/>
        <v>GASTOS</v>
      </c>
      <c r="I552" s="19">
        <v>2025</v>
      </c>
    </row>
    <row r="553" spans="1:9" hidden="1" x14ac:dyDescent="0.3">
      <c r="A553" s="16" t="s">
        <v>43</v>
      </c>
      <c r="B553" s="16" t="s">
        <v>16</v>
      </c>
      <c r="C553" s="15">
        <v>4</v>
      </c>
      <c r="D553" s="17">
        <v>523811</v>
      </c>
      <c r="E553" s="17">
        <v>490090</v>
      </c>
      <c r="F553" s="17">
        <v>-33721</v>
      </c>
      <c r="G553" s="18">
        <v>0.93562372687858797</v>
      </c>
      <c r="H553" s="10" t="str">
        <f t="shared" si="8"/>
        <v>GASTOS</v>
      </c>
      <c r="I553" s="19">
        <v>2025</v>
      </c>
    </row>
    <row r="554" spans="1:9" hidden="1" x14ac:dyDescent="0.3">
      <c r="A554" s="16" t="s">
        <v>43</v>
      </c>
      <c r="B554" s="16" t="s">
        <v>16</v>
      </c>
      <c r="C554" s="15">
        <v>5</v>
      </c>
      <c r="D554" s="17">
        <v>351504</v>
      </c>
      <c r="E554" s="17">
        <v>531408</v>
      </c>
      <c r="F554" s="17">
        <v>179904</v>
      </c>
      <c r="G554" s="18">
        <v>1.5118120988665849</v>
      </c>
      <c r="H554" s="10" t="str">
        <f t="shared" si="8"/>
        <v>GASTOS</v>
      </c>
      <c r="I554" s="19">
        <v>2025</v>
      </c>
    </row>
    <row r="555" spans="1:9" hidden="1" x14ac:dyDescent="0.3">
      <c r="A555" s="16" t="s">
        <v>43</v>
      </c>
      <c r="B555" s="16" t="s">
        <v>16</v>
      </c>
      <c r="C555" s="15">
        <v>6</v>
      </c>
      <c r="D555" s="17">
        <v>430252</v>
      </c>
      <c r="E555" s="17">
        <v>306540</v>
      </c>
      <c r="F555" s="17">
        <v>-123712</v>
      </c>
      <c r="G555" s="18">
        <v>0.71246618260926153</v>
      </c>
      <c r="H555" s="10" t="str">
        <f t="shared" si="8"/>
        <v>GASTOS</v>
      </c>
      <c r="I555" s="19">
        <v>2025</v>
      </c>
    </row>
    <row r="556" spans="1:9" hidden="1" x14ac:dyDescent="0.3">
      <c r="A556" s="16" t="s">
        <v>43</v>
      </c>
      <c r="B556" s="16" t="s">
        <v>16</v>
      </c>
      <c r="C556" s="15">
        <v>7</v>
      </c>
      <c r="D556" s="17">
        <v>76977</v>
      </c>
      <c r="E556" s="17">
        <v>413246</v>
      </c>
      <c r="F556" s="17">
        <v>336269</v>
      </c>
      <c r="G556" s="18">
        <v>5.3684347272561936</v>
      </c>
      <c r="H556" s="10" t="str">
        <f t="shared" si="8"/>
        <v>GASTOS</v>
      </c>
      <c r="I556" s="19">
        <v>2025</v>
      </c>
    </row>
    <row r="557" spans="1:9" hidden="1" x14ac:dyDescent="0.3">
      <c r="A557" s="16" t="s">
        <v>43</v>
      </c>
      <c r="B557" s="16" t="s">
        <v>16</v>
      </c>
      <c r="C557" s="15">
        <v>8</v>
      </c>
      <c r="D557" s="17">
        <v>469705</v>
      </c>
      <c r="E557" s="17">
        <v>141900</v>
      </c>
      <c r="F557" s="17">
        <v>-327805</v>
      </c>
      <c r="G557" s="18">
        <v>0.30210451240672337</v>
      </c>
      <c r="H557" s="10" t="str">
        <f t="shared" si="8"/>
        <v>GASTOS</v>
      </c>
      <c r="I557" s="19">
        <v>2025</v>
      </c>
    </row>
    <row r="558" spans="1:9" hidden="1" x14ac:dyDescent="0.3">
      <c r="A558" s="16" t="s">
        <v>43</v>
      </c>
      <c r="B558" s="16" t="s">
        <v>16</v>
      </c>
      <c r="C558" s="15">
        <v>9</v>
      </c>
      <c r="D558" s="17">
        <v>739132</v>
      </c>
      <c r="E558" s="17">
        <v>151812</v>
      </c>
      <c r="F558" s="17">
        <v>-587320</v>
      </c>
      <c r="G558" s="18">
        <v>0.20539227093401449</v>
      </c>
      <c r="H558" s="10" t="str">
        <f t="shared" si="8"/>
        <v>GASTOS</v>
      </c>
      <c r="I558" s="19">
        <v>2025</v>
      </c>
    </row>
    <row r="559" spans="1:9" hidden="1" x14ac:dyDescent="0.3">
      <c r="A559" s="16" t="s">
        <v>43</v>
      </c>
      <c r="B559" s="16" t="s">
        <v>16</v>
      </c>
      <c r="C559" s="15">
        <v>10</v>
      </c>
      <c r="D559" s="17">
        <v>421431</v>
      </c>
      <c r="E559" s="17">
        <v>242000</v>
      </c>
      <c r="F559" s="17">
        <v>-179431</v>
      </c>
      <c r="G559" s="18">
        <v>0.57423397899062956</v>
      </c>
      <c r="H559" s="10" t="str">
        <f t="shared" si="8"/>
        <v>GASTOS</v>
      </c>
      <c r="I559" s="19">
        <v>2025</v>
      </c>
    </row>
    <row r="560" spans="1:9" hidden="1" x14ac:dyDescent="0.3">
      <c r="A560" s="16" t="s">
        <v>43</v>
      </c>
      <c r="B560" s="16" t="s">
        <v>153</v>
      </c>
      <c r="C560" s="15">
        <v>4</v>
      </c>
      <c r="D560" s="17">
        <v>0</v>
      </c>
      <c r="E560" s="17">
        <v>1500000</v>
      </c>
      <c r="F560" s="17">
        <v>1500000</v>
      </c>
      <c r="G560" s="18">
        <v>0</v>
      </c>
      <c r="H560" s="10" t="str">
        <f t="shared" si="8"/>
        <v>GASTOS</v>
      </c>
      <c r="I560" s="19">
        <v>2025</v>
      </c>
    </row>
    <row r="561" spans="1:9" hidden="1" x14ac:dyDescent="0.3">
      <c r="A561" s="16" t="s">
        <v>43</v>
      </c>
      <c r="B561" s="16" t="s">
        <v>153</v>
      </c>
      <c r="C561" s="15">
        <v>5</v>
      </c>
      <c r="D561" s="17">
        <v>3000000</v>
      </c>
      <c r="E561" s="17">
        <v>630000</v>
      </c>
      <c r="F561" s="17">
        <v>-2370000</v>
      </c>
      <c r="G561" s="18">
        <v>0.21</v>
      </c>
      <c r="H561" s="10" t="str">
        <f t="shared" si="8"/>
        <v>GASTOS</v>
      </c>
      <c r="I561" s="19">
        <v>2025</v>
      </c>
    </row>
    <row r="562" spans="1:9" hidden="1" x14ac:dyDescent="0.3">
      <c r="A562" s="16" t="s">
        <v>43</v>
      </c>
      <c r="B562" s="16" t="s">
        <v>153</v>
      </c>
      <c r="C562" s="15">
        <v>6</v>
      </c>
      <c r="D562" s="17">
        <v>3000000</v>
      </c>
      <c r="E562" s="17">
        <v>0</v>
      </c>
      <c r="F562" s="17">
        <v>-3000000</v>
      </c>
      <c r="G562" s="18">
        <v>0</v>
      </c>
      <c r="H562" s="10" t="str">
        <f t="shared" si="8"/>
        <v>GASTOS</v>
      </c>
      <c r="I562" s="19">
        <v>2025</v>
      </c>
    </row>
    <row r="563" spans="1:9" hidden="1" x14ac:dyDescent="0.3">
      <c r="A563" s="16" t="s">
        <v>43</v>
      </c>
      <c r="B563" s="16" t="s">
        <v>153</v>
      </c>
      <c r="C563" s="15">
        <v>7</v>
      </c>
      <c r="D563" s="17">
        <v>0</v>
      </c>
      <c r="E563" s="17">
        <v>360000</v>
      </c>
      <c r="F563" s="17">
        <v>360000</v>
      </c>
      <c r="G563" s="18">
        <v>0</v>
      </c>
      <c r="H563" s="10" t="str">
        <f t="shared" si="8"/>
        <v>GASTOS</v>
      </c>
      <c r="I563" s="19">
        <v>2025</v>
      </c>
    </row>
    <row r="564" spans="1:9" hidden="1" x14ac:dyDescent="0.3">
      <c r="A564" s="16" t="s">
        <v>43</v>
      </c>
      <c r="B564" s="16" t="s">
        <v>153</v>
      </c>
      <c r="C564" s="15">
        <v>9</v>
      </c>
      <c r="D564" s="17">
        <v>5000000</v>
      </c>
      <c r="E564" s="17">
        <v>250000</v>
      </c>
      <c r="F564" s="17">
        <v>-4750000</v>
      </c>
      <c r="G564" s="18">
        <v>0.05</v>
      </c>
      <c r="H564" s="10" t="str">
        <f t="shared" si="8"/>
        <v>GASTOS</v>
      </c>
      <c r="I564" s="19">
        <v>2025</v>
      </c>
    </row>
    <row r="565" spans="1:9" hidden="1" x14ac:dyDescent="0.3">
      <c r="A565" s="16" t="s">
        <v>43</v>
      </c>
      <c r="B565" s="16" t="s">
        <v>153</v>
      </c>
      <c r="C565" s="15">
        <v>10</v>
      </c>
      <c r="D565" s="17">
        <v>5000000</v>
      </c>
      <c r="E565" s="17">
        <v>525000</v>
      </c>
      <c r="F565" s="17">
        <v>-4475000</v>
      </c>
      <c r="G565" s="18">
        <v>0.105</v>
      </c>
      <c r="H565" s="10" t="str">
        <f t="shared" si="8"/>
        <v>GASTOS</v>
      </c>
      <c r="I565" s="19">
        <v>2025</v>
      </c>
    </row>
    <row r="566" spans="1:9" hidden="1" x14ac:dyDescent="0.3">
      <c r="A566" s="16" t="s">
        <v>43</v>
      </c>
      <c r="B566" s="16" t="s">
        <v>45</v>
      </c>
      <c r="C566" s="15">
        <v>2</v>
      </c>
      <c r="D566" s="17">
        <v>80000</v>
      </c>
      <c r="E566" s="17">
        <v>80000</v>
      </c>
      <c r="F566" s="17">
        <v>0</v>
      </c>
      <c r="G566" s="18">
        <v>1</v>
      </c>
      <c r="H566" s="10" t="str">
        <f t="shared" si="8"/>
        <v>GASTOS</v>
      </c>
      <c r="I566" s="19">
        <v>2025</v>
      </c>
    </row>
    <row r="567" spans="1:9" hidden="1" x14ac:dyDescent="0.3">
      <c r="A567" s="16" t="s">
        <v>43</v>
      </c>
      <c r="B567" s="16" t="s">
        <v>45</v>
      </c>
      <c r="C567" s="15">
        <v>3</v>
      </c>
      <c r="D567" s="17">
        <v>80000</v>
      </c>
      <c r="E567" s="17">
        <v>0</v>
      </c>
      <c r="F567" s="17">
        <v>-80000</v>
      </c>
      <c r="G567" s="18">
        <v>0</v>
      </c>
      <c r="H567" s="10" t="str">
        <f t="shared" si="8"/>
        <v>GASTOS</v>
      </c>
      <c r="I567" s="19">
        <v>2025</v>
      </c>
    </row>
    <row r="568" spans="1:9" hidden="1" x14ac:dyDescent="0.3">
      <c r="A568" s="16" t="s">
        <v>43</v>
      </c>
      <c r="B568" s="16" t="s">
        <v>45</v>
      </c>
      <c r="C568" s="15">
        <v>4</v>
      </c>
      <c r="D568" s="17">
        <v>80000</v>
      </c>
      <c r="E568" s="17">
        <v>240000</v>
      </c>
      <c r="F568" s="17">
        <v>160000</v>
      </c>
      <c r="G568" s="18">
        <v>3</v>
      </c>
      <c r="H568" s="10" t="str">
        <f t="shared" si="8"/>
        <v>GASTOS</v>
      </c>
      <c r="I568" s="19">
        <v>2025</v>
      </c>
    </row>
    <row r="569" spans="1:9" hidden="1" x14ac:dyDescent="0.3">
      <c r="A569" s="16" t="s">
        <v>43</v>
      </c>
      <c r="B569" s="16" t="s">
        <v>45</v>
      </c>
      <c r="C569" s="15">
        <v>5</v>
      </c>
      <c r="D569" s="17">
        <v>80000</v>
      </c>
      <c r="E569" s="17">
        <v>380000</v>
      </c>
      <c r="F569" s="17">
        <v>300000</v>
      </c>
      <c r="G569" s="18">
        <v>4.75</v>
      </c>
      <c r="H569" s="10" t="str">
        <f t="shared" si="8"/>
        <v>GASTOS</v>
      </c>
      <c r="I569" s="19">
        <v>2025</v>
      </c>
    </row>
    <row r="570" spans="1:9" hidden="1" x14ac:dyDescent="0.3">
      <c r="A570" s="16" t="s">
        <v>43</v>
      </c>
      <c r="B570" s="16" t="s">
        <v>45</v>
      </c>
      <c r="C570" s="15">
        <v>6</v>
      </c>
      <c r="D570" s="17">
        <v>80000</v>
      </c>
      <c r="E570" s="17">
        <v>240000</v>
      </c>
      <c r="F570" s="17">
        <v>160000</v>
      </c>
      <c r="G570" s="18">
        <v>3</v>
      </c>
      <c r="H570" s="10" t="str">
        <f t="shared" si="8"/>
        <v>GASTOS</v>
      </c>
      <c r="I570" s="19">
        <v>2025</v>
      </c>
    </row>
    <row r="571" spans="1:9" hidden="1" x14ac:dyDescent="0.3">
      <c r="A571" s="16" t="s">
        <v>43</v>
      </c>
      <c r="B571" s="16" t="s">
        <v>45</v>
      </c>
      <c r="C571" s="15">
        <v>7</v>
      </c>
      <c r="D571" s="17">
        <v>80000</v>
      </c>
      <c r="E571" s="17">
        <v>240000</v>
      </c>
      <c r="F571" s="17">
        <v>160000</v>
      </c>
      <c r="G571" s="18">
        <v>3</v>
      </c>
      <c r="H571" s="10" t="str">
        <f t="shared" si="8"/>
        <v>GASTOS</v>
      </c>
      <c r="I571" s="19">
        <v>2025</v>
      </c>
    </row>
    <row r="572" spans="1:9" hidden="1" x14ac:dyDescent="0.3">
      <c r="A572" s="16" t="s">
        <v>43</v>
      </c>
      <c r="B572" s="16" t="s">
        <v>45</v>
      </c>
      <c r="C572" s="15">
        <v>8</v>
      </c>
      <c r="D572" s="17">
        <v>80000</v>
      </c>
      <c r="E572" s="17">
        <v>2160000</v>
      </c>
      <c r="F572" s="17">
        <v>2080000</v>
      </c>
      <c r="G572" s="18">
        <v>27</v>
      </c>
      <c r="H572" s="10" t="str">
        <f t="shared" si="8"/>
        <v>GASTOS</v>
      </c>
      <c r="I572" s="19">
        <v>2025</v>
      </c>
    </row>
    <row r="573" spans="1:9" hidden="1" x14ac:dyDescent="0.3">
      <c r="A573" s="16" t="s">
        <v>43</v>
      </c>
      <c r="B573" s="16" t="s">
        <v>45</v>
      </c>
      <c r="C573" s="15">
        <v>9</v>
      </c>
      <c r="D573" s="17">
        <v>80000</v>
      </c>
      <c r="E573" s="17">
        <v>80000</v>
      </c>
      <c r="F573" s="17">
        <v>0</v>
      </c>
      <c r="G573" s="18">
        <v>1</v>
      </c>
      <c r="H573" s="10" t="str">
        <f t="shared" si="8"/>
        <v>GASTOS</v>
      </c>
      <c r="I573" s="19">
        <v>2025</v>
      </c>
    </row>
    <row r="574" spans="1:9" hidden="1" x14ac:dyDescent="0.3">
      <c r="A574" s="16" t="s">
        <v>43</v>
      </c>
      <c r="B574" s="16" t="s">
        <v>45</v>
      </c>
      <c r="C574" s="15">
        <v>10</v>
      </c>
      <c r="D574" s="17">
        <v>80000</v>
      </c>
      <c r="E574" s="17">
        <v>400000</v>
      </c>
      <c r="F574" s="17">
        <v>320000</v>
      </c>
      <c r="G574" s="18">
        <v>5</v>
      </c>
      <c r="H574" s="10" t="str">
        <f t="shared" si="8"/>
        <v>GASTOS</v>
      </c>
      <c r="I574" s="19">
        <v>2025</v>
      </c>
    </row>
    <row r="575" spans="1:9" hidden="1" x14ac:dyDescent="0.3">
      <c r="A575" s="16" t="s">
        <v>43</v>
      </c>
      <c r="B575" s="16" t="s">
        <v>62</v>
      </c>
      <c r="C575" s="15">
        <v>1</v>
      </c>
      <c r="D575" s="17">
        <v>2744580</v>
      </c>
      <c r="E575" s="17">
        <v>374352</v>
      </c>
      <c r="F575" s="17">
        <v>-2370228</v>
      </c>
      <c r="G575" s="18">
        <v>0.13639682574382966</v>
      </c>
      <c r="H575" s="10" t="str">
        <f t="shared" si="8"/>
        <v>GASTOS</v>
      </c>
      <c r="I575" s="19">
        <v>2025</v>
      </c>
    </row>
    <row r="576" spans="1:9" hidden="1" x14ac:dyDescent="0.3">
      <c r="A576" s="16" t="s">
        <v>43</v>
      </c>
      <c r="B576" s="16" t="s">
        <v>62</v>
      </c>
      <c r="C576" s="15">
        <v>2</v>
      </c>
      <c r="D576" s="17">
        <v>324431</v>
      </c>
      <c r="E576" s="17">
        <v>542574</v>
      </c>
      <c r="F576" s="17">
        <v>218143</v>
      </c>
      <c r="G576" s="18">
        <v>1.672386424231963</v>
      </c>
      <c r="H576" s="10" t="str">
        <f t="shared" si="8"/>
        <v>GASTOS</v>
      </c>
      <c r="I576" s="19">
        <v>2025</v>
      </c>
    </row>
    <row r="577" spans="1:9" hidden="1" x14ac:dyDescent="0.3">
      <c r="A577" s="16" t="s">
        <v>43</v>
      </c>
      <c r="B577" s="16" t="s">
        <v>62</v>
      </c>
      <c r="C577" s="15">
        <v>3</v>
      </c>
      <c r="D577" s="17">
        <v>782087</v>
      </c>
      <c r="E577" s="17">
        <v>548897</v>
      </c>
      <c r="F577" s="17">
        <v>-233190</v>
      </c>
      <c r="G577" s="18">
        <v>0.70183624072513673</v>
      </c>
      <c r="H577" s="10" t="str">
        <f t="shared" si="8"/>
        <v>GASTOS</v>
      </c>
      <c r="I577" s="19">
        <v>2025</v>
      </c>
    </row>
    <row r="578" spans="1:9" hidden="1" x14ac:dyDescent="0.3">
      <c r="A578" s="16" t="s">
        <v>43</v>
      </c>
      <c r="B578" s="16" t="s">
        <v>62</v>
      </c>
      <c r="C578" s="15">
        <v>4</v>
      </c>
      <c r="D578" s="17">
        <v>534433</v>
      </c>
      <c r="E578" s="17">
        <v>627608</v>
      </c>
      <c r="F578" s="17">
        <v>93175</v>
      </c>
      <c r="G578" s="18">
        <v>1.1743436501862723</v>
      </c>
      <c r="H578" s="10" t="str">
        <f t="shared" si="8"/>
        <v>GASTOS</v>
      </c>
      <c r="I578" s="19">
        <v>2025</v>
      </c>
    </row>
    <row r="579" spans="1:9" hidden="1" x14ac:dyDescent="0.3">
      <c r="A579" s="16" t="s">
        <v>43</v>
      </c>
      <c r="B579" s="16" t="s">
        <v>62</v>
      </c>
      <c r="C579" s="15">
        <v>5</v>
      </c>
      <c r="D579" s="17">
        <v>348849</v>
      </c>
      <c r="E579" s="17">
        <v>611987</v>
      </c>
      <c r="F579" s="17">
        <v>263138</v>
      </c>
      <c r="G579" s="18">
        <v>1.7543034378771332</v>
      </c>
      <c r="H579" s="10" t="str">
        <f t="shared" ref="H579:H642" si="9">+IF(OR(A579="ADMINISTRACION",A579="COMERCIAL",A579="COMERCIAL-EXPORTACIONES",A579="LEASING DE LA BODEGA",A579="LOGISTICA-SALIDA",A579="OTROS GASTOS",A579="BODEGA ALQUILADA", A579="BODEGA CARTOPLAST", A579="BODEGA CARTOPLAS", A579= "GESTION HUMANA-OTROS GASTOS"),"GASTOS","COSTOS")</f>
        <v>GASTOS</v>
      </c>
      <c r="I579" s="19">
        <v>2025</v>
      </c>
    </row>
    <row r="580" spans="1:9" hidden="1" x14ac:dyDescent="0.3">
      <c r="A580" s="16" t="s">
        <v>43</v>
      </c>
      <c r="B580" s="16" t="s">
        <v>62</v>
      </c>
      <c r="C580" s="15">
        <v>6</v>
      </c>
      <c r="D580" s="17">
        <v>345017</v>
      </c>
      <c r="E580" s="17">
        <v>617267</v>
      </c>
      <c r="F580" s="17">
        <v>272250</v>
      </c>
      <c r="G580" s="18">
        <v>1.7890915520104806</v>
      </c>
      <c r="H580" s="10" t="str">
        <f t="shared" si="9"/>
        <v>GASTOS</v>
      </c>
      <c r="I580" s="19">
        <v>2025</v>
      </c>
    </row>
    <row r="581" spans="1:9" hidden="1" x14ac:dyDescent="0.3">
      <c r="A581" s="16" t="s">
        <v>43</v>
      </c>
      <c r="B581" s="16" t="s">
        <v>62</v>
      </c>
      <c r="C581" s="15">
        <v>7</v>
      </c>
      <c r="D581" s="17">
        <v>528459</v>
      </c>
      <c r="E581" s="17">
        <v>3802063</v>
      </c>
      <c r="F581" s="17">
        <v>3273604</v>
      </c>
      <c r="G581" s="18">
        <v>7.1946224778081174</v>
      </c>
      <c r="H581" s="10" t="str">
        <f t="shared" si="9"/>
        <v>GASTOS</v>
      </c>
      <c r="I581" s="19">
        <v>2025</v>
      </c>
    </row>
    <row r="582" spans="1:9" hidden="1" x14ac:dyDescent="0.3">
      <c r="A582" s="16" t="s">
        <v>43</v>
      </c>
      <c r="B582" s="16" t="s">
        <v>62</v>
      </c>
      <c r="C582" s="15">
        <v>8</v>
      </c>
      <c r="D582" s="17">
        <v>377650</v>
      </c>
      <c r="E582" s="17">
        <v>1479199</v>
      </c>
      <c r="F582" s="17">
        <v>1101549</v>
      </c>
      <c r="G582" s="18">
        <v>3.9168515821527872</v>
      </c>
      <c r="H582" s="10" t="str">
        <f t="shared" si="9"/>
        <v>GASTOS</v>
      </c>
      <c r="I582" s="19">
        <v>2025</v>
      </c>
    </row>
    <row r="583" spans="1:9" hidden="1" x14ac:dyDescent="0.3">
      <c r="A583" s="16" t="s">
        <v>43</v>
      </c>
      <c r="B583" s="16" t="s">
        <v>62</v>
      </c>
      <c r="C583" s="15">
        <v>9</v>
      </c>
      <c r="D583" s="17">
        <v>382427</v>
      </c>
      <c r="E583" s="17">
        <v>652739</v>
      </c>
      <c r="F583" s="17">
        <v>270312</v>
      </c>
      <c r="G583" s="18">
        <v>1.7068329380509222</v>
      </c>
      <c r="H583" s="10" t="str">
        <f t="shared" si="9"/>
        <v>GASTOS</v>
      </c>
      <c r="I583" s="19">
        <v>2025</v>
      </c>
    </row>
    <row r="584" spans="1:9" hidden="1" x14ac:dyDescent="0.3">
      <c r="A584" s="16" t="s">
        <v>43</v>
      </c>
      <c r="B584" s="16" t="s">
        <v>62</v>
      </c>
      <c r="C584" s="15">
        <v>10</v>
      </c>
      <c r="D584" s="17">
        <v>1539438</v>
      </c>
      <c r="E584" s="17">
        <v>650762</v>
      </c>
      <c r="F584" s="17">
        <v>-888676</v>
      </c>
      <c r="G584" s="18">
        <v>0.42272699517616169</v>
      </c>
      <c r="H584" s="10" t="str">
        <f t="shared" si="9"/>
        <v>GASTOS</v>
      </c>
      <c r="I584" s="19">
        <v>2025</v>
      </c>
    </row>
    <row r="585" spans="1:9" hidden="1" x14ac:dyDescent="0.3">
      <c r="A585" s="16" t="s">
        <v>43</v>
      </c>
      <c r="B585" s="16" t="s">
        <v>46</v>
      </c>
      <c r="C585" s="15">
        <v>1</v>
      </c>
      <c r="D585" s="17">
        <v>3598025</v>
      </c>
      <c r="E585" s="17">
        <v>3598025</v>
      </c>
      <c r="F585" s="17">
        <v>0</v>
      </c>
      <c r="G585" s="18">
        <v>1</v>
      </c>
      <c r="H585" s="10" t="str">
        <f t="shared" si="9"/>
        <v>GASTOS</v>
      </c>
      <c r="I585" s="19">
        <v>2025</v>
      </c>
    </row>
    <row r="586" spans="1:9" hidden="1" x14ac:dyDescent="0.3">
      <c r="A586" s="16" t="s">
        <v>43</v>
      </c>
      <c r="B586" s="16" t="s">
        <v>46</v>
      </c>
      <c r="C586" s="15">
        <v>2</v>
      </c>
      <c r="D586" s="17">
        <v>6174206</v>
      </c>
      <c r="E586" s="17">
        <v>6174206</v>
      </c>
      <c r="F586" s="17">
        <v>0</v>
      </c>
      <c r="G586" s="18">
        <v>1</v>
      </c>
      <c r="H586" s="10" t="str">
        <f t="shared" si="9"/>
        <v>GASTOS</v>
      </c>
      <c r="I586" s="19">
        <v>2025</v>
      </c>
    </row>
    <row r="587" spans="1:9" hidden="1" x14ac:dyDescent="0.3">
      <c r="A587" s="16" t="s">
        <v>43</v>
      </c>
      <c r="B587" s="16" t="s">
        <v>46</v>
      </c>
      <c r="C587" s="15">
        <v>3</v>
      </c>
      <c r="D587" s="17">
        <v>1814933</v>
      </c>
      <c r="E587" s="17">
        <v>2246036</v>
      </c>
      <c r="F587" s="17">
        <v>431103</v>
      </c>
      <c r="G587" s="18">
        <v>1.2375310824146126</v>
      </c>
      <c r="H587" s="10" t="str">
        <f t="shared" si="9"/>
        <v>GASTOS</v>
      </c>
      <c r="I587" s="19">
        <v>2025</v>
      </c>
    </row>
    <row r="588" spans="1:9" hidden="1" x14ac:dyDescent="0.3">
      <c r="A588" s="16" t="s">
        <v>43</v>
      </c>
      <c r="B588" s="16" t="s">
        <v>46</v>
      </c>
      <c r="C588" s="15">
        <v>4</v>
      </c>
      <c r="D588" s="17">
        <v>2000000</v>
      </c>
      <c r="E588" s="17">
        <v>1899937</v>
      </c>
      <c r="F588" s="17">
        <v>-100063</v>
      </c>
      <c r="G588" s="18">
        <v>0.94996849999999999</v>
      </c>
      <c r="H588" s="10" t="str">
        <f t="shared" si="9"/>
        <v>GASTOS</v>
      </c>
      <c r="I588" s="19">
        <v>2025</v>
      </c>
    </row>
    <row r="589" spans="1:9" hidden="1" x14ac:dyDescent="0.3">
      <c r="A589" s="16" t="s">
        <v>43</v>
      </c>
      <c r="B589" s="16" t="s">
        <v>46</v>
      </c>
      <c r="C589" s="15">
        <v>5</v>
      </c>
      <c r="D589" s="17">
        <v>2500000</v>
      </c>
      <c r="E589" s="17">
        <v>10533455</v>
      </c>
      <c r="F589" s="17">
        <v>8033455</v>
      </c>
      <c r="G589" s="18">
        <v>4.2133820000000002</v>
      </c>
      <c r="H589" s="10" t="str">
        <f t="shared" si="9"/>
        <v>GASTOS</v>
      </c>
      <c r="I589" s="19">
        <v>2025</v>
      </c>
    </row>
    <row r="590" spans="1:9" hidden="1" x14ac:dyDescent="0.3">
      <c r="A590" s="16" t="s">
        <v>43</v>
      </c>
      <c r="B590" s="16" t="s">
        <v>46</v>
      </c>
      <c r="C590" s="15">
        <v>6</v>
      </c>
      <c r="D590" s="17">
        <v>3000000</v>
      </c>
      <c r="E590" s="17">
        <v>2460767</v>
      </c>
      <c r="F590" s="17">
        <v>-539233</v>
      </c>
      <c r="G590" s="18">
        <v>0.82025566666666672</v>
      </c>
      <c r="H590" s="10" t="str">
        <f t="shared" si="9"/>
        <v>GASTOS</v>
      </c>
      <c r="I590" s="19">
        <v>2025</v>
      </c>
    </row>
    <row r="591" spans="1:9" hidden="1" x14ac:dyDescent="0.3">
      <c r="A591" s="16" t="s">
        <v>43</v>
      </c>
      <c r="B591" s="16" t="s">
        <v>46</v>
      </c>
      <c r="C591" s="15">
        <v>7</v>
      </c>
      <c r="D591" s="17">
        <v>3000000</v>
      </c>
      <c r="E591" s="17">
        <v>3697290</v>
      </c>
      <c r="F591" s="17">
        <v>697290</v>
      </c>
      <c r="G591" s="18">
        <v>1.2324299999999999</v>
      </c>
      <c r="H591" s="10" t="str">
        <f t="shared" si="9"/>
        <v>GASTOS</v>
      </c>
      <c r="I591" s="19">
        <v>2025</v>
      </c>
    </row>
    <row r="592" spans="1:9" hidden="1" x14ac:dyDescent="0.3">
      <c r="A592" s="16" t="s">
        <v>43</v>
      </c>
      <c r="B592" s="16" t="s">
        <v>46</v>
      </c>
      <c r="C592" s="15">
        <v>8</v>
      </c>
      <c r="D592" s="17">
        <v>4000000</v>
      </c>
      <c r="E592" s="17">
        <v>4673997</v>
      </c>
      <c r="F592" s="17">
        <v>673997</v>
      </c>
      <c r="G592" s="18">
        <v>1.16849925</v>
      </c>
      <c r="H592" s="10" t="str">
        <f t="shared" si="9"/>
        <v>GASTOS</v>
      </c>
      <c r="I592" s="19">
        <v>2025</v>
      </c>
    </row>
    <row r="593" spans="1:9" hidden="1" x14ac:dyDescent="0.3">
      <c r="A593" s="16" t="s">
        <v>43</v>
      </c>
      <c r="B593" s="16" t="s">
        <v>46</v>
      </c>
      <c r="C593" s="15">
        <v>9</v>
      </c>
      <c r="D593" s="17">
        <v>5000000</v>
      </c>
      <c r="E593" s="17">
        <v>13778088</v>
      </c>
      <c r="F593" s="17">
        <v>8778088</v>
      </c>
      <c r="G593" s="18">
        <v>2.7556175999999999</v>
      </c>
      <c r="H593" s="10" t="str">
        <f t="shared" si="9"/>
        <v>GASTOS</v>
      </c>
      <c r="I593" s="19">
        <v>2025</v>
      </c>
    </row>
    <row r="594" spans="1:9" hidden="1" x14ac:dyDescent="0.3">
      <c r="A594" s="16" t="s">
        <v>43</v>
      </c>
      <c r="B594" s="16" t="s">
        <v>46</v>
      </c>
      <c r="C594" s="15">
        <v>10</v>
      </c>
      <c r="D594" s="17">
        <v>5000000</v>
      </c>
      <c r="E594" s="17">
        <v>3401166</v>
      </c>
      <c r="F594" s="17">
        <v>-1598834</v>
      </c>
      <c r="G594" s="18">
        <v>0.68023319999999998</v>
      </c>
      <c r="H594" s="10" t="str">
        <f t="shared" si="9"/>
        <v>GASTOS</v>
      </c>
      <c r="I594" s="19">
        <v>2025</v>
      </c>
    </row>
    <row r="595" spans="1:9" hidden="1" x14ac:dyDescent="0.3">
      <c r="A595" s="16" t="s">
        <v>43</v>
      </c>
      <c r="B595" s="16" t="s">
        <v>47</v>
      </c>
      <c r="C595" s="15">
        <v>1</v>
      </c>
      <c r="D595" s="17">
        <v>3504400</v>
      </c>
      <c r="E595" s="17">
        <v>3504400</v>
      </c>
      <c r="F595" s="17">
        <v>0</v>
      </c>
      <c r="G595" s="18">
        <v>1</v>
      </c>
      <c r="H595" s="10" t="str">
        <f t="shared" si="9"/>
        <v>GASTOS</v>
      </c>
      <c r="I595" s="19">
        <v>2025</v>
      </c>
    </row>
    <row r="596" spans="1:9" hidden="1" x14ac:dyDescent="0.3">
      <c r="A596" s="16" t="s">
        <v>43</v>
      </c>
      <c r="B596" s="16" t="s">
        <v>47</v>
      </c>
      <c r="C596" s="15">
        <v>3</v>
      </c>
      <c r="D596" s="17">
        <v>750300</v>
      </c>
      <c r="E596" s="17">
        <v>750300</v>
      </c>
      <c r="F596" s="17">
        <v>0</v>
      </c>
      <c r="G596" s="18">
        <v>1</v>
      </c>
      <c r="H596" s="10" t="str">
        <f t="shared" si="9"/>
        <v>GASTOS</v>
      </c>
      <c r="I596" s="19">
        <v>2025</v>
      </c>
    </row>
    <row r="597" spans="1:9" hidden="1" x14ac:dyDescent="0.3">
      <c r="A597" s="16" t="s">
        <v>43</v>
      </c>
      <c r="B597" s="16" t="s">
        <v>47</v>
      </c>
      <c r="C597" s="15">
        <v>4</v>
      </c>
      <c r="D597" s="17">
        <v>1000000</v>
      </c>
      <c r="E597" s="17">
        <v>3060100</v>
      </c>
      <c r="F597" s="17">
        <v>2060100</v>
      </c>
      <c r="G597" s="18">
        <v>3.0600999999999998</v>
      </c>
      <c r="H597" s="10" t="str">
        <f t="shared" si="9"/>
        <v>GASTOS</v>
      </c>
      <c r="I597" s="19">
        <v>2025</v>
      </c>
    </row>
    <row r="598" spans="1:9" hidden="1" x14ac:dyDescent="0.3">
      <c r="A598" s="16" t="s">
        <v>43</v>
      </c>
      <c r="B598" s="16" t="s">
        <v>47</v>
      </c>
      <c r="C598" s="15">
        <v>5</v>
      </c>
      <c r="D598" s="17">
        <v>1000000</v>
      </c>
      <c r="E598" s="17">
        <v>0</v>
      </c>
      <c r="F598" s="17">
        <v>-1000000</v>
      </c>
      <c r="G598" s="18">
        <v>0</v>
      </c>
      <c r="H598" s="10" t="str">
        <f t="shared" si="9"/>
        <v>GASTOS</v>
      </c>
      <c r="I598" s="19">
        <v>2025</v>
      </c>
    </row>
    <row r="599" spans="1:9" hidden="1" x14ac:dyDescent="0.3">
      <c r="A599" s="16" t="s">
        <v>43</v>
      </c>
      <c r="B599" s="16" t="s">
        <v>47</v>
      </c>
      <c r="C599" s="15">
        <v>6</v>
      </c>
      <c r="D599" s="17">
        <v>3000000</v>
      </c>
      <c r="E599" s="17">
        <v>491800</v>
      </c>
      <c r="F599" s="17">
        <v>-2508200</v>
      </c>
      <c r="G599" s="18">
        <v>0.16393333333333335</v>
      </c>
      <c r="H599" s="10" t="str">
        <f t="shared" si="9"/>
        <v>GASTOS</v>
      </c>
      <c r="I599" s="19">
        <v>2025</v>
      </c>
    </row>
    <row r="600" spans="1:9" hidden="1" x14ac:dyDescent="0.3">
      <c r="A600" s="16" t="s">
        <v>43</v>
      </c>
      <c r="B600" s="16" t="s">
        <v>47</v>
      </c>
      <c r="C600" s="15">
        <v>7</v>
      </c>
      <c r="D600" s="17">
        <v>2000000</v>
      </c>
      <c r="E600" s="17">
        <v>3024700</v>
      </c>
      <c r="F600" s="17">
        <v>1024700</v>
      </c>
      <c r="G600" s="18">
        <v>1.5123500000000001</v>
      </c>
      <c r="H600" s="10" t="str">
        <f t="shared" si="9"/>
        <v>GASTOS</v>
      </c>
      <c r="I600" s="19">
        <v>2025</v>
      </c>
    </row>
    <row r="601" spans="1:9" hidden="1" x14ac:dyDescent="0.3">
      <c r="A601" s="16" t="s">
        <v>43</v>
      </c>
      <c r="B601" s="16" t="s">
        <v>47</v>
      </c>
      <c r="C601" s="15">
        <v>8</v>
      </c>
      <c r="D601" s="17">
        <v>2000000</v>
      </c>
      <c r="E601" s="17">
        <v>577600</v>
      </c>
      <c r="F601" s="17">
        <v>-1422400</v>
      </c>
      <c r="G601" s="18">
        <v>0.2888</v>
      </c>
      <c r="H601" s="10" t="str">
        <f t="shared" si="9"/>
        <v>GASTOS</v>
      </c>
      <c r="I601" s="19">
        <v>2025</v>
      </c>
    </row>
    <row r="602" spans="1:9" hidden="1" x14ac:dyDescent="0.3">
      <c r="A602" s="16" t="s">
        <v>43</v>
      </c>
      <c r="B602" s="16" t="s">
        <v>47</v>
      </c>
      <c r="C602" s="15">
        <v>9</v>
      </c>
      <c r="D602" s="17">
        <v>2000000</v>
      </c>
      <c r="E602" s="17">
        <v>3878900</v>
      </c>
      <c r="F602" s="17">
        <v>1878900</v>
      </c>
      <c r="G602" s="18">
        <v>1.9394499999999999</v>
      </c>
      <c r="H602" s="10" t="str">
        <f t="shared" si="9"/>
        <v>GASTOS</v>
      </c>
      <c r="I602" s="19">
        <v>2025</v>
      </c>
    </row>
    <row r="603" spans="1:9" hidden="1" x14ac:dyDescent="0.3">
      <c r="A603" s="16" t="s">
        <v>43</v>
      </c>
      <c r="B603" s="16" t="s">
        <v>47</v>
      </c>
      <c r="C603" s="15">
        <v>10</v>
      </c>
      <c r="D603" s="17">
        <v>2000000</v>
      </c>
      <c r="E603" s="17">
        <v>1922300</v>
      </c>
      <c r="F603" s="17">
        <v>-77700</v>
      </c>
      <c r="G603" s="18">
        <v>0.96114999999999995</v>
      </c>
      <c r="H603" s="10" t="str">
        <f t="shared" si="9"/>
        <v>GASTOS</v>
      </c>
      <c r="I603" s="19">
        <v>2025</v>
      </c>
    </row>
    <row r="604" spans="1:9" hidden="1" x14ac:dyDescent="0.3">
      <c r="A604" s="16" t="s">
        <v>43</v>
      </c>
      <c r="B604" s="16" t="s">
        <v>48</v>
      </c>
      <c r="C604" s="15">
        <v>1</v>
      </c>
      <c r="D604" s="17">
        <v>1345631</v>
      </c>
      <c r="E604" s="17">
        <v>1345631</v>
      </c>
      <c r="F604" s="17">
        <v>0</v>
      </c>
      <c r="G604" s="18">
        <v>1</v>
      </c>
      <c r="H604" s="10" t="str">
        <f t="shared" si="9"/>
        <v>GASTOS</v>
      </c>
      <c r="I604" s="19">
        <v>2025</v>
      </c>
    </row>
    <row r="605" spans="1:9" hidden="1" x14ac:dyDescent="0.3">
      <c r="A605" s="16" t="s">
        <v>43</v>
      </c>
      <c r="B605" s="16" t="s">
        <v>48</v>
      </c>
      <c r="C605" s="15">
        <v>2</v>
      </c>
      <c r="D605" s="17">
        <v>3130249</v>
      </c>
      <c r="E605" s="17">
        <v>3130249</v>
      </c>
      <c r="F605" s="17">
        <v>0</v>
      </c>
      <c r="G605" s="18">
        <v>1</v>
      </c>
      <c r="H605" s="10" t="str">
        <f t="shared" si="9"/>
        <v>GASTOS</v>
      </c>
      <c r="I605" s="19">
        <v>2025</v>
      </c>
    </row>
    <row r="606" spans="1:9" hidden="1" x14ac:dyDescent="0.3">
      <c r="A606" s="16" t="s">
        <v>43</v>
      </c>
      <c r="B606" s="16" t="s">
        <v>48</v>
      </c>
      <c r="C606" s="15">
        <v>3</v>
      </c>
      <c r="D606" s="17">
        <v>793603</v>
      </c>
      <c r="E606" s="17">
        <v>1165615</v>
      </c>
      <c r="F606" s="17">
        <v>372012</v>
      </c>
      <c r="G606" s="18">
        <v>1.4687633489288725</v>
      </c>
      <c r="H606" s="10" t="str">
        <f t="shared" si="9"/>
        <v>GASTOS</v>
      </c>
      <c r="I606" s="19">
        <v>2025</v>
      </c>
    </row>
    <row r="607" spans="1:9" hidden="1" x14ac:dyDescent="0.3">
      <c r="A607" s="16" t="s">
        <v>43</v>
      </c>
      <c r="B607" s="16" t="s">
        <v>48</v>
      </c>
      <c r="C607" s="15">
        <v>4</v>
      </c>
      <c r="D607" s="17">
        <v>750000</v>
      </c>
      <c r="E607" s="17">
        <v>1569360</v>
      </c>
      <c r="F607" s="17">
        <v>819360</v>
      </c>
      <c r="G607" s="18">
        <v>2.0924800000000001</v>
      </c>
      <c r="H607" s="10" t="str">
        <f t="shared" si="9"/>
        <v>GASTOS</v>
      </c>
      <c r="I607" s="19">
        <v>2025</v>
      </c>
    </row>
    <row r="608" spans="1:9" hidden="1" x14ac:dyDescent="0.3">
      <c r="A608" s="16" t="s">
        <v>43</v>
      </c>
      <c r="B608" s="16" t="s">
        <v>48</v>
      </c>
      <c r="C608" s="15">
        <v>5</v>
      </c>
      <c r="D608" s="17">
        <v>750000</v>
      </c>
      <c r="E608" s="17">
        <v>4847227</v>
      </c>
      <c r="F608" s="17">
        <v>4097227</v>
      </c>
      <c r="G608" s="18">
        <v>6.4629693333333336</v>
      </c>
      <c r="H608" s="10" t="str">
        <f t="shared" si="9"/>
        <v>GASTOS</v>
      </c>
      <c r="I608" s="19">
        <v>2025</v>
      </c>
    </row>
    <row r="609" spans="1:9" hidden="1" x14ac:dyDescent="0.3">
      <c r="A609" s="16" t="s">
        <v>43</v>
      </c>
      <c r="B609" s="16" t="s">
        <v>48</v>
      </c>
      <c r="C609" s="15">
        <v>6</v>
      </c>
      <c r="D609" s="17">
        <v>1500000</v>
      </c>
      <c r="E609" s="17">
        <v>1463962</v>
      </c>
      <c r="F609" s="17">
        <v>-36038</v>
      </c>
      <c r="G609" s="18">
        <v>0.97597466666666666</v>
      </c>
      <c r="H609" s="10" t="str">
        <f t="shared" si="9"/>
        <v>GASTOS</v>
      </c>
      <c r="I609" s="19">
        <v>2025</v>
      </c>
    </row>
    <row r="610" spans="1:9" hidden="1" x14ac:dyDescent="0.3">
      <c r="A610" s="16" t="s">
        <v>43</v>
      </c>
      <c r="B610" s="16" t="s">
        <v>48</v>
      </c>
      <c r="C610" s="15">
        <v>7</v>
      </c>
      <c r="D610" s="17">
        <v>1500000</v>
      </c>
      <c r="E610" s="17">
        <v>1184231</v>
      </c>
      <c r="F610" s="17">
        <v>-315769</v>
      </c>
      <c r="G610" s="18">
        <v>0.78948733333333332</v>
      </c>
      <c r="H610" s="10" t="str">
        <f t="shared" si="9"/>
        <v>GASTOS</v>
      </c>
      <c r="I610" s="19">
        <v>2025</v>
      </c>
    </row>
    <row r="611" spans="1:9" hidden="1" x14ac:dyDescent="0.3">
      <c r="A611" s="16" t="s">
        <v>43</v>
      </c>
      <c r="B611" s="16" t="s">
        <v>48</v>
      </c>
      <c r="C611" s="15">
        <v>8</v>
      </c>
      <c r="D611" s="17">
        <v>1500000</v>
      </c>
      <c r="E611" s="17">
        <v>2900712</v>
      </c>
      <c r="F611" s="17">
        <v>1400712</v>
      </c>
      <c r="G611" s="18">
        <v>1.933808</v>
      </c>
      <c r="H611" s="10" t="str">
        <f t="shared" si="9"/>
        <v>GASTOS</v>
      </c>
      <c r="I611" s="19">
        <v>2025</v>
      </c>
    </row>
    <row r="612" spans="1:9" hidden="1" x14ac:dyDescent="0.3">
      <c r="A612" s="16" t="s">
        <v>43</v>
      </c>
      <c r="B612" s="16" t="s">
        <v>48</v>
      </c>
      <c r="C612" s="15">
        <v>9</v>
      </c>
      <c r="D612" s="17">
        <v>1500000</v>
      </c>
      <c r="E612" s="17">
        <v>5713140</v>
      </c>
      <c r="F612" s="17">
        <v>4213140</v>
      </c>
      <c r="G612" s="18">
        <v>3.8087599999999999</v>
      </c>
      <c r="H612" s="10" t="str">
        <f t="shared" si="9"/>
        <v>GASTOS</v>
      </c>
      <c r="I612" s="19">
        <v>2025</v>
      </c>
    </row>
    <row r="613" spans="1:9" hidden="1" x14ac:dyDescent="0.3">
      <c r="A613" s="16" t="s">
        <v>43</v>
      </c>
      <c r="B613" s="16" t="s">
        <v>48</v>
      </c>
      <c r="C613" s="15">
        <v>10</v>
      </c>
      <c r="D613" s="17">
        <v>1500000</v>
      </c>
      <c r="E613" s="17">
        <v>3119229</v>
      </c>
      <c r="F613" s="17">
        <v>1619229</v>
      </c>
      <c r="G613" s="18">
        <v>2.0794860000000002</v>
      </c>
      <c r="H613" s="10" t="str">
        <f t="shared" si="9"/>
        <v>GASTOS</v>
      </c>
      <c r="I613" s="19">
        <v>2025</v>
      </c>
    </row>
    <row r="614" spans="1:9" hidden="1" x14ac:dyDescent="0.3">
      <c r="A614" s="16" t="s">
        <v>43</v>
      </c>
      <c r="B614" s="16" t="s">
        <v>23</v>
      </c>
      <c r="C614" s="15">
        <v>1</v>
      </c>
      <c r="D614" s="17">
        <v>934485</v>
      </c>
      <c r="E614" s="17">
        <v>934485</v>
      </c>
      <c r="F614" s="17">
        <v>0</v>
      </c>
      <c r="G614" s="18">
        <v>1</v>
      </c>
      <c r="H614" s="10" t="str">
        <f t="shared" si="9"/>
        <v>GASTOS</v>
      </c>
      <c r="I614" s="19">
        <v>2025</v>
      </c>
    </row>
    <row r="615" spans="1:9" hidden="1" x14ac:dyDescent="0.3">
      <c r="A615" s="16" t="s">
        <v>43</v>
      </c>
      <c r="B615" s="16" t="s">
        <v>23</v>
      </c>
      <c r="C615" s="15">
        <v>2</v>
      </c>
      <c r="D615" s="17">
        <v>934485</v>
      </c>
      <c r="E615" s="17">
        <v>934485</v>
      </c>
      <c r="F615" s="17">
        <v>0</v>
      </c>
      <c r="G615" s="18">
        <v>1</v>
      </c>
      <c r="H615" s="10" t="str">
        <f t="shared" si="9"/>
        <v>GASTOS</v>
      </c>
      <c r="I615" s="19">
        <v>2025</v>
      </c>
    </row>
    <row r="616" spans="1:9" hidden="1" x14ac:dyDescent="0.3">
      <c r="A616" s="16" t="s">
        <v>43</v>
      </c>
      <c r="B616" s="16" t="s">
        <v>23</v>
      </c>
      <c r="C616" s="15">
        <v>3</v>
      </c>
      <c r="D616" s="17">
        <v>934485</v>
      </c>
      <c r="E616" s="17">
        <v>934485</v>
      </c>
      <c r="F616" s="17">
        <v>0</v>
      </c>
      <c r="G616" s="18">
        <v>1</v>
      </c>
      <c r="H616" s="10" t="str">
        <f t="shared" si="9"/>
        <v>GASTOS</v>
      </c>
      <c r="I616" s="19">
        <v>2025</v>
      </c>
    </row>
    <row r="617" spans="1:9" hidden="1" x14ac:dyDescent="0.3">
      <c r="A617" s="16" t="s">
        <v>43</v>
      </c>
      <c r="B617" s="16" t="s">
        <v>23</v>
      </c>
      <c r="C617" s="15">
        <v>4</v>
      </c>
      <c r="D617" s="17">
        <v>934485</v>
      </c>
      <c r="E617" s="17">
        <v>934485</v>
      </c>
      <c r="F617" s="17">
        <v>0</v>
      </c>
      <c r="G617" s="18">
        <v>1</v>
      </c>
      <c r="H617" s="10" t="str">
        <f t="shared" si="9"/>
        <v>GASTOS</v>
      </c>
      <c r="I617" s="19">
        <v>2025</v>
      </c>
    </row>
    <row r="618" spans="1:9" hidden="1" x14ac:dyDescent="0.3">
      <c r="A618" s="16" t="s">
        <v>43</v>
      </c>
      <c r="B618" s="16" t="s">
        <v>23</v>
      </c>
      <c r="C618" s="15">
        <v>5</v>
      </c>
      <c r="D618" s="17">
        <v>934485</v>
      </c>
      <c r="E618" s="17">
        <v>934485</v>
      </c>
      <c r="F618" s="17">
        <v>0</v>
      </c>
      <c r="G618" s="18">
        <v>1</v>
      </c>
      <c r="H618" s="10" t="str">
        <f t="shared" si="9"/>
        <v>GASTOS</v>
      </c>
      <c r="I618" s="19">
        <v>2025</v>
      </c>
    </row>
    <row r="619" spans="1:9" hidden="1" x14ac:dyDescent="0.3">
      <c r="A619" s="16" t="s">
        <v>43</v>
      </c>
      <c r="B619" s="16" t="s">
        <v>23</v>
      </c>
      <c r="C619" s="15">
        <v>6</v>
      </c>
      <c r="D619" s="17">
        <v>934485</v>
      </c>
      <c r="E619" s="17">
        <v>934485</v>
      </c>
      <c r="F619" s="17">
        <v>0</v>
      </c>
      <c r="G619" s="18">
        <v>1</v>
      </c>
      <c r="H619" s="10" t="str">
        <f t="shared" si="9"/>
        <v>GASTOS</v>
      </c>
      <c r="I619" s="19">
        <v>2025</v>
      </c>
    </row>
    <row r="620" spans="1:9" hidden="1" x14ac:dyDescent="0.3">
      <c r="A620" s="16" t="s">
        <v>43</v>
      </c>
      <c r="B620" s="16" t="s">
        <v>23</v>
      </c>
      <c r="C620" s="15">
        <v>7</v>
      </c>
      <c r="D620" s="17">
        <v>934485</v>
      </c>
      <c r="E620" s="17">
        <v>934485</v>
      </c>
      <c r="F620" s="17">
        <v>0</v>
      </c>
      <c r="G620" s="18">
        <v>1</v>
      </c>
      <c r="H620" s="10" t="str">
        <f t="shared" si="9"/>
        <v>GASTOS</v>
      </c>
      <c r="I620" s="19">
        <v>2025</v>
      </c>
    </row>
    <row r="621" spans="1:9" hidden="1" x14ac:dyDescent="0.3">
      <c r="A621" s="16" t="s">
        <v>43</v>
      </c>
      <c r="B621" s="16" t="s">
        <v>23</v>
      </c>
      <c r="C621" s="15">
        <v>8</v>
      </c>
      <c r="D621" s="17">
        <v>934485</v>
      </c>
      <c r="E621" s="17">
        <v>934485</v>
      </c>
      <c r="F621" s="17">
        <v>0</v>
      </c>
      <c r="G621" s="18">
        <v>1</v>
      </c>
      <c r="H621" s="10" t="str">
        <f t="shared" si="9"/>
        <v>GASTOS</v>
      </c>
      <c r="I621" s="19">
        <v>2025</v>
      </c>
    </row>
    <row r="622" spans="1:9" hidden="1" x14ac:dyDescent="0.3">
      <c r="A622" s="16" t="s">
        <v>43</v>
      </c>
      <c r="B622" s="16" t="s">
        <v>23</v>
      </c>
      <c r="C622" s="15">
        <v>9</v>
      </c>
      <c r="D622" s="17">
        <v>934485</v>
      </c>
      <c r="E622" s="17">
        <v>934485</v>
      </c>
      <c r="F622" s="17">
        <v>0</v>
      </c>
      <c r="G622" s="18">
        <v>1</v>
      </c>
      <c r="H622" s="10" t="str">
        <f t="shared" si="9"/>
        <v>GASTOS</v>
      </c>
      <c r="I622" s="19">
        <v>2025</v>
      </c>
    </row>
    <row r="623" spans="1:9" hidden="1" x14ac:dyDescent="0.3">
      <c r="A623" s="16" t="s">
        <v>43</v>
      </c>
      <c r="B623" s="16" t="s">
        <v>23</v>
      </c>
      <c r="C623" s="15">
        <v>10</v>
      </c>
      <c r="D623" s="17">
        <v>934485</v>
      </c>
      <c r="E623" s="17">
        <v>934485</v>
      </c>
      <c r="F623" s="17">
        <v>0</v>
      </c>
      <c r="G623" s="18">
        <v>1</v>
      </c>
      <c r="H623" s="10" t="str">
        <f t="shared" si="9"/>
        <v>GASTOS</v>
      </c>
      <c r="I623" s="19">
        <v>2025</v>
      </c>
    </row>
    <row r="624" spans="1:9" hidden="1" x14ac:dyDescent="0.3">
      <c r="A624" s="16" t="s">
        <v>43</v>
      </c>
      <c r="B624" s="16" t="s">
        <v>24</v>
      </c>
      <c r="C624" s="15">
        <v>1</v>
      </c>
      <c r="D624" s="17">
        <v>171814</v>
      </c>
      <c r="E624" s="17">
        <v>171814</v>
      </c>
      <c r="F624" s="17">
        <v>0</v>
      </c>
      <c r="G624" s="18">
        <v>1</v>
      </c>
      <c r="H624" s="10" t="str">
        <f t="shared" si="9"/>
        <v>GASTOS</v>
      </c>
      <c r="I624" s="19">
        <v>2025</v>
      </c>
    </row>
    <row r="625" spans="1:9" hidden="1" x14ac:dyDescent="0.3">
      <c r="A625" s="16" t="s">
        <v>43</v>
      </c>
      <c r="B625" s="16" t="s">
        <v>24</v>
      </c>
      <c r="C625" s="15">
        <v>2</v>
      </c>
      <c r="D625" s="17">
        <v>171814</v>
      </c>
      <c r="E625" s="17">
        <v>171814</v>
      </c>
      <c r="F625" s="17">
        <v>0</v>
      </c>
      <c r="G625" s="18">
        <v>1</v>
      </c>
      <c r="H625" s="10" t="str">
        <f t="shared" si="9"/>
        <v>GASTOS</v>
      </c>
      <c r="I625" s="19">
        <v>2025</v>
      </c>
    </row>
    <row r="626" spans="1:9" hidden="1" x14ac:dyDescent="0.3">
      <c r="A626" s="16" t="s">
        <v>43</v>
      </c>
      <c r="B626" s="16" t="s">
        <v>24</v>
      </c>
      <c r="C626" s="15">
        <v>3</v>
      </c>
      <c r="D626" s="17">
        <v>171814</v>
      </c>
      <c r="E626" s="17">
        <v>171814</v>
      </c>
      <c r="F626" s="17">
        <v>0</v>
      </c>
      <c r="G626" s="18">
        <v>1</v>
      </c>
      <c r="H626" s="10" t="str">
        <f t="shared" si="9"/>
        <v>GASTOS</v>
      </c>
      <c r="I626" s="19">
        <v>2025</v>
      </c>
    </row>
    <row r="627" spans="1:9" hidden="1" x14ac:dyDescent="0.3">
      <c r="A627" s="16" t="s">
        <v>43</v>
      </c>
      <c r="B627" s="16" t="s">
        <v>24</v>
      </c>
      <c r="C627" s="15">
        <v>4</v>
      </c>
      <c r="D627" s="17">
        <v>171814</v>
      </c>
      <c r="E627" s="17">
        <v>171814</v>
      </c>
      <c r="F627" s="17">
        <v>0</v>
      </c>
      <c r="G627" s="18">
        <v>1</v>
      </c>
      <c r="H627" s="10" t="str">
        <f t="shared" si="9"/>
        <v>GASTOS</v>
      </c>
      <c r="I627" s="19">
        <v>2025</v>
      </c>
    </row>
    <row r="628" spans="1:9" hidden="1" x14ac:dyDescent="0.3">
      <c r="A628" s="16" t="s">
        <v>43</v>
      </c>
      <c r="B628" s="16" t="s">
        <v>24</v>
      </c>
      <c r="C628" s="15">
        <v>5</v>
      </c>
      <c r="D628" s="17">
        <v>171814</v>
      </c>
      <c r="E628" s="17">
        <v>171814</v>
      </c>
      <c r="F628" s="17">
        <v>0</v>
      </c>
      <c r="G628" s="18">
        <v>1</v>
      </c>
      <c r="H628" s="10" t="str">
        <f t="shared" si="9"/>
        <v>GASTOS</v>
      </c>
      <c r="I628" s="19">
        <v>2025</v>
      </c>
    </row>
    <row r="629" spans="1:9" hidden="1" x14ac:dyDescent="0.3">
      <c r="A629" s="16" t="s">
        <v>43</v>
      </c>
      <c r="B629" s="16" t="s">
        <v>24</v>
      </c>
      <c r="C629" s="15">
        <v>6</v>
      </c>
      <c r="D629" s="17">
        <v>171814</v>
      </c>
      <c r="E629" s="17">
        <v>171814</v>
      </c>
      <c r="F629" s="17">
        <v>0</v>
      </c>
      <c r="G629" s="18">
        <v>1</v>
      </c>
      <c r="H629" s="10" t="str">
        <f t="shared" si="9"/>
        <v>GASTOS</v>
      </c>
      <c r="I629" s="19">
        <v>2025</v>
      </c>
    </row>
    <row r="630" spans="1:9" hidden="1" x14ac:dyDescent="0.3">
      <c r="A630" s="16" t="s">
        <v>43</v>
      </c>
      <c r="B630" s="16" t="s">
        <v>24</v>
      </c>
      <c r="C630" s="15">
        <v>7</v>
      </c>
      <c r="D630" s="17">
        <v>171814</v>
      </c>
      <c r="E630" s="17">
        <v>171814</v>
      </c>
      <c r="F630" s="17">
        <v>0</v>
      </c>
      <c r="G630" s="18">
        <v>1</v>
      </c>
      <c r="H630" s="10" t="str">
        <f t="shared" si="9"/>
        <v>GASTOS</v>
      </c>
      <c r="I630" s="19">
        <v>2025</v>
      </c>
    </row>
    <row r="631" spans="1:9" hidden="1" x14ac:dyDescent="0.3">
      <c r="A631" s="16" t="s">
        <v>43</v>
      </c>
      <c r="B631" s="16" t="s">
        <v>24</v>
      </c>
      <c r="C631" s="15">
        <v>8</v>
      </c>
      <c r="D631" s="17">
        <v>171814</v>
      </c>
      <c r="E631" s="17">
        <v>171814</v>
      </c>
      <c r="F631" s="17">
        <v>0</v>
      </c>
      <c r="G631" s="18">
        <v>1</v>
      </c>
      <c r="H631" s="10" t="str">
        <f t="shared" si="9"/>
        <v>GASTOS</v>
      </c>
      <c r="I631" s="19">
        <v>2025</v>
      </c>
    </row>
    <row r="632" spans="1:9" hidden="1" x14ac:dyDescent="0.3">
      <c r="A632" s="16" t="s">
        <v>43</v>
      </c>
      <c r="B632" s="16" t="s">
        <v>24</v>
      </c>
      <c r="C632" s="15">
        <v>9</v>
      </c>
      <c r="D632" s="17">
        <v>171814</v>
      </c>
      <c r="E632" s="17">
        <v>171814</v>
      </c>
      <c r="F632" s="17">
        <v>0</v>
      </c>
      <c r="G632" s="18">
        <v>1</v>
      </c>
      <c r="H632" s="10" t="str">
        <f t="shared" si="9"/>
        <v>GASTOS</v>
      </c>
      <c r="I632" s="19">
        <v>2025</v>
      </c>
    </row>
    <row r="633" spans="1:9" hidden="1" x14ac:dyDescent="0.3">
      <c r="A633" s="16" t="s">
        <v>43</v>
      </c>
      <c r="B633" s="16" t="s">
        <v>24</v>
      </c>
      <c r="C633" s="15">
        <v>10</v>
      </c>
      <c r="D633" s="17">
        <v>171814</v>
      </c>
      <c r="E633" s="17">
        <v>171814</v>
      </c>
      <c r="F633" s="17">
        <v>0</v>
      </c>
      <c r="G633" s="18">
        <v>1</v>
      </c>
      <c r="H633" s="10" t="str">
        <f t="shared" si="9"/>
        <v>GASTOS</v>
      </c>
      <c r="I633" s="19">
        <v>2025</v>
      </c>
    </row>
    <row r="634" spans="1:9" hidden="1" x14ac:dyDescent="0.3">
      <c r="A634" s="16" t="s">
        <v>43</v>
      </c>
      <c r="B634" s="16" t="s">
        <v>42</v>
      </c>
      <c r="C634" s="15">
        <v>1</v>
      </c>
      <c r="D634" s="17">
        <v>311106</v>
      </c>
      <c r="E634" s="17">
        <v>311106</v>
      </c>
      <c r="F634" s="17">
        <v>0</v>
      </c>
      <c r="G634" s="18">
        <v>1</v>
      </c>
      <c r="H634" s="10" t="str">
        <f t="shared" si="9"/>
        <v>GASTOS</v>
      </c>
      <c r="I634" s="19">
        <v>2025</v>
      </c>
    </row>
    <row r="635" spans="1:9" hidden="1" x14ac:dyDescent="0.3">
      <c r="A635" s="16" t="s">
        <v>43</v>
      </c>
      <c r="B635" s="16" t="s">
        <v>42</v>
      </c>
      <c r="C635" s="15">
        <v>2</v>
      </c>
      <c r="D635" s="17">
        <v>311106</v>
      </c>
      <c r="E635" s="17">
        <v>311106</v>
      </c>
      <c r="F635" s="17">
        <v>0</v>
      </c>
      <c r="G635" s="18">
        <v>1</v>
      </c>
      <c r="H635" s="10" t="str">
        <f t="shared" si="9"/>
        <v>GASTOS</v>
      </c>
      <c r="I635" s="19">
        <v>2025</v>
      </c>
    </row>
    <row r="636" spans="1:9" hidden="1" x14ac:dyDescent="0.3">
      <c r="A636" s="16" t="s">
        <v>43</v>
      </c>
      <c r="B636" s="16" t="s">
        <v>42</v>
      </c>
      <c r="C636" s="15">
        <v>3</v>
      </c>
      <c r="D636" s="17">
        <v>311106</v>
      </c>
      <c r="E636" s="17">
        <v>311106</v>
      </c>
      <c r="F636" s="17">
        <v>0</v>
      </c>
      <c r="G636" s="18">
        <v>1</v>
      </c>
      <c r="H636" s="10" t="str">
        <f t="shared" si="9"/>
        <v>GASTOS</v>
      </c>
      <c r="I636" s="19">
        <v>2025</v>
      </c>
    </row>
    <row r="637" spans="1:9" hidden="1" x14ac:dyDescent="0.3">
      <c r="A637" s="16" t="s">
        <v>43</v>
      </c>
      <c r="B637" s="16" t="s">
        <v>42</v>
      </c>
      <c r="C637" s="15">
        <v>4</v>
      </c>
      <c r="D637" s="17">
        <v>311106</v>
      </c>
      <c r="E637" s="17">
        <v>311106</v>
      </c>
      <c r="F637" s="17">
        <v>0</v>
      </c>
      <c r="G637" s="18">
        <v>1</v>
      </c>
      <c r="H637" s="10" t="str">
        <f t="shared" si="9"/>
        <v>GASTOS</v>
      </c>
      <c r="I637" s="19">
        <v>2025</v>
      </c>
    </row>
    <row r="638" spans="1:9" hidden="1" x14ac:dyDescent="0.3">
      <c r="A638" s="16" t="s">
        <v>43</v>
      </c>
      <c r="B638" s="16" t="s">
        <v>42</v>
      </c>
      <c r="C638" s="15">
        <v>5</v>
      </c>
      <c r="D638" s="17">
        <v>311106</v>
      </c>
      <c r="E638" s="17">
        <v>311106</v>
      </c>
      <c r="F638" s="17">
        <v>0</v>
      </c>
      <c r="G638" s="18">
        <v>1</v>
      </c>
      <c r="H638" s="10" t="str">
        <f t="shared" si="9"/>
        <v>GASTOS</v>
      </c>
      <c r="I638" s="19">
        <v>2025</v>
      </c>
    </row>
    <row r="639" spans="1:9" hidden="1" x14ac:dyDescent="0.3">
      <c r="A639" s="16" t="s">
        <v>43</v>
      </c>
      <c r="B639" s="16" t="s">
        <v>42</v>
      </c>
      <c r="C639" s="15">
        <v>6</v>
      </c>
      <c r="D639" s="17">
        <v>311106</v>
      </c>
      <c r="E639" s="17">
        <v>311106</v>
      </c>
      <c r="F639" s="17">
        <v>0</v>
      </c>
      <c r="G639" s="18">
        <v>1</v>
      </c>
      <c r="H639" s="10" t="str">
        <f t="shared" si="9"/>
        <v>GASTOS</v>
      </c>
      <c r="I639" s="19">
        <v>2025</v>
      </c>
    </row>
    <row r="640" spans="1:9" hidden="1" x14ac:dyDescent="0.3">
      <c r="A640" s="16" t="s">
        <v>43</v>
      </c>
      <c r="B640" s="16" t="s">
        <v>42</v>
      </c>
      <c r="C640" s="15">
        <v>7</v>
      </c>
      <c r="D640" s="17">
        <v>311106</v>
      </c>
      <c r="E640" s="17">
        <v>311106</v>
      </c>
      <c r="F640" s="17">
        <v>0</v>
      </c>
      <c r="G640" s="18">
        <v>1</v>
      </c>
      <c r="H640" s="10" t="str">
        <f t="shared" si="9"/>
        <v>GASTOS</v>
      </c>
      <c r="I640" s="19">
        <v>2025</v>
      </c>
    </row>
    <row r="641" spans="1:9" hidden="1" x14ac:dyDescent="0.3">
      <c r="A641" s="16" t="s">
        <v>43</v>
      </c>
      <c r="B641" s="16" t="s">
        <v>42</v>
      </c>
      <c r="C641" s="15">
        <v>8</v>
      </c>
      <c r="D641" s="17">
        <v>311106</v>
      </c>
      <c r="E641" s="17">
        <v>5160906</v>
      </c>
      <c r="F641" s="17">
        <v>4849800</v>
      </c>
      <c r="G641" s="18">
        <v>16.588898960482922</v>
      </c>
      <c r="H641" s="10" t="str">
        <f t="shared" si="9"/>
        <v>GASTOS</v>
      </c>
      <c r="I641" s="19">
        <v>2025</v>
      </c>
    </row>
    <row r="642" spans="1:9" hidden="1" x14ac:dyDescent="0.3">
      <c r="A642" s="16" t="s">
        <v>43</v>
      </c>
      <c r="B642" s="16" t="s">
        <v>42</v>
      </c>
      <c r="C642" s="15">
        <v>9</v>
      </c>
      <c r="D642" s="17">
        <v>311106</v>
      </c>
      <c r="E642" s="17">
        <v>2361106</v>
      </c>
      <c r="F642" s="17">
        <v>2050000</v>
      </c>
      <c r="G642" s="18">
        <v>7.589393968615199</v>
      </c>
      <c r="H642" s="10" t="str">
        <f t="shared" si="9"/>
        <v>GASTOS</v>
      </c>
      <c r="I642" s="19">
        <v>2025</v>
      </c>
    </row>
    <row r="643" spans="1:9" hidden="1" x14ac:dyDescent="0.3">
      <c r="A643" s="16" t="s">
        <v>43</v>
      </c>
      <c r="B643" s="16" t="s">
        <v>42</v>
      </c>
      <c r="C643" s="15">
        <v>10</v>
      </c>
      <c r="D643" s="17">
        <v>311106</v>
      </c>
      <c r="E643" s="17">
        <v>311106</v>
      </c>
      <c r="F643" s="17">
        <v>0</v>
      </c>
      <c r="G643" s="18">
        <v>1</v>
      </c>
      <c r="H643" s="10" t="str">
        <f t="shared" ref="H643:H706" si="10">+IF(OR(A643="ADMINISTRACION",A643="COMERCIAL",A643="COMERCIAL-EXPORTACIONES",A643="LEASING DE LA BODEGA",A643="LOGISTICA-SALIDA",A643="OTROS GASTOS",A643="BODEGA ALQUILADA", A643="BODEGA CARTOPLAST", A643="BODEGA CARTOPLAS", A643= "GESTION HUMANA-OTROS GASTOS"),"GASTOS","COSTOS")</f>
        <v>GASTOS</v>
      </c>
      <c r="I643" s="19">
        <v>2025</v>
      </c>
    </row>
    <row r="644" spans="1:9" hidden="1" x14ac:dyDescent="0.3">
      <c r="A644" s="16" t="s">
        <v>43</v>
      </c>
      <c r="B644" s="16" t="s">
        <v>26</v>
      </c>
      <c r="C644" s="15">
        <v>3</v>
      </c>
      <c r="D644" s="17">
        <v>8000000</v>
      </c>
      <c r="E644" s="17">
        <v>0</v>
      </c>
      <c r="F644" s="17">
        <v>-8000000</v>
      </c>
      <c r="G644" s="18">
        <v>0</v>
      </c>
      <c r="H644" s="10" t="str">
        <f t="shared" si="10"/>
        <v>GASTOS</v>
      </c>
      <c r="I644" s="19">
        <v>2025</v>
      </c>
    </row>
    <row r="645" spans="1:9" hidden="1" x14ac:dyDescent="0.3">
      <c r="A645" s="16" t="s">
        <v>43</v>
      </c>
      <c r="B645" s="16" t="s">
        <v>26</v>
      </c>
      <c r="C645" s="15">
        <v>4</v>
      </c>
      <c r="D645" s="17">
        <v>4000000</v>
      </c>
      <c r="E645" s="17">
        <v>0</v>
      </c>
      <c r="F645" s="17">
        <v>-4000000</v>
      </c>
      <c r="G645" s="18">
        <v>0</v>
      </c>
      <c r="H645" s="10" t="str">
        <f t="shared" si="10"/>
        <v>GASTOS</v>
      </c>
      <c r="I645" s="19">
        <v>2025</v>
      </c>
    </row>
    <row r="646" spans="1:9" hidden="1" x14ac:dyDescent="0.3">
      <c r="A646" s="16" t="s">
        <v>43</v>
      </c>
      <c r="B646" s="16" t="s">
        <v>26</v>
      </c>
      <c r="C646" s="15">
        <v>5</v>
      </c>
      <c r="D646" s="17">
        <v>2000000</v>
      </c>
      <c r="E646" s="17">
        <v>185900</v>
      </c>
      <c r="F646" s="17">
        <v>-1814100</v>
      </c>
      <c r="G646" s="18">
        <v>9.2950000000000005E-2</v>
      </c>
      <c r="H646" s="10" t="str">
        <f t="shared" si="10"/>
        <v>GASTOS</v>
      </c>
      <c r="I646" s="19">
        <v>2025</v>
      </c>
    </row>
    <row r="647" spans="1:9" hidden="1" x14ac:dyDescent="0.3">
      <c r="A647" s="16" t="s">
        <v>43</v>
      </c>
      <c r="B647" s="16" t="s">
        <v>26</v>
      </c>
      <c r="C647" s="15">
        <v>6</v>
      </c>
      <c r="D647" s="17">
        <v>2000000</v>
      </c>
      <c r="E647" s="17">
        <v>14079</v>
      </c>
      <c r="F647" s="17">
        <v>-1985921</v>
      </c>
      <c r="G647" s="18">
        <v>7.0394999999999998E-3</v>
      </c>
      <c r="H647" s="10" t="str">
        <f t="shared" si="10"/>
        <v>GASTOS</v>
      </c>
      <c r="I647" s="19">
        <v>2025</v>
      </c>
    </row>
    <row r="648" spans="1:9" hidden="1" x14ac:dyDescent="0.3">
      <c r="A648" s="16" t="s">
        <v>43</v>
      </c>
      <c r="B648" s="16" t="s">
        <v>26</v>
      </c>
      <c r="C648" s="15">
        <v>7</v>
      </c>
      <c r="D648" s="17">
        <v>6000000</v>
      </c>
      <c r="E648" s="17">
        <v>841852</v>
      </c>
      <c r="F648" s="17">
        <v>-5158148</v>
      </c>
      <c r="G648" s="18">
        <v>0.14030866666666666</v>
      </c>
      <c r="H648" s="10" t="str">
        <f t="shared" si="10"/>
        <v>GASTOS</v>
      </c>
      <c r="I648" s="19">
        <v>2025</v>
      </c>
    </row>
    <row r="649" spans="1:9" hidden="1" x14ac:dyDescent="0.3">
      <c r="A649" s="16" t="s">
        <v>43</v>
      </c>
      <c r="B649" s="16" t="s">
        <v>26</v>
      </c>
      <c r="C649" s="15">
        <v>8</v>
      </c>
      <c r="D649" s="17">
        <v>5000000</v>
      </c>
      <c r="E649" s="17">
        <v>24403</v>
      </c>
      <c r="F649" s="17">
        <v>-4975597</v>
      </c>
      <c r="G649" s="18">
        <v>4.8805999999999997E-3</v>
      </c>
      <c r="H649" s="10" t="str">
        <f t="shared" si="10"/>
        <v>GASTOS</v>
      </c>
      <c r="I649" s="19">
        <v>2025</v>
      </c>
    </row>
    <row r="650" spans="1:9" hidden="1" x14ac:dyDescent="0.3">
      <c r="A650" s="16" t="s">
        <v>43</v>
      </c>
      <c r="B650" s="16" t="s">
        <v>26</v>
      </c>
      <c r="C650" s="15">
        <v>9</v>
      </c>
      <c r="D650" s="17">
        <v>2000000</v>
      </c>
      <c r="E650" s="17">
        <v>2414848</v>
      </c>
      <c r="F650" s="17">
        <v>414848</v>
      </c>
      <c r="G650" s="18">
        <v>1.2074240000000001</v>
      </c>
      <c r="H650" s="10" t="str">
        <f t="shared" si="10"/>
        <v>GASTOS</v>
      </c>
      <c r="I650" s="19">
        <v>2025</v>
      </c>
    </row>
    <row r="651" spans="1:9" hidden="1" x14ac:dyDescent="0.3">
      <c r="A651" s="16" t="s">
        <v>43</v>
      </c>
      <c r="B651" s="16" t="s">
        <v>26</v>
      </c>
      <c r="C651" s="15">
        <v>10</v>
      </c>
      <c r="D651" s="17">
        <v>4000000</v>
      </c>
      <c r="E651" s="17">
        <v>1286538</v>
      </c>
      <c r="F651" s="17">
        <v>-2713462</v>
      </c>
      <c r="G651" s="18">
        <v>0.32163449999999999</v>
      </c>
      <c r="H651" s="10" t="str">
        <f t="shared" si="10"/>
        <v>GASTOS</v>
      </c>
      <c r="I651" s="19">
        <v>2025</v>
      </c>
    </row>
    <row r="652" spans="1:9" hidden="1" x14ac:dyDescent="0.3">
      <c r="A652" s="16" t="s">
        <v>43</v>
      </c>
      <c r="B652" s="16" t="s">
        <v>27</v>
      </c>
      <c r="C652" s="15">
        <v>1</v>
      </c>
      <c r="D652" s="17">
        <v>41934</v>
      </c>
      <c r="E652" s="17">
        <v>0</v>
      </c>
      <c r="F652" s="17">
        <v>-41934</v>
      </c>
      <c r="G652" s="18">
        <v>0</v>
      </c>
      <c r="H652" s="10" t="str">
        <f t="shared" si="10"/>
        <v>GASTOS</v>
      </c>
      <c r="I652" s="19">
        <v>2025</v>
      </c>
    </row>
    <row r="653" spans="1:9" hidden="1" x14ac:dyDescent="0.3">
      <c r="A653" s="16" t="s">
        <v>43</v>
      </c>
      <c r="B653" s="16" t="s">
        <v>27</v>
      </c>
      <c r="C653" s="15">
        <v>2</v>
      </c>
      <c r="D653" s="17">
        <v>42883</v>
      </c>
      <c r="E653" s="17">
        <v>42149</v>
      </c>
      <c r="F653" s="17">
        <v>-734</v>
      </c>
      <c r="G653" s="18">
        <v>0.98288366019168438</v>
      </c>
      <c r="H653" s="10" t="str">
        <f t="shared" si="10"/>
        <v>GASTOS</v>
      </c>
      <c r="I653" s="19">
        <v>2025</v>
      </c>
    </row>
    <row r="654" spans="1:9" hidden="1" x14ac:dyDescent="0.3">
      <c r="A654" s="16" t="s">
        <v>43</v>
      </c>
      <c r="B654" s="16" t="s">
        <v>27</v>
      </c>
      <c r="C654" s="15">
        <v>3</v>
      </c>
      <c r="D654" s="17">
        <v>45141</v>
      </c>
      <c r="E654" s="17">
        <v>41316</v>
      </c>
      <c r="F654" s="17">
        <v>-3825</v>
      </c>
      <c r="G654" s="18">
        <v>0.91526550142885632</v>
      </c>
      <c r="H654" s="10" t="str">
        <f t="shared" si="10"/>
        <v>GASTOS</v>
      </c>
      <c r="I654" s="19">
        <v>2025</v>
      </c>
    </row>
    <row r="655" spans="1:9" hidden="1" x14ac:dyDescent="0.3">
      <c r="A655" s="16" t="s">
        <v>43</v>
      </c>
      <c r="B655" s="16" t="s">
        <v>27</v>
      </c>
      <c r="C655" s="15">
        <v>4</v>
      </c>
      <c r="D655" s="17">
        <v>47948</v>
      </c>
      <c r="E655" s="17">
        <v>46652</v>
      </c>
      <c r="F655" s="17">
        <v>-1296</v>
      </c>
      <c r="G655" s="18">
        <v>0.97297071827813464</v>
      </c>
      <c r="H655" s="10" t="str">
        <f t="shared" si="10"/>
        <v>GASTOS</v>
      </c>
      <c r="I655" s="19">
        <v>2025</v>
      </c>
    </row>
    <row r="656" spans="1:9" hidden="1" x14ac:dyDescent="0.3">
      <c r="A656" s="16" t="s">
        <v>43</v>
      </c>
      <c r="B656" s="16" t="s">
        <v>27</v>
      </c>
      <c r="C656" s="15">
        <v>5</v>
      </c>
      <c r="D656" s="17">
        <v>46737</v>
      </c>
      <c r="E656" s="17">
        <v>53452</v>
      </c>
      <c r="F656" s="17">
        <v>6715</v>
      </c>
      <c r="G656" s="18">
        <v>1.143676316408841</v>
      </c>
      <c r="H656" s="10" t="str">
        <f t="shared" si="10"/>
        <v>GASTOS</v>
      </c>
      <c r="I656" s="19">
        <v>2025</v>
      </c>
    </row>
    <row r="657" spans="1:9" hidden="1" x14ac:dyDescent="0.3">
      <c r="A657" s="16" t="s">
        <v>43</v>
      </c>
      <c r="B657" s="16" t="s">
        <v>27</v>
      </c>
      <c r="C657" s="15">
        <v>6</v>
      </c>
      <c r="D657" s="17">
        <v>49543</v>
      </c>
      <c r="E657" s="17">
        <v>54911</v>
      </c>
      <c r="F657" s="17">
        <v>5368</v>
      </c>
      <c r="G657" s="18">
        <v>1.108350321942555</v>
      </c>
      <c r="H657" s="10" t="str">
        <f t="shared" si="10"/>
        <v>GASTOS</v>
      </c>
      <c r="I657" s="19">
        <v>2025</v>
      </c>
    </row>
    <row r="658" spans="1:9" hidden="1" x14ac:dyDescent="0.3">
      <c r="A658" s="16" t="s">
        <v>43</v>
      </c>
      <c r="B658" s="16" t="s">
        <v>27</v>
      </c>
      <c r="C658" s="15">
        <v>7</v>
      </c>
      <c r="D658" s="17">
        <v>44385</v>
      </c>
      <c r="E658" s="17">
        <v>58219</v>
      </c>
      <c r="F658" s="17">
        <v>13834</v>
      </c>
      <c r="G658" s="18">
        <v>1.3116818745071535</v>
      </c>
      <c r="H658" s="10" t="str">
        <f t="shared" si="10"/>
        <v>GASTOS</v>
      </c>
      <c r="I658" s="19">
        <v>2025</v>
      </c>
    </row>
    <row r="659" spans="1:9" hidden="1" x14ac:dyDescent="0.3">
      <c r="A659" s="16" t="s">
        <v>43</v>
      </c>
      <c r="B659" s="16" t="s">
        <v>27</v>
      </c>
      <c r="C659" s="15">
        <v>8</v>
      </c>
      <c r="D659" s="17">
        <v>39371</v>
      </c>
      <c r="E659" s="17">
        <v>51499</v>
      </c>
      <c r="F659" s="17">
        <v>12128</v>
      </c>
      <c r="G659" s="18">
        <v>1.3080439917705926</v>
      </c>
      <c r="H659" s="10" t="str">
        <f t="shared" si="10"/>
        <v>GASTOS</v>
      </c>
      <c r="I659" s="19">
        <v>2025</v>
      </c>
    </row>
    <row r="660" spans="1:9" hidden="1" x14ac:dyDescent="0.3">
      <c r="A660" s="16" t="s">
        <v>43</v>
      </c>
      <c r="B660" s="16" t="s">
        <v>27</v>
      </c>
      <c r="C660" s="15">
        <v>9</v>
      </c>
      <c r="D660" s="17">
        <v>50671</v>
      </c>
      <c r="E660" s="17">
        <v>66555</v>
      </c>
      <c r="F660" s="17">
        <v>15884</v>
      </c>
      <c r="G660" s="18">
        <v>1.3134731897929781</v>
      </c>
      <c r="H660" s="10" t="str">
        <f t="shared" si="10"/>
        <v>GASTOS</v>
      </c>
      <c r="I660" s="19">
        <v>2025</v>
      </c>
    </row>
    <row r="661" spans="1:9" hidden="1" x14ac:dyDescent="0.3">
      <c r="A661" s="16" t="s">
        <v>43</v>
      </c>
      <c r="B661" s="16" t="s">
        <v>27</v>
      </c>
      <c r="C661" s="15">
        <v>10</v>
      </c>
      <c r="D661" s="17">
        <v>52542</v>
      </c>
      <c r="E661" s="17">
        <v>70947</v>
      </c>
      <c r="F661" s="17">
        <v>18405</v>
      </c>
      <c r="G661" s="18">
        <v>1.3502911956149366</v>
      </c>
      <c r="H661" s="10" t="str">
        <f t="shared" si="10"/>
        <v>GASTOS</v>
      </c>
      <c r="I661" s="19">
        <v>2025</v>
      </c>
    </row>
    <row r="662" spans="1:9" hidden="1" x14ac:dyDescent="0.3">
      <c r="A662" s="16" t="s">
        <v>43</v>
      </c>
      <c r="B662" s="16" t="s">
        <v>28</v>
      </c>
      <c r="C662" s="15">
        <v>1</v>
      </c>
      <c r="D662" s="17">
        <v>0</v>
      </c>
      <c r="E662" s="17">
        <v>14279</v>
      </c>
      <c r="F662" s="17">
        <v>14279</v>
      </c>
      <c r="G662" s="18">
        <v>0</v>
      </c>
      <c r="H662" s="10" t="str">
        <f t="shared" si="10"/>
        <v>GASTOS</v>
      </c>
      <c r="I662" s="19">
        <v>2025</v>
      </c>
    </row>
    <row r="663" spans="1:9" hidden="1" x14ac:dyDescent="0.3">
      <c r="A663" s="16" t="s">
        <v>43</v>
      </c>
      <c r="B663" s="16" t="s">
        <v>28</v>
      </c>
      <c r="C663" s="15">
        <v>2</v>
      </c>
      <c r="D663" s="17">
        <v>0</v>
      </c>
      <c r="E663" s="17">
        <v>1237350</v>
      </c>
      <c r="F663" s="17">
        <v>1237350</v>
      </c>
      <c r="G663" s="18">
        <v>0</v>
      </c>
      <c r="H663" s="10" t="str">
        <f t="shared" si="10"/>
        <v>GASTOS</v>
      </c>
      <c r="I663" s="19">
        <v>2025</v>
      </c>
    </row>
    <row r="664" spans="1:9" hidden="1" x14ac:dyDescent="0.3">
      <c r="A664" s="16" t="s">
        <v>43</v>
      </c>
      <c r="B664" s="16" t="s">
        <v>28</v>
      </c>
      <c r="C664" s="15">
        <v>3</v>
      </c>
      <c r="D664" s="17">
        <v>0</v>
      </c>
      <c r="E664" s="17">
        <v>5893895</v>
      </c>
      <c r="F664" s="17">
        <v>5893895</v>
      </c>
      <c r="G664" s="18">
        <v>0</v>
      </c>
      <c r="H664" s="10" t="str">
        <f t="shared" si="10"/>
        <v>GASTOS</v>
      </c>
      <c r="I664" s="19">
        <v>2025</v>
      </c>
    </row>
    <row r="665" spans="1:9" hidden="1" x14ac:dyDescent="0.3">
      <c r="A665" s="16" t="s">
        <v>43</v>
      </c>
      <c r="B665" s="16" t="s">
        <v>28</v>
      </c>
      <c r="C665" s="15">
        <v>4</v>
      </c>
      <c r="D665" s="17">
        <v>8000000</v>
      </c>
      <c r="E665" s="17">
        <v>2199530</v>
      </c>
      <c r="F665" s="17">
        <v>-5800470</v>
      </c>
      <c r="G665" s="18">
        <v>0.27494125000000003</v>
      </c>
      <c r="H665" s="10" t="str">
        <f t="shared" si="10"/>
        <v>GASTOS</v>
      </c>
      <c r="I665" s="19">
        <v>2025</v>
      </c>
    </row>
    <row r="666" spans="1:9" hidden="1" x14ac:dyDescent="0.3">
      <c r="A666" s="16" t="s">
        <v>43</v>
      </c>
      <c r="B666" s="16" t="s">
        <v>28</v>
      </c>
      <c r="C666" s="15">
        <v>5</v>
      </c>
      <c r="D666" s="17">
        <v>12000000</v>
      </c>
      <c r="E666" s="17">
        <v>11311986</v>
      </c>
      <c r="F666" s="17">
        <v>-688014</v>
      </c>
      <c r="G666" s="18">
        <v>0.94266550000000005</v>
      </c>
      <c r="H666" s="10" t="str">
        <f t="shared" si="10"/>
        <v>GASTOS</v>
      </c>
      <c r="I666" s="19">
        <v>2025</v>
      </c>
    </row>
    <row r="667" spans="1:9" hidden="1" x14ac:dyDescent="0.3">
      <c r="A667" s="16" t="s">
        <v>43</v>
      </c>
      <c r="B667" s="16" t="s">
        <v>28</v>
      </c>
      <c r="C667" s="15">
        <v>6</v>
      </c>
      <c r="D667" s="17">
        <v>3000000</v>
      </c>
      <c r="E667" s="17">
        <v>231067</v>
      </c>
      <c r="F667" s="17">
        <v>-2768933</v>
      </c>
      <c r="G667" s="18">
        <v>7.7022333333333332E-2</v>
      </c>
      <c r="H667" s="10" t="str">
        <f t="shared" si="10"/>
        <v>GASTOS</v>
      </c>
      <c r="I667" s="19">
        <v>2025</v>
      </c>
    </row>
    <row r="668" spans="1:9" hidden="1" x14ac:dyDescent="0.3">
      <c r="A668" s="16" t="s">
        <v>43</v>
      </c>
      <c r="B668" s="16" t="s">
        <v>28</v>
      </c>
      <c r="C668" s="15">
        <v>7</v>
      </c>
      <c r="D668" s="17">
        <v>0</v>
      </c>
      <c r="E668" s="17">
        <v>3064129</v>
      </c>
      <c r="F668" s="17">
        <v>3064129</v>
      </c>
      <c r="G668" s="18">
        <v>0</v>
      </c>
      <c r="H668" s="10" t="str">
        <f t="shared" si="10"/>
        <v>GASTOS</v>
      </c>
      <c r="I668" s="19">
        <v>2025</v>
      </c>
    </row>
    <row r="669" spans="1:9" hidden="1" x14ac:dyDescent="0.3">
      <c r="A669" s="16" t="s">
        <v>43</v>
      </c>
      <c r="B669" s="16" t="s">
        <v>28</v>
      </c>
      <c r="C669" s="15">
        <v>8</v>
      </c>
      <c r="D669" s="17">
        <v>4000000</v>
      </c>
      <c r="E669" s="17">
        <v>12508475</v>
      </c>
      <c r="F669" s="17">
        <v>8508475</v>
      </c>
      <c r="G669" s="18">
        <v>3.1271187500000002</v>
      </c>
      <c r="H669" s="10" t="str">
        <f t="shared" si="10"/>
        <v>GASTOS</v>
      </c>
      <c r="I669" s="19">
        <v>2025</v>
      </c>
    </row>
    <row r="670" spans="1:9" hidden="1" x14ac:dyDescent="0.3">
      <c r="A670" s="16" t="s">
        <v>43</v>
      </c>
      <c r="B670" s="16" t="s">
        <v>28</v>
      </c>
      <c r="C670" s="15">
        <v>9</v>
      </c>
      <c r="D670" s="17">
        <v>10000000</v>
      </c>
      <c r="E670" s="17">
        <v>1992631</v>
      </c>
      <c r="F670" s="17">
        <v>-8007369</v>
      </c>
      <c r="G670" s="18">
        <v>0.1992631</v>
      </c>
      <c r="H670" s="10" t="str">
        <f t="shared" si="10"/>
        <v>GASTOS</v>
      </c>
      <c r="I670" s="19">
        <v>2025</v>
      </c>
    </row>
    <row r="671" spans="1:9" hidden="1" x14ac:dyDescent="0.3">
      <c r="A671" s="16" t="s">
        <v>43</v>
      </c>
      <c r="B671" s="16" t="s">
        <v>28</v>
      </c>
      <c r="C671" s="15">
        <v>10</v>
      </c>
      <c r="D671" s="17">
        <v>6000000</v>
      </c>
      <c r="E671" s="17">
        <v>239873</v>
      </c>
      <c r="F671" s="17">
        <v>-5760127</v>
      </c>
      <c r="G671" s="18">
        <v>3.9978833333333338E-2</v>
      </c>
      <c r="H671" s="10" t="str">
        <f t="shared" si="10"/>
        <v>GASTOS</v>
      </c>
      <c r="I671" s="19">
        <v>2025</v>
      </c>
    </row>
    <row r="672" spans="1:9" hidden="1" x14ac:dyDescent="0.3">
      <c r="A672" s="16" t="s">
        <v>43</v>
      </c>
      <c r="B672" s="16" t="s">
        <v>52</v>
      </c>
      <c r="C672" s="15">
        <v>6</v>
      </c>
      <c r="D672" s="17">
        <v>0</v>
      </c>
      <c r="E672" s="17">
        <v>115038</v>
      </c>
      <c r="F672" s="17">
        <v>115038</v>
      </c>
      <c r="G672" s="18">
        <v>0</v>
      </c>
      <c r="H672" s="10" t="str">
        <f t="shared" si="10"/>
        <v>GASTOS</v>
      </c>
      <c r="I672" s="19">
        <v>2025</v>
      </c>
    </row>
    <row r="673" spans="1:9" hidden="1" x14ac:dyDescent="0.3">
      <c r="A673" s="16" t="s">
        <v>43</v>
      </c>
      <c r="B673" s="16" t="s">
        <v>52</v>
      </c>
      <c r="C673" s="15">
        <v>9</v>
      </c>
      <c r="D673" s="17">
        <v>0</v>
      </c>
      <c r="E673" s="17">
        <v>163659</v>
      </c>
      <c r="F673" s="17">
        <v>163659</v>
      </c>
      <c r="G673" s="18">
        <v>0</v>
      </c>
      <c r="H673" s="10" t="str">
        <f t="shared" si="10"/>
        <v>GASTOS</v>
      </c>
      <c r="I673" s="19">
        <v>2025</v>
      </c>
    </row>
    <row r="674" spans="1:9" hidden="1" x14ac:dyDescent="0.3">
      <c r="A674" s="16" t="s">
        <v>43</v>
      </c>
      <c r="B674" s="16" t="s">
        <v>29</v>
      </c>
      <c r="C674" s="15">
        <v>1</v>
      </c>
      <c r="D674" s="17">
        <v>0</v>
      </c>
      <c r="E674" s="17">
        <v>1783021</v>
      </c>
      <c r="F674" s="17">
        <v>1783021</v>
      </c>
      <c r="G674" s="18">
        <v>0</v>
      </c>
      <c r="H674" s="10" t="str">
        <f t="shared" si="10"/>
        <v>GASTOS</v>
      </c>
      <c r="I674" s="19">
        <v>2025</v>
      </c>
    </row>
    <row r="675" spans="1:9" hidden="1" x14ac:dyDescent="0.3">
      <c r="A675" s="16" t="s">
        <v>43</v>
      </c>
      <c r="B675" s="16" t="s">
        <v>29</v>
      </c>
      <c r="C675" s="15">
        <v>2</v>
      </c>
      <c r="D675" s="17">
        <v>0</v>
      </c>
      <c r="E675" s="17">
        <v>747346</v>
      </c>
      <c r="F675" s="17">
        <v>747346</v>
      </c>
      <c r="G675" s="18">
        <v>0</v>
      </c>
      <c r="H675" s="10" t="str">
        <f t="shared" si="10"/>
        <v>GASTOS</v>
      </c>
      <c r="I675" s="19">
        <v>2025</v>
      </c>
    </row>
    <row r="676" spans="1:9" hidden="1" x14ac:dyDescent="0.3">
      <c r="A676" s="16" t="s">
        <v>43</v>
      </c>
      <c r="B676" s="16" t="s">
        <v>29</v>
      </c>
      <c r="C676" s="15">
        <v>3</v>
      </c>
      <c r="D676" s="17">
        <v>300000</v>
      </c>
      <c r="E676" s="17">
        <v>1228422</v>
      </c>
      <c r="F676" s="17">
        <v>928422</v>
      </c>
      <c r="G676" s="18">
        <v>4.0947399999999998</v>
      </c>
      <c r="H676" s="10" t="str">
        <f t="shared" si="10"/>
        <v>GASTOS</v>
      </c>
      <c r="I676" s="19">
        <v>2025</v>
      </c>
    </row>
    <row r="677" spans="1:9" hidden="1" x14ac:dyDescent="0.3">
      <c r="A677" s="16" t="s">
        <v>43</v>
      </c>
      <c r="B677" s="16" t="s">
        <v>29</v>
      </c>
      <c r="C677" s="15">
        <v>4</v>
      </c>
      <c r="D677" s="17">
        <v>1000000</v>
      </c>
      <c r="E677" s="17">
        <v>565745</v>
      </c>
      <c r="F677" s="17">
        <v>-434255</v>
      </c>
      <c r="G677" s="18">
        <v>0.56574500000000005</v>
      </c>
      <c r="H677" s="10" t="str">
        <f t="shared" si="10"/>
        <v>GASTOS</v>
      </c>
      <c r="I677" s="19">
        <v>2025</v>
      </c>
    </row>
    <row r="678" spans="1:9" hidden="1" x14ac:dyDescent="0.3">
      <c r="A678" s="16" t="s">
        <v>43</v>
      </c>
      <c r="B678" s="16" t="s">
        <v>29</v>
      </c>
      <c r="C678" s="15">
        <v>5</v>
      </c>
      <c r="D678" s="17">
        <v>500000</v>
      </c>
      <c r="E678" s="17">
        <v>1746326</v>
      </c>
      <c r="F678" s="17">
        <v>1246326</v>
      </c>
      <c r="G678" s="18">
        <v>3.4926520000000001</v>
      </c>
      <c r="H678" s="10" t="str">
        <f t="shared" si="10"/>
        <v>GASTOS</v>
      </c>
      <c r="I678" s="19">
        <v>2025</v>
      </c>
    </row>
    <row r="679" spans="1:9" hidden="1" x14ac:dyDescent="0.3">
      <c r="A679" s="16" t="s">
        <v>43</v>
      </c>
      <c r="B679" s="16" t="s">
        <v>29</v>
      </c>
      <c r="C679" s="15">
        <v>6</v>
      </c>
      <c r="D679" s="17">
        <v>800000</v>
      </c>
      <c r="E679" s="17">
        <v>1472842</v>
      </c>
      <c r="F679" s="17">
        <v>672842</v>
      </c>
      <c r="G679" s="18">
        <v>1.8410525</v>
      </c>
      <c r="H679" s="10" t="str">
        <f t="shared" si="10"/>
        <v>GASTOS</v>
      </c>
      <c r="I679" s="19">
        <v>2025</v>
      </c>
    </row>
    <row r="680" spans="1:9" hidden="1" x14ac:dyDescent="0.3">
      <c r="A680" s="16" t="s">
        <v>43</v>
      </c>
      <c r="B680" s="16" t="s">
        <v>29</v>
      </c>
      <c r="C680" s="15">
        <v>7</v>
      </c>
      <c r="D680" s="17">
        <v>600000</v>
      </c>
      <c r="E680" s="17">
        <v>25002</v>
      </c>
      <c r="F680" s="17">
        <v>-574998</v>
      </c>
      <c r="G680" s="18">
        <v>4.1669999999999999E-2</v>
      </c>
      <c r="H680" s="10" t="str">
        <f t="shared" si="10"/>
        <v>GASTOS</v>
      </c>
      <c r="I680" s="19">
        <v>2025</v>
      </c>
    </row>
    <row r="681" spans="1:9" hidden="1" x14ac:dyDescent="0.3">
      <c r="A681" s="16" t="s">
        <v>43</v>
      </c>
      <c r="B681" s="16" t="s">
        <v>29</v>
      </c>
      <c r="C681" s="15">
        <v>8</v>
      </c>
      <c r="D681" s="17">
        <v>1000000</v>
      </c>
      <c r="E681" s="17">
        <v>1521934</v>
      </c>
      <c r="F681" s="17">
        <v>521934</v>
      </c>
      <c r="G681" s="18">
        <v>1.5219339999999999</v>
      </c>
      <c r="H681" s="10" t="str">
        <f t="shared" si="10"/>
        <v>GASTOS</v>
      </c>
      <c r="I681" s="19">
        <v>2025</v>
      </c>
    </row>
    <row r="682" spans="1:9" hidden="1" x14ac:dyDescent="0.3">
      <c r="A682" s="16" t="s">
        <v>43</v>
      </c>
      <c r="B682" s="16" t="s">
        <v>29</v>
      </c>
      <c r="C682" s="15">
        <v>9</v>
      </c>
      <c r="D682" s="17">
        <v>1000000</v>
      </c>
      <c r="E682" s="17">
        <v>350166</v>
      </c>
      <c r="F682" s="17">
        <v>-649834</v>
      </c>
      <c r="G682" s="18">
        <v>0.35016599999999998</v>
      </c>
      <c r="H682" s="10" t="str">
        <f t="shared" si="10"/>
        <v>GASTOS</v>
      </c>
      <c r="I682" s="19">
        <v>2025</v>
      </c>
    </row>
    <row r="683" spans="1:9" hidden="1" x14ac:dyDescent="0.3">
      <c r="A683" s="16" t="s">
        <v>43</v>
      </c>
      <c r="B683" s="16" t="s">
        <v>29</v>
      </c>
      <c r="C683" s="15">
        <v>10</v>
      </c>
      <c r="D683" s="17">
        <v>500000</v>
      </c>
      <c r="E683" s="17">
        <v>1857648</v>
      </c>
      <c r="F683" s="17">
        <v>1357648</v>
      </c>
      <c r="G683" s="18">
        <v>3.7152959999999999</v>
      </c>
      <c r="H683" s="10" t="str">
        <f t="shared" si="10"/>
        <v>GASTOS</v>
      </c>
      <c r="I683" s="19">
        <v>2025</v>
      </c>
    </row>
    <row r="684" spans="1:9" hidden="1" x14ac:dyDescent="0.3">
      <c r="A684" s="16" t="s">
        <v>43</v>
      </c>
      <c r="B684" s="16" t="s">
        <v>49</v>
      </c>
      <c r="C684" s="15">
        <v>1</v>
      </c>
      <c r="D684" s="17">
        <v>3500000</v>
      </c>
      <c r="E684" s="17">
        <v>3500000</v>
      </c>
      <c r="F684" s="17">
        <v>0</v>
      </c>
      <c r="G684" s="18">
        <v>1</v>
      </c>
      <c r="H684" s="10" t="str">
        <f t="shared" si="10"/>
        <v>GASTOS</v>
      </c>
      <c r="I684" s="19">
        <v>2025</v>
      </c>
    </row>
    <row r="685" spans="1:9" hidden="1" x14ac:dyDescent="0.3">
      <c r="A685" s="16" t="s">
        <v>43</v>
      </c>
      <c r="B685" s="16" t="s">
        <v>49</v>
      </c>
      <c r="C685" s="15">
        <v>2</v>
      </c>
      <c r="D685" s="17">
        <v>12000000</v>
      </c>
      <c r="E685" s="17">
        <v>13300000</v>
      </c>
      <c r="F685" s="17">
        <v>1300000</v>
      </c>
      <c r="G685" s="18">
        <v>1.1083333333333334</v>
      </c>
      <c r="H685" s="10" t="str">
        <f t="shared" si="10"/>
        <v>GASTOS</v>
      </c>
      <c r="I685" s="19">
        <v>2025</v>
      </c>
    </row>
    <row r="686" spans="1:9" hidden="1" x14ac:dyDescent="0.3">
      <c r="A686" s="16" t="s">
        <v>43</v>
      </c>
      <c r="B686" s="16" t="s">
        <v>49</v>
      </c>
      <c r="C686" s="15">
        <v>3</v>
      </c>
      <c r="D686" s="17">
        <v>8000000</v>
      </c>
      <c r="E686" s="17">
        <v>8900000</v>
      </c>
      <c r="F686" s="17">
        <v>900000</v>
      </c>
      <c r="G686" s="18">
        <v>1.1125</v>
      </c>
      <c r="H686" s="10" t="str">
        <f t="shared" si="10"/>
        <v>GASTOS</v>
      </c>
      <c r="I686" s="19">
        <v>2025</v>
      </c>
    </row>
    <row r="687" spans="1:9" hidden="1" x14ac:dyDescent="0.3">
      <c r="A687" s="16" t="s">
        <v>43</v>
      </c>
      <c r="B687" s="16" t="s">
        <v>49</v>
      </c>
      <c r="C687" s="15">
        <v>4</v>
      </c>
      <c r="D687" s="17">
        <v>7000000</v>
      </c>
      <c r="E687" s="17">
        <v>1400000</v>
      </c>
      <c r="F687" s="17">
        <v>-5600000</v>
      </c>
      <c r="G687" s="18">
        <v>0.2</v>
      </c>
      <c r="H687" s="10" t="str">
        <f t="shared" si="10"/>
        <v>GASTOS</v>
      </c>
      <c r="I687" s="19">
        <v>2025</v>
      </c>
    </row>
    <row r="688" spans="1:9" hidden="1" x14ac:dyDescent="0.3">
      <c r="A688" s="16" t="s">
        <v>43</v>
      </c>
      <c r="B688" s="16" t="s">
        <v>49</v>
      </c>
      <c r="C688" s="15">
        <v>5</v>
      </c>
      <c r="D688" s="17">
        <v>5000000</v>
      </c>
      <c r="E688" s="17">
        <v>1400000</v>
      </c>
      <c r="F688" s="17">
        <v>-3600000</v>
      </c>
      <c r="G688" s="18">
        <v>0.28000000000000003</v>
      </c>
      <c r="H688" s="10" t="str">
        <f t="shared" si="10"/>
        <v>GASTOS</v>
      </c>
      <c r="I688" s="19">
        <v>2025</v>
      </c>
    </row>
    <row r="689" spans="1:9" hidden="1" x14ac:dyDescent="0.3">
      <c r="A689" s="16" t="s">
        <v>43</v>
      </c>
      <c r="B689" s="16" t="s">
        <v>49</v>
      </c>
      <c r="C689" s="15">
        <v>6</v>
      </c>
      <c r="D689" s="17">
        <v>2000000</v>
      </c>
      <c r="E689" s="17">
        <v>5225000</v>
      </c>
      <c r="F689" s="17">
        <v>3225000</v>
      </c>
      <c r="G689" s="18">
        <v>2.6124999999999998</v>
      </c>
      <c r="H689" s="10" t="str">
        <f t="shared" si="10"/>
        <v>GASTOS</v>
      </c>
      <c r="I689" s="19">
        <v>2025</v>
      </c>
    </row>
    <row r="690" spans="1:9" hidden="1" x14ac:dyDescent="0.3">
      <c r="A690" s="16" t="s">
        <v>43</v>
      </c>
      <c r="B690" s="16" t="s">
        <v>49</v>
      </c>
      <c r="C690" s="15">
        <v>7</v>
      </c>
      <c r="D690" s="17">
        <v>9000000</v>
      </c>
      <c r="E690" s="17">
        <v>18850000</v>
      </c>
      <c r="F690" s="17">
        <v>9850000</v>
      </c>
      <c r="G690" s="18">
        <v>2.0944444444444446</v>
      </c>
      <c r="H690" s="10" t="str">
        <f t="shared" si="10"/>
        <v>GASTOS</v>
      </c>
      <c r="I690" s="19">
        <v>2025</v>
      </c>
    </row>
    <row r="691" spans="1:9" hidden="1" x14ac:dyDescent="0.3">
      <c r="A691" s="16" t="s">
        <v>43</v>
      </c>
      <c r="B691" s="16" t="s">
        <v>49</v>
      </c>
      <c r="C691" s="15">
        <v>8</v>
      </c>
      <c r="D691" s="17">
        <v>5000000</v>
      </c>
      <c r="E691" s="17">
        <v>11150000</v>
      </c>
      <c r="F691" s="17">
        <v>6150000</v>
      </c>
      <c r="G691" s="18">
        <v>2.23</v>
      </c>
      <c r="H691" s="10" t="str">
        <f t="shared" si="10"/>
        <v>GASTOS</v>
      </c>
      <c r="I691" s="19">
        <v>2025</v>
      </c>
    </row>
    <row r="692" spans="1:9" hidden="1" x14ac:dyDescent="0.3">
      <c r="A692" s="16" t="s">
        <v>43</v>
      </c>
      <c r="B692" s="16" t="s">
        <v>49</v>
      </c>
      <c r="C692" s="15">
        <v>9</v>
      </c>
      <c r="D692" s="17">
        <v>5000000</v>
      </c>
      <c r="E692" s="17">
        <v>11350000</v>
      </c>
      <c r="F692" s="17">
        <v>6350000</v>
      </c>
      <c r="G692" s="18">
        <v>2.27</v>
      </c>
      <c r="H692" s="10" t="str">
        <f t="shared" si="10"/>
        <v>GASTOS</v>
      </c>
      <c r="I692" s="19">
        <v>2025</v>
      </c>
    </row>
    <row r="693" spans="1:9" hidden="1" x14ac:dyDescent="0.3">
      <c r="A693" s="16" t="s">
        <v>43</v>
      </c>
      <c r="B693" s="16" t="s">
        <v>49</v>
      </c>
      <c r="C693" s="15">
        <v>10</v>
      </c>
      <c r="D693" s="17">
        <v>9000000</v>
      </c>
      <c r="E693" s="17">
        <v>13100000</v>
      </c>
      <c r="F693" s="17">
        <v>4100000</v>
      </c>
      <c r="G693" s="18">
        <v>1.4555555555555557</v>
      </c>
      <c r="H693" s="10" t="str">
        <f t="shared" si="10"/>
        <v>GASTOS</v>
      </c>
      <c r="I693" s="19">
        <v>2025</v>
      </c>
    </row>
    <row r="694" spans="1:9" hidden="1" x14ac:dyDescent="0.3">
      <c r="A694" s="16" t="s">
        <v>43</v>
      </c>
      <c r="B694" s="16" t="s">
        <v>50</v>
      </c>
      <c r="C694" s="15">
        <v>1</v>
      </c>
      <c r="D694" s="17">
        <v>4500000</v>
      </c>
      <c r="E694" s="17">
        <v>4270698</v>
      </c>
      <c r="F694" s="17">
        <v>-229302</v>
      </c>
      <c r="G694" s="18">
        <v>0.949044</v>
      </c>
      <c r="H694" s="10" t="str">
        <f t="shared" si="10"/>
        <v>GASTOS</v>
      </c>
      <c r="I694" s="19">
        <v>2025</v>
      </c>
    </row>
    <row r="695" spans="1:9" hidden="1" x14ac:dyDescent="0.3">
      <c r="A695" s="16" t="s">
        <v>43</v>
      </c>
      <c r="B695" s="16" t="s">
        <v>50</v>
      </c>
      <c r="C695" s="15">
        <v>2</v>
      </c>
      <c r="D695" s="17">
        <v>7000000</v>
      </c>
      <c r="E695" s="17">
        <v>6592496.96</v>
      </c>
      <c r="F695" s="17">
        <v>-407503.04</v>
      </c>
      <c r="G695" s="18">
        <v>0.94178527999999995</v>
      </c>
      <c r="H695" s="10" t="str">
        <f t="shared" si="10"/>
        <v>GASTOS</v>
      </c>
      <c r="I695" s="19">
        <v>2025</v>
      </c>
    </row>
    <row r="696" spans="1:9" hidden="1" x14ac:dyDescent="0.3">
      <c r="A696" s="16" t="s">
        <v>43</v>
      </c>
      <c r="B696" s="16" t="s">
        <v>50</v>
      </c>
      <c r="C696" s="15">
        <v>3</v>
      </c>
      <c r="D696" s="17">
        <v>2000000</v>
      </c>
      <c r="E696" s="17">
        <v>3657856.92</v>
      </c>
      <c r="F696" s="17">
        <v>1657856.92</v>
      </c>
      <c r="G696" s="18">
        <v>1.82892846</v>
      </c>
      <c r="H696" s="10" t="str">
        <f t="shared" si="10"/>
        <v>GASTOS</v>
      </c>
      <c r="I696" s="19">
        <v>2025</v>
      </c>
    </row>
    <row r="697" spans="1:9" hidden="1" x14ac:dyDescent="0.3">
      <c r="A697" s="16" t="s">
        <v>43</v>
      </c>
      <c r="B697" s="16" t="s">
        <v>50</v>
      </c>
      <c r="C697" s="15">
        <v>4</v>
      </c>
      <c r="D697" s="17">
        <v>3000000</v>
      </c>
      <c r="E697" s="17">
        <v>2241104.5499999998</v>
      </c>
      <c r="F697" s="17">
        <v>-758895.45</v>
      </c>
      <c r="G697" s="18">
        <v>0.74703485000000003</v>
      </c>
      <c r="H697" s="10" t="str">
        <f t="shared" si="10"/>
        <v>GASTOS</v>
      </c>
      <c r="I697" s="19">
        <v>2025</v>
      </c>
    </row>
    <row r="698" spans="1:9" hidden="1" x14ac:dyDescent="0.3">
      <c r="A698" s="16" t="s">
        <v>43</v>
      </c>
      <c r="B698" s="16" t="s">
        <v>50</v>
      </c>
      <c r="C698" s="15">
        <v>5</v>
      </c>
      <c r="D698" s="17">
        <v>3000000</v>
      </c>
      <c r="E698" s="17">
        <v>311683.71000000002</v>
      </c>
      <c r="F698" s="17">
        <v>-2688316.29</v>
      </c>
      <c r="G698" s="18">
        <v>0.10389457000000001</v>
      </c>
      <c r="H698" s="10" t="str">
        <f t="shared" si="10"/>
        <v>GASTOS</v>
      </c>
      <c r="I698" s="19">
        <v>2025</v>
      </c>
    </row>
    <row r="699" spans="1:9" hidden="1" x14ac:dyDescent="0.3">
      <c r="A699" s="16" t="s">
        <v>43</v>
      </c>
      <c r="B699" s="16" t="s">
        <v>50</v>
      </c>
      <c r="C699" s="15">
        <v>6</v>
      </c>
      <c r="D699" s="17">
        <v>5000000</v>
      </c>
      <c r="E699" s="17">
        <v>9119633</v>
      </c>
      <c r="F699" s="17">
        <v>4119633</v>
      </c>
      <c r="G699" s="18">
        <v>1.8239266000000001</v>
      </c>
      <c r="H699" s="10" t="str">
        <f t="shared" si="10"/>
        <v>GASTOS</v>
      </c>
      <c r="I699" s="19">
        <v>2025</v>
      </c>
    </row>
    <row r="700" spans="1:9" hidden="1" x14ac:dyDescent="0.3">
      <c r="A700" s="16" t="s">
        <v>43</v>
      </c>
      <c r="B700" s="16" t="s">
        <v>50</v>
      </c>
      <c r="C700" s="15">
        <v>7</v>
      </c>
      <c r="D700" s="17">
        <v>5000000</v>
      </c>
      <c r="E700" s="17">
        <v>8772953.2300000004</v>
      </c>
      <c r="F700" s="17">
        <v>3772953.23</v>
      </c>
      <c r="G700" s="18">
        <v>1.754590646</v>
      </c>
      <c r="H700" s="10" t="str">
        <f t="shared" si="10"/>
        <v>GASTOS</v>
      </c>
      <c r="I700" s="19">
        <v>2025</v>
      </c>
    </row>
    <row r="701" spans="1:9" hidden="1" x14ac:dyDescent="0.3">
      <c r="A701" s="16" t="s">
        <v>43</v>
      </c>
      <c r="B701" s="16" t="s">
        <v>50</v>
      </c>
      <c r="C701" s="15">
        <v>8</v>
      </c>
      <c r="D701" s="17">
        <v>4000000</v>
      </c>
      <c r="E701" s="17">
        <v>17700546.34</v>
      </c>
      <c r="F701" s="17">
        <v>13700546.34</v>
      </c>
      <c r="G701" s="18">
        <v>4.4251365849999997</v>
      </c>
      <c r="H701" s="10" t="str">
        <f t="shared" si="10"/>
        <v>GASTOS</v>
      </c>
      <c r="I701" s="19">
        <v>2025</v>
      </c>
    </row>
    <row r="702" spans="1:9" hidden="1" x14ac:dyDescent="0.3">
      <c r="A702" s="16" t="s">
        <v>43</v>
      </c>
      <c r="B702" s="16" t="s">
        <v>50</v>
      </c>
      <c r="C702" s="15">
        <v>9</v>
      </c>
      <c r="D702" s="17">
        <v>4000000</v>
      </c>
      <c r="E702" s="17">
        <v>11622304</v>
      </c>
      <c r="F702" s="17">
        <v>7622304</v>
      </c>
      <c r="G702" s="18">
        <v>2.9055759999999999</v>
      </c>
      <c r="H702" s="10" t="str">
        <f t="shared" si="10"/>
        <v>GASTOS</v>
      </c>
      <c r="I702" s="19">
        <v>2025</v>
      </c>
    </row>
    <row r="703" spans="1:9" hidden="1" x14ac:dyDescent="0.3">
      <c r="A703" s="16" t="s">
        <v>43</v>
      </c>
      <c r="B703" s="16" t="s">
        <v>50</v>
      </c>
      <c r="C703" s="15">
        <v>10</v>
      </c>
      <c r="D703" s="17">
        <v>4000000</v>
      </c>
      <c r="E703" s="17">
        <v>10549866.76</v>
      </c>
      <c r="F703" s="17">
        <v>6549866.7599999998</v>
      </c>
      <c r="G703" s="18">
        <v>2.6374666900000001</v>
      </c>
      <c r="H703" s="10" t="str">
        <f t="shared" si="10"/>
        <v>GASTOS</v>
      </c>
      <c r="I703" s="19">
        <v>2025</v>
      </c>
    </row>
    <row r="704" spans="1:9" hidden="1" x14ac:dyDescent="0.3">
      <c r="A704" s="16" t="s">
        <v>43</v>
      </c>
      <c r="B704" s="16" t="s">
        <v>98</v>
      </c>
      <c r="C704" s="15">
        <v>11</v>
      </c>
      <c r="D704" s="17">
        <v>36004158</v>
      </c>
      <c r="E704" s="17">
        <v>35262000</v>
      </c>
      <c r="F704" s="17">
        <v>-742158</v>
      </c>
      <c r="G704" s="18">
        <v>0.97938688081526593</v>
      </c>
      <c r="H704" s="10" t="str">
        <f t="shared" si="10"/>
        <v>GASTOS</v>
      </c>
      <c r="I704" s="19">
        <v>2025</v>
      </c>
    </row>
    <row r="705" spans="1:9" hidden="1" x14ac:dyDescent="0.3">
      <c r="A705" s="16" t="s">
        <v>43</v>
      </c>
      <c r="B705" s="16" t="s">
        <v>44</v>
      </c>
      <c r="C705" s="15">
        <v>11</v>
      </c>
      <c r="D705" s="17">
        <v>20216000</v>
      </c>
      <c r="E705" s="17">
        <v>26112000</v>
      </c>
      <c r="F705" s="17">
        <v>5896000</v>
      </c>
      <c r="G705" s="18">
        <v>1.2916501780767708</v>
      </c>
      <c r="H705" s="10" t="str">
        <f t="shared" si="10"/>
        <v>GASTOS</v>
      </c>
      <c r="I705" s="19">
        <v>2025</v>
      </c>
    </row>
    <row r="706" spans="1:9" hidden="1" x14ac:dyDescent="0.3">
      <c r="A706" s="16" t="s">
        <v>43</v>
      </c>
      <c r="B706" s="16" t="s">
        <v>16</v>
      </c>
      <c r="C706" s="15">
        <v>11</v>
      </c>
      <c r="D706" s="17">
        <v>430929</v>
      </c>
      <c r="E706" s="17">
        <v>0</v>
      </c>
      <c r="F706" s="17">
        <v>-430929</v>
      </c>
      <c r="G706" s="18">
        <v>0</v>
      </c>
      <c r="H706" s="10" t="str">
        <f t="shared" si="10"/>
        <v>GASTOS</v>
      </c>
      <c r="I706" s="19">
        <v>2025</v>
      </c>
    </row>
    <row r="707" spans="1:9" hidden="1" x14ac:dyDescent="0.3">
      <c r="A707" s="16" t="s">
        <v>43</v>
      </c>
      <c r="B707" s="16" t="s">
        <v>153</v>
      </c>
      <c r="C707" s="15">
        <v>11</v>
      </c>
      <c r="D707" s="17">
        <v>5000000</v>
      </c>
      <c r="E707" s="17">
        <v>500000</v>
      </c>
      <c r="F707" s="17">
        <v>-4500000</v>
      </c>
      <c r="G707" s="18">
        <v>0.1</v>
      </c>
      <c r="H707" s="10" t="str">
        <f t="shared" ref="H707:H770" si="11">+IF(OR(A707="ADMINISTRACION",A707="COMERCIAL",A707="COMERCIAL-EXPORTACIONES",A707="LEASING DE LA BODEGA",A707="LOGISTICA-SALIDA",A707="OTROS GASTOS",A707="BODEGA ALQUILADA", A707="BODEGA CARTOPLAST", A707="BODEGA CARTOPLAS", A707= "GESTION HUMANA-OTROS GASTOS"),"GASTOS","COSTOS")</f>
        <v>GASTOS</v>
      </c>
      <c r="I707" s="19">
        <v>2025</v>
      </c>
    </row>
    <row r="708" spans="1:9" hidden="1" x14ac:dyDescent="0.3">
      <c r="A708" s="16" t="s">
        <v>43</v>
      </c>
      <c r="B708" s="16" t="s">
        <v>45</v>
      </c>
      <c r="C708" s="15">
        <v>11</v>
      </c>
      <c r="D708" s="17">
        <v>80000</v>
      </c>
      <c r="E708" s="17">
        <v>320000</v>
      </c>
      <c r="F708" s="17">
        <v>240000</v>
      </c>
      <c r="G708" s="18">
        <v>4</v>
      </c>
      <c r="H708" s="10" t="str">
        <f t="shared" si="11"/>
        <v>GASTOS</v>
      </c>
      <c r="I708" s="19">
        <v>2025</v>
      </c>
    </row>
    <row r="709" spans="1:9" hidden="1" x14ac:dyDescent="0.3">
      <c r="A709" s="16" t="s">
        <v>43</v>
      </c>
      <c r="B709" s="16" t="s">
        <v>62</v>
      </c>
      <c r="C709" s="15">
        <v>11</v>
      </c>
      <c r="D709" s="17">
        <v>470168</v>
      </c>
      <c r="E709" s="17">
        <v>635231</v>
      </c>
      <c r="F709" s="17">
        <v>165063</v>
      </c>
      <c r="G709" s="18">
        <v>1.3510723826376956</v>
      </c>
      <c r="H709" s="10" t="str">
        <f t="shared" si="11"/>
        <v>GASTOS</v>
      </c>
      <c r="I709" s="19">
        <v>2025</v>
      </c>
    </row>
    <row r="710" spans="1:9" hidden="1" x14ac:dyDescent="0.3">
      <c r="A710" s="16" t="s">
        <v>43</v>
      </c>
      <c r="B710" s="16" t="s">
        <v>46</v>
      </c>
      <c r="C710" s="15">
        <v>11</v>
      </c>
      <c r="D710" s="17">
        <v>5000000</v>
      </c>
      <c r="E710" s="17">
        <v>2270727</v>
      </c>
      <c r="F710" s="17">
        <v>-2729273</v>
      </c>
      <c r="G710" s="18">
        <v>0.45414539999999998</v>
      </c>
      <c r="H710" s="10" t="str">
        <f t="shared" si="11"/>
        <v>GASTOS</v>
      </c>
      <c r="I710" s="19">
        <v>2025</v>
      </c>
    </row>
    <row r="711" spans="1:9" hidden="1" x14ac:dyDescent="0.3">
      <c r="A711" s="16" t="s">
        <v>43</v>
      </c>
      <c r="B711" s="16" t="s">
        <v>47</v>
      </c>
      <c r="C711" s="15">
        <v>11</v>
      </c>
      <c r="D711" s="17">
        <v>2000000</v>
      </c>
      <c r="E711" s="17">
        <v>0</v>
      </c>
      <c r="F711" s="17">
        <v>-2000000</v>
      </c>
      <c r="G711" s="18">
        <v>0</v>
      </c>
      <c r="H711" s="10" t="str">
        <f t="shared" si="11"/>
        <v>GASTOS</v>
      </c>
      <c r="I711" s="19">
        <v>2025</v>
      </c>
    </row>
    <row r="712" spans="1:9" hidden="1" x14ac:dyDescent="0.3">
      <c r="A712" s="16" t="s">
        <v>43</v>
      </c>
      <c r="B712" s="16" t="s">
        <v>48</v>
      </c>
      <c r="C712" s="15">
        <v>11</v>
      </c>
      <c r="D712" s="17">
        <v>1500000</v>
      </c>
      <c r="E712" s="17">
        <v>1645077</v>
      </c>
      <c r="F712" s="17">
        <v>145077</v>
      </c>
      <c r="G712" s="18">
        <v>1.0967180000000001</v>
      </c>
      <c r="H712" s="10" t="str">
        <f t="shared" si="11"/>
        <v>GASTOS</v>
      </c>
      <c r="I712" s="19">
        <v>2025</v>
      </c>
    </row>
    <row r="713" spans="1:9" hidden="1" x14ac:dyDescent="0.3">
      <c r="A713" s="16" t="s">
        <v>43</v>
      </c>
      <c r="B713" s="16" t="s">
        <v>23</v>
      </c>
      <c r="C713" s="15">
        <v>11</v>
      </c>
      <c r="D713" s="17">
        <v>934485</v>
      </c>
      <c r="E713" s="17">
        <v>934485</v>
      </c>
      <c r="F713" s="17">
        <v>0</v>
      </c>
      <c r="G713" s="18">
        <v>1</v>
      </c>
      <c r="H713" s="10" t="str">
        <f t="shared" si="11"/>
        <v>GASTOS</v>
      </c>
      <c r="I713" s="19">
        <v>2025</v>
      </c>
    </row>
    <row r="714" spans="1:9" hidden="1" x14ac:dyDescent="0.3">
      <c r="A714" s="16" t="s">
        <v>43</v>
      </c>
      <c r="B714" s="16" t="s">
        <v>24</v>
      </c>
      <c r="C714" s="15">
        <v>11</v>
      </c>
      <c r="D714" s="17">
        <v>171814</v>
      </c>
      <c r="E714" s="17">
        <v>171814</v>
      </c>
      <c r="F714" s="17">
        <v>0</v>
      </c>
      <c r="G714" s="18">
        <v>1</v>
      </c>
      <c r="H714" s="10" t="str">
        <f t="shared" si="11"/>
        <v>GASTOS</v>
      </c>
      <c r="I714" s="19">
        <v>2025</v>
      </c>
    </row>
    <row r="715" spans="1:9" hidden="1" x14ac:dyDescent="0.3">
      <c r="A715" s="16" t="s">
        <v>43</v>
      </c>
      <c r="B715" s="16" t="s">
        <v>42</v>
      </c>
      <c r="C715" s="15">
        <v>11</v>
      </c>
      <c r="D715" s="17">
        <v>311106</v>
      </c>
      <c r="E715" s="17">
        <v>311106</v>
      </c>
      <c r="F715" s="17">
        <v>0</v>
      </c>
      <c r="G715" s="18">
        <v>1</v>
      </c>
      <c r="H715" s="10" t="str">
        <f t="shared" si="11"/>
        <v>GASTOS</v>
      </c>
      <c r="I715" s="19">
        <v>2025</v>
      </c>
    </row>
    <row r="716" spans="1:9" hidden="1" x14ac:dyDescent="0.3">
      <c r="A716" s="16" t="s">
        <v>43</v>
      </c>
      <c r="B716" s="16" t="s">
        <v>26</v>
      </c>
      <c r="C716" s="15">
        <v>11</v>
      </c>
      <c r="D716" s="17">
        <v>5000000</v>
      </c>
      <c r="E716" s="17">
        <v>706682</v>
      </c>
      <c r="F716" s="17">
        <v>-4293318</v>
      </c>
      <c r="G716" s="18">
        <v>0.1413364</v>
      </c>
      <c r="H716" s="10" t="str">
        <f t="shared" si="11"/>
        <v>GASTOS</v>
      </c>
      <c r="I716" s="19">
        <v>2025</v>
      </c>
    </row>
    <row r="717" spans="1:9" hidden="1" x14ac:dyDescent="0.3">
      <c r="A717" s="16" t="s">
        <v>43</v>
      </c>
      <c r="B717" s="16" t="s">
        <v>27</v>
      </c>
      <c r="C717" s="15">
        <v>11</v>
      </c>
      <c r="D717" s="17">
        <v>49763</v>
      </c>
      <c r="E717" s="17">
        <v>71824</v>
      </c>
      <c r="F717" s="17">
        <v>22061</v>
      </c>
      <c r="G717" s="18">
        <v>1.4433213431666099</v>
      </c>
      <c r="H717" s="10" t="str">
        <f t="shared" si="11"/>
        <v>GASTOS</v>
      </c>
      <c r="I717" s="19">
        <v>2025</v>
      </c>
    </row>
    <row r="718" spans="1:9" hidden="1" x14ac:dyDescent="0.3">
      <c r="A718" s="16" t="s">
        <v>43</v>
      </c>
      <c r="B718" s="16" t="s">
        <v>28</v>
      </c>
      <c r="C718" s="15">
        <v>11</v>
      </c>
      <c r="D718" s="17">
        <v>5000000</v>
      </c>
      <c r="E718" s="17">
        <v>917504</v>
      </c>
      <c r="F718" s="17">
        <v>-4082496</v>
      </c>
      <c r="G718" s="18">
        <v>0.18350079999999999</v>
      </c>
      <c r="H718" s="10" t="str">
        <f t="shared" si="11"/>
        <v>GASTOS</v>
      </c>
      <c r="I718" s="19">
        <v>2025</v>
      </c>
    </row>
    <row r="719" spans="1:9" hidden="1" x14ac:dyDescent="0.3">
      <c r="A719" s="16" t="s">
        <v>43</v>
      </c>
      <c r="B719" s="16" t="s">
        <v>29</v>
      </c>
      <c r="C719" s="15">
        <v>11</v>
      </c>
      <c r="D719" s="17">
        <v>5000000</v>
      </c>
      <c r="E719" s="17">
        <v>581944</v>
      </c>
      <c r="F719" s="17">
        <v>-4418056</v>
      </c>
      <c r="G719" s="18">
        <v>0.1163888</v>
      </c>
      <c r="H719" s="10" t="str">
        <f t="shared" si="11"/>
        <v>GASTOS</v>
      </c>
      <c r="I719" s="19">
        <v>2025</v>
      </c>
    </row>
    <row r="720" spans="1:9" hidden="1" x14ac:dyDescent="0.3">
      <c r="A720" s="16" t="s">
        <v>43</v>
      </c>
      <c r="B720" s="16" t="s">
        <v>224</v>
      </c>
      <c r="C720" s="15">
        <v>11</v>
      </c>
      <c r="D720" s="17">
        <v>0</v>
      </c>
      <c r="E720" s="17">
        <v>11600</v>
      </c>
      <c r="F720" s="17">
        <v>11600</v>
      </c>
      <c r="G720" s="18">
        <v>0</v>
      </c>
      <c r="H720" s="10" t="str">
        <f t="shared" si="11"/>
        <v>GASTOS</v>
      </c>
      <c r="I720" s="19">
        <v>2025</v>
      </c>
    </row>
    <row r="721" spans="1:9" hidden="1" x14ac:dyDescent="0.3">
      <c r="A721" s="16" t="s">
        <v>43</v>
      </c>
      <c r="B721" s="16" t="s">
        <v>49</v>
      </c>
      <c r="C721" s="15">
        <v>11</v>
      </c>
      <c r="D721" s="17">
        <v>10000000</v>
      </c>
      <c r="E721" s="17">
        <v>6800000</v>
      </c>
      <c r="F721" s="17">
        <v>-3200000</v>
      </c>
      <c r="G721" s="18">
        <v>0.68</v>
      </c>
      <c r="H721" s="10" t="str">
        <f t="shared" si="11"/>
        <v>GASTOS</v>
      </c>
      <c r="I721" s="19">
        <v>2025</v>
      </c>
    </row>
    <row r="722" spans="1:9" hidden="1" x14ac:dyDescent="0.3">
      <c r="A722" s="16" t="s">
        <v>43</v>
      </c>
      <c r="B722" s="16" t="s">
        <v>50</v>
      </c>
      <c r="C722" s="15">
        <v>11</v>
      </c>
      <c r="D722" s="17">
        <v>4000000</v>
      </c>
      <c r="E722" s="17">
        <v>10632999</v>
      </c>
      <c r="F722" s="17">
        <v>6632999</v>
      </c>
      <c r="G722" s="18">
        <v>2.65824975</v>
      </c>
      <c r="H722" s="10" t="str">
        <f t="shared" si="11"/>
        <v>GASTOS</v>
      </c>
      <c r="I722" s="19">
        <v>2025</v>
      </c>
    </row>
    <row r="723" spans="1:9" hidden="1" x14ac:dyDescent="0.3">
      <c r="A723" s="16" t="s">
        <v>43</v>
      </c>
      <c r="B723" s="16" t="s">
        <v>98</v>
      </c>
      <c r="C723" s="15">
        <v>12</v>
      </c>
      <c r="D723" s="17">
        <v>36382086</v>
      </c>
      <c r="E723" s="17">
        <v>31570000</v>
      </c>
      <c r="F723" s="17">
        <v>-4812086</v>
      </c>
      <c r="G723" s="18">
        <v>0.86773474176274557</v>
      </c>
      <c r="H723" s="10" t="str">
        <f t="shared" si="11"/>
        <v>GASTOS</v>
      </c>
      <c r="I723" s="19">
        <v>2025</v>
      </c>
    </row>
    <row r="724" spans="1:9" hidden="1" x14ac:dyDescent="0.3">
      <c r="A724" s="16" t="s">
        <v>43</v>
      </c>
      <c r="B724" s="16" t="s">
        <v>232</v>
      </c>
      <c r="C724" s="15">
        <v>12</v>
      </c>
      <c r="D724" s="17">
        <v>0</v>
      </c>
      <c r="E724" s="17">
        <v>55022</v>
      </c>
      <c r="F724" s="17">
        <v>55022</v>
      </c>
      <c r="G724" s="18">
        <v>0</v>
      </c>
      <c r="H724" s="10" t="str">
        <f t="shared" si="11"/>
        <v>GASTOS</v>
      </c>
      <c r="I724" s="19">
        <v>2025</v>
      </c>
    </row>
    <row r="725" spans="1:9" hidden="1" x14ac:dyDescent="0.3">
      <c r="A725" s="16" t="s">
        <v>43</v>
      </c>
      <c r="B725" s="16" t="s">
        <v>16</v>
      </c>
      <c r="C725" s="15">
        <v>12</v>
      </c>
      <c r="D725" s="17">
        <v>810476</v>
      </c>
      <c r="E725" s="17">
        <v>116939</v>
      </c>
      <c r="F725" s="17">
        <v>-693537</v>
      </c>
      <c r="G725" s="18">
        <v>0.14428434648280763</v>
      </c>
      <c r="H725" s="10" t="str">
        <f t="shared" si="11"/>
        <v>GASTOS</v>
      </c>
      <c r="I725" s="19">
        <v>2025</v>
      </c>
    </row>
    <row r="726" spans="1:9" hidden="1" x14ac:dyDescent="0.3">
      <c r="A726" s="16" t="s">
        <v>43</v>
      </c>
      <c r="B726" s="16" t="s">
        <v>45</v>
      </c>
      <c r="C726" s="15">
        <v>12</v>
      </c>
      <c r="D726" s="17">
        <v>80000</v>
      </c>
      <c r="E726" s="17">
        <v>80000</v>
      </c>
      <c r="F726" s="17">
        <v>0</v>
      </c>
      <c r="G726" s="18">
        <v>1</v>
      </c>
      <c r="H726" s="10" t="str">
        <f t="shared" si="11"/>
        <v>GASTOS</v>
      </c>
      <c r="I726" s="19">
        <v>2025</v>
      </c>
    </row>
    <row r="727" spans="1:9" hidden="1" x14ac:dyDescent="0.3">
      <c r="A727" s="16" t="s">
        <v>43</v>
      </c>
      <c r="B727" s="16" t="s">
        <v>62</v>
      </c>
      <c r="C727" s="15">
        <v>12</v>
      </c>
      <c r="D727" s="17">
        <v>397526</v>
      </c>
      <c r="E727" s="17">
        <v>641066</v>
      </c>
      <c r="F727" s="17">
        <v>243540</v>
      </c>
      <c r="G727" s="18">
        <v>1.6126391732867786</v>
      </c>
      <c r="H727" s="10" t="str">
        <f t="shared" si="11"/>
        <v>GASTOS</v>
      </c>
      <c r="I727" s="19">
        <v>2025</v>
      </c>
    </row>
    <row r="728" spans="1:9" hidden="1" x14ac:dyDescent="0.3">
      <c r="A728" s="16" t="s">
        <v>43</v>
      </c>
      <c r="B728" s="16" t="s">
        <v>46</v>
      </c>
      <c r="C728" s="15">
        <v>12</v>
      </c>
      <c r="D728" s="17">
        <v>2000000</v>
      </c>
      <c r="E728" s="17">
        <v>519771</v>
      </c>
      <c r="F728" s="17">
        <v>-1480229</v>
      </c>
      <c r="G728" s="18">
        <v>0.25988549999999999</v>
      </c>
      <c r="H728" s="10" t="str">
        <f t="shared" si="11"/>
        <v>GASTOS</v>
      </c>
      <c r="I728" s="19">
        <v>2025</v>
      </c>
    </row>
    <row r="729" spans="1:9" hidden="1" x14ac:dyDescent="0.3">
      <c r="A729" s="16" t="s">
        <v>43</v>
      </c>
      <c r="B729" s="16" t="s">
        <v>47</v>
      </c>
      <c r="C729" s="15">
        <v>12</v>
      </c>
      <c r="D729" s="17">
        <v>2000000</v>
      </c>
      <c r="E729" s="17">
        <v>0</v>
      </c>
      <c r="F729" s="17">
        <v>-2000000</v>
      </c>
      <c r="G729" s="18">
        <v>0</v>
      </c>
      <c r="H729" s="10" t="str">
        <f t="shared" si="11"/>
        <v>GASTOS</v>
      </c>
      <c r="I729" s="19">
        <v>2025</v>
      </c>
    </row>
    <row r="730" spans="1:9" hidden="1" x14ac:dyDescent="0.3">
      <c r="A730" s="16" t="s">
        <v>43</v>
      </c>
      <c r="B730" s="16" t="s">
        <v>48</v>
      </c>
      <c r="C730" s="15">
        <v>12</v>
      </c>
      <c r="D730" s="17">
        <v>1500000</v>
      </c>
      <c r="E730" s="17">
        <v>703327</v>
      </c>
      <c r="F730" s="17">
        <v>-796673</v>
      </c>
      <c r="G730" s="18">
        <v>0.46888466666666667</v>
      </c>
      <c r="H730" s="10" t="str">
        <f t="shared" si="11"/>
        <v>GASTOS</v>
      </c>
      <c r="I730" s="19">
        <v>2025</v>
      </c>
    </row>
    <row r="731" spans="1:9" hidden="1" x14ac:dyDescent="0.3">
      <c r="A731" s="16" t="s">
        <v>43</v>
      </c>
      <c r="B731" s="16" t="s">
        <v>23</v>
      </c>
      <c r="C731" s="15">
        <v>12</v>
      </c>
      <c r="D731" s="17">
        <v>934485</v>
      </c>
      <c r="E731" s="17">
        <v>934485</v>
      </c>
      <c r="F731" s="17">
        <v>0</v>
      </c>
      <c r="G731" s="18">
        <v>1</v>
      </c>
      <c r="H731" s="10" t="str">
        <f t="shared" si="11"/>
        <v>GASTOS</v>
      </c>
      <c r="I731" s="19">
        <v>2025</v>
      </c>
    </row>
    <row r="732" spans="1:9" hidden="1" x14ac:dyDescent="0.3">
      <c r="A732" s="16" t="s">
        <v>43</v>
      </c>
      <c r="B732" s="16" t="s">
        <v>24</v>
      </c>
      <c r="C732" s="15">
        <v>12</v>
      </c>
      <c r="D732" s="17">
        <v>171814</v>
      </c>
      <c r="E732" s="17">
        <v>171814</v>
      </c>
      <c r="F732" s="17">
        <v>0</v>
      </c>
      <c r="G732" s="18">
        <v>1</v>
      </c>
      <c r="H732" s="10" t="str">
        <f t="shared" si="11"/>
        <v>GASTOS</v>
      </c>
      <c r="I732" s="19">
        <v>2025</v>
      </c>
    </row>
    <row r="733" spans="1:9" hidden="1" x14ac:dyDescent="0.3">
      <c r="A733" s="16" t="s">
        <v>43</v>
      </c>
      <c r="B733" s="16" t="s">
        <v>42</v>
      </c>
      <c r="C733" s="15">
        <v>12</v>
      </c>
      <c r="D733" s="17">
        <v>311106</v>
      </c>
      <c r="E733" s="17">
        <v>311106</v>
      </c>
      <c r="F733" s="17">
        <v>0</v>
      </c>
      <c r="G733" s="18">
        <v>1</v>
      </c>
      <c r="H733" s="10" t="str">
        <f t="shared" si="11"/>
        <v>GASTOS</v>
      </c>
      <c r="I733" s="19">
        <v>2025</v>
      </c>
    </row>
    <row r="734" spans="1:9" hidden="1" x14ac:dyDescent="0.3">
      <c r="A734" s="16" t="s">
        <v>43</v>
      </c>
      <c r="B734" s="16" t="s">
        <v>27</v>
      </c>
      <c r="C734" s="15">
        <v>12</v>
      </c>
      <c r="D734" s="17">
        <v>95531</v>
      </c>
      <c r="E734" s="17">
        <v>137241</v>
      </c>
      <c r="F734" s="17">
        <v>41710</v>
      </c>
      <c r="G734" s="18">
        <v>1.4366121991814176</v>
      </c>
      <c r="H734" s="10" t="str">
        <f t="shared" si="11"/>
        <v>GASTOS</v>
      </c>
      <c r="I734" s="19">
        <v>2025</v>
      </c>
    </row>
    <row r="735" spans="1:9" hidden="1" x14ac:dyDescent="0.3">
      <c r="A735" s="16" t="s">
        <v>43</v>
      </c>
      <c r="B735" s="16" t="s">
        <v>28</v>
      </c>
      <c r="C735" s="15">
        <v>12</v>
      </c>
      <c r="D735" s="17">
        <v>0</v>
      </c>
      <c r="E735" s="17">
        <v>3779087</v>
      </c>
      <c r="F735" s="17">
        <v>3779087</v>
      </c>
      <c r="G735" s="18">
        <v>0</v>
      </c>
      <c r="H735" s="10" t="str">
        <f t="shared" si="11"/>
        <v>GASTOS</v>
      </c>
      <c r="I735" s="19">
        <v>2025</v>
      </c>
    </row>
    <row r="736" spans="1:9" hidden="1" x14ac:dyDescent="0.3">
      <c r="A736" s="16" t="s">
        <v>43</v>
      </c>
      <c r="B736" s="16" t="s">
        <v>29</v>
      </c>
      <c r="C736" s="15">
        <v>12</v>
      </c>
      <c r="D736" s="17">
        <v>13000000</v>
      </c>
      <c r="E736" s="17">
        <v>202941</v>
      </c>
      <c r="F736" s="17">
        <v>-12797059</v>
      </c>
      <c r="G736" s="18">
        <v>1.5610846153846154E-2</v>
      </c>
      <c r="H736" s="10" t="str">
        <f t="shared" si="11"/>
        <v>GASTOS</v>
      </c>
      <c r="I736" s="19">
        <v>2025</v>
      </c>
    </row>
    <row r="737" spans="1:9" hidden="1" x14ac:dyDescent="0.3">
      <c r="A737" s="16" t="s">
        <v>43</v>
      </c>
      <c r="B737" s="16" t="s">
        <v>49</v>
      </c>
      <c r="C737" s="15">
        <v>12</v>
      </c>
      <c r="D737" s="17">
        <v>0</v>
      </c>
      <c r="E737" s="17">
        <v>17350000</v>
      </c>
      <c r="F737" s="17">
        <v>17350000</v>
      </c>
      <c r="G737" s="18">
        <v>0</v>
      </c>
      <c r="H737" s="10" t="str">
        <f t="shared" si="11"/>
        <v>GASTOS</v>
      </c>
      <c r="I737" s="19">
        <v>2025</v>
      </c>
    </row>
    <row r="738" spans="1:9" hidden="1" x14ac:dyDescent="0.3">
      <c r="A738" s="16" t="s">
        <v>43</v>
      </c>
      <c r="B738" s="16" t="s">
        <v>50</v>
      </c>
      <c r="C738" s="15">
        <v>12</v>
      </c>
      <c r="D738" s="17">
        <v>4000000</v>
      </c>
      <c r="E738" s="17">
        <v>7090399.3499999996</v>
      </c>
      <c r="F738" s="17">
        <v>3090399.35</v>
      </c>
      <c r="G738" s="18">
        <v>1.7725998375000001</v>
      </c>
      <c r="H738" s="10" t="str">
        <f t="shared" si="11"/>
        <v>GASTOS</v>
      </c>
      <c r="I738" s="19">
        <v>2025</v>
      </c>
    </row>
    <row r="739" spans="1:9" hidden="1" x14ac:dyDescent="0.3">
      <c r="A739" s="16" t="s">
        <v>43</v>
      </c>
      <c r="B739" s="16" t="s">
        <v>233</v>
      </c>
      <c r="C739" s="15">
        <v>12</v>
      </c>
      <c r="D739" s="17">
        <v>26983648</v>
      </c>
      <c r="E739" s="17">
        <v>32392029.27</v>
      </c>
      <c r="F739" s="17">
        <v>5408381.2699999996</v>
      </c>
      <c r="G739" s="18">
        <v>1.200431804847143</v>
      </c>
      <c r="H739" s="10" t="str">
        <f t="shared" si="11"/>
        <v>GASTOS</v>
      </c>
      <c r="I739" s="19">
        <v>2025</v>
      </c>
    </row>
    <row r="740" spans="1:9" hidden="1" x14ac:dyDescent="0.3">
      <c r="A740" s="16" t="s">
        <v>99</v>
      </c>
      <c r="B740" s="16" t="s">
        <v>100</v>
      </c>
      <c r="C740" s="15">
        <v>3</v>
      </c>
      <c r="D740" s="17">
        <v>0</v>
      </c>
      <c r="E740" s="17">
        <v>1172437</v>
      </c>
      <c r="F740" s="17">
        <v>1172437</v>
      </c>
      <c r="G740" s="18">
        <v>0</v>
      </c>
      <c r="H740" s="10" t="str">
        <f t="shared" si="11"/>
        <v>GASTOS</v>
      </c>
      <c r="I740" s="19">
        <v>2025</v>
      </c>
    </row>
    <row r="741" spans="1:9" hidden="1" x14ac:dyDescent="0.3">
      <c r="A741" s="16" t="s">
        <v>99</v>
      </c>
      <c r="B741" s="16" t="s">
        <v>100</v>
      </c>
      <c r="C741" s="15">
        <v>4</v>
      </c>
      <c r="D741" s="17">
        <v>2000000</v>
      </c>
      <c r="E741" s="17">
        <v>0</v>
      </c>
      <c r="F741" s="17">
        <v>-2000000</v>
      </c>
      <c r="G741" s="18">
        <v>0</v>
      </c>
      <c r="H741" s="10" t="str">
        <f t="shared" si="11"/>
        <v>GASTOS</v>
      </c>
      <c r="I741" s="19">
        <v>2025</v>
      </c>
    </row>
    <row r="742" spans="1:9" hidden="1" x14ac:dyDescent="0.3">
      <c r="A742" s="16" t="s">
        <v>99</v>
      </c>
      <c r="B742" s="16" t="s">
        <v>100</v>
      </c>
      <c r="C742" s="15">
        <v>5</v>
      </c>
      <c r="D742" s="17">
        <v>2000000</v>
      </c>
      <c r="E742" s="17">
        <v>0</v>
      </c>
      <c r="F742" s="17">
        <v>-2000000</v>
      </c>
      <c r="G742" s="18">
        <v>0</v>
      </c>
      <c r="H742" s="10" t="str">
        <f t="shared" si="11"/>
        <v>GASTOS</v>
      </c>
      <c r="I742" s="19">
        <v>2025</v>
      </c>
    </row>
    <row r="743" spans="1:9" hidden="1" x14ac:dyDescent="0.3">
      <c r="A743" s="16" t="s">
        <v>99</v>
      </c>
      <c r="B743" s="16" t="s">
        <v>100</v>
      </c>
      <c r="C743" s="15">
        <v>8</v>
      </c>
      <c r="D743" s="17">
        <v>0</v>
      </c>
      <c r="E743" s="17">
        <v>663437</v>
      </c>
      <c r="F743" s="17">
        <v>663437</v>
      </c>
      <c r="G743" s="18">
        <v>0</v>
      </c>
      <c r="H743" s="10" t="str">
        <f t="shared" si="11"/>
        <v>GASTOS</v>
      </c>
      <c r="I743" s="19">
        <v>2025</v>
      </c>
    </row>
    <row r="744" spans="1:9" hidden="1" x14ac:dyDescent="0.3">
      <c r="A744" s="16" t="s">
        <v>99</v>
      </c>
      <c r="B744" s="16" t="s">
        <v>100</v>
      </c>
      <c r="C744" s="15">
        <v>9</v>
      </c>
      <c r="D744" s="17">
        <v>0</v>
      </c>
      <c r="E744" s="17">
        <v>2137024</v>
      </c>
      <c r="F744" s="17">
        <v>2137024</v>
      </c>
      <c r="G744" s="18">
        <v>0</v>
      </c>
      <c r="H744" s="10" t="str">
        <f t="shared" si="11"/>
        <v>GASTOS</v>
      </c>
      <c r="I744" s="19">
        <v>2025</v>
      </c>
    </row>
    <row r="745" spans="1:9" hidden="1" x14ac:dyDescent="0.3">
      <c r="A745" s="16" t="s">
        <v>99</v>
      </c>
      <c r="B745" s="16" t="s">
        <v>100</v>
      </c>
      <c r="C745" s="15">
        <v>10</v>
      </c>
      <c r="D745" s="17">
        <v>0</v>
      </c>
      <c r="E745" s="17">
        <v>8373000</v>
      </c>
      <c r="F745" s="17">
        <v>8373000</v>
      </c>
      <c r="G745" s="18">
        <v>0</v>
      </c>
      <c r="H745" s="10" t="str">
        <f t="shared" si="11"/>
        <v>GASTOS</v>
      </c>
      <c r="I745" s="19">
        <v>2025</v>
      </c>
    </row>
    <row r="746" spans="1:9" hidden="1" x14ac:dyDescent="0.3">
      <c r="A746" s="16" t="s">
        <v>99</v>
      </c>
      <c r="B746" s="16" t="s">
        <v>16</v>
      </c>
      <c r="C746" s="15">
        <v>7</v>
      </c>
      <c r="D746" s="17">
        <v>0</v>
      </c>
      <c r="E746" s="17">
        <v>278450</v>
      </c>
      <c r="F746" s="17">
        <v>278450</v>
      </c>
      <c r="G746" s="18">
        <v>0</v>
      </c>
      <c r="H746" s="10" t="str">
        <f t="shared" si="11"/>
        <v>GASTOS</v>
      </c>
      <c r="I746" s="19">
        <v>2025</v>
      </c>
    </row>
    <row r="747" spans="1:9" hidden="1" x14ac:dyDescent="0.3">
      <c r="A747" s="16" t="s">
        <v>99</v>
      </c>
      <c r="B747" s="16" t="s">
        <v>16</v>
      </c>
      <c r="C747" s="15">
        <v>8</v>
      </c>
      <c r="D747" s="17">
        <v>0</v>
      </c>
      <c r="E747" s="17">
        <v>279300</v>
      </c>
      <c r="F747" s="17">
        <v>279300</v>
      </c>
      <c r="G747" s="18">
        <v>0</v>
      </c>
      <c r="H747" s="10" t="str">
        <f t="shared" si="11"/>
        <v>GASTOS</v>
      </c>
      <c r="I747" s="19">
        <v>2025</v>
      </c>
    </row>
    <row r="748" spans="1:9" hidden="1" x14ac:dyDescent="0.3">
      <c r="A748" s="16" t="s">
        <v>99</v>
      </c>
      <c r="B748" s="16" t="s">
        <v>16</v>
      </c>
      <c r="C748" s="15">
        <v>10</v>
      </c>
      <c r="D748" s="17">
        <v>0</v>
      </c>
      <c r="E748" s="17">
        <v>27000</v>
      </c>
      <c r="F748" s="17">
        <v>27000</v>
      </c>
      <c r="G748" s="18">
        <v>0</v>
      </c>
      <c r="H748" s="10" t="str">
        <f t="shared" si="11"/>
        <v>GASTOS</v>
      </c>
      <c r="I748" s="19">
        <v>2025</v>
      </c>
    </row>
    <row r="749" spans="1:9" hidden="1" x14ac:dyDescent="0.3">
      <c r="A749" s="16" t="s">
        <v>99</v>
      </c>
      <c r="B749" s="16" t="s">
        <v>160</v>
      </c>
      <c r="C749" s="15">
        <v>5</v>
      </c>
      <c r="D749" s="17">
        <v>3000000</v>
      </c>
      <c r="E749" s="17">
        <v>0</v>
      </c>
      <c r="F749" s="17">
        <v>-3000000</v>
      </c>
      <c r="G749" s="18">
        <v>0</v>
      </c>
      <c r="H749" s="10" t="str">
        <f t="shared" si="11"/>
        <v>GASTOS</v>
      </c>
      <c r="I749" s="19">
        <v>2025</v>
      </c>
    </row>
    <row r="750" spans="1:9" hidden="1" x14ac:dyDescent="0.3">
      <c r="A750" s="16" t="s">
        <v>99</v>
      </c>
      <c r="B750" s="16" t="s">
        <v>160</v>
      </c>
      <c r="C750" s="15">
        <v>7</v>
      </c>
      <c r="D750" s="17">
        <v>3000000</v>
      </c>
      <c r="E750" s="17">
        <v>0</v>
      </c>
      <c r="F750" s="17">
        <v>-3000000</v>
      </c>
      <c r="G750" s="18">
        <v>0</v>
      </c>
      <c r="H750" s="10" t="str">
        <f t="shared" si="11"/>
        <v>GASTOS</v>
      </c>
      <c r="I750" s="19">
        <v>2025</v>
      </c>
    </row>
    <row r="751" spans="1:9" hidden="1" x14ac:dyDescent="0.3">
      <c r="A751" s="16" t="s">
        <v>99</v>
      </c>
      <c r="B751" s="16" t="s">
        <v>160</v>
      </c>
      <c r="C751" s="15">
        <v>9</v>
      </c>
      <c r="D751" s="17">
        <v>3000000</v>
      </c>
      <c r="E751" s="17">
        <v>0</v>
      </c>
      <c r="F751" s="17">
        <v>-3000000</v>
      </c>
      <c r="G751" s="18">
        <v>0</v>
      </c>
      <c r="H751" s="10" t="str">
        <f t="shared" si="11"/>
        <v>GASTOS</v>
      </c>
      <c r="I751" s="19">
        <v>2025</v>
      </c>
    </row>
    <row r="752" spans="1:9" hidden="1" x14ac:dyDescent="0.3">
      <c r="A752" s="16" t="s">
        <v>99</v>
      </c>
      <c r="B752" s="16" t="s">
        <v>46</v>
      </c>
      <c r="C752" s="15">
        <v>5</v>
      </c>
      <c r="D752" s="17">
        <v>4500000</v>
      </c>
      <c r="E752" s="17">
        <v>0</v>
      </c>
      <c r="F752" s="17">
        <v>-4500000</v>
      </c>
      <c r="G752" s="18">
        <v>0</v>
      </c>
      <c r="H752" s="10" t="str">
        <f t="shared" si="11"/>
        <v>GASTOS</v>
      </c>
      <c r="I752" s="19">
        <v>2025</v>
      </c>
    </row>
    <row r="753" spans="1:9" hidden="1" x14ac:dyDescent="0.3">
      <c r="A753" s="16" t="s">
        <v>99</v>
      </c>
      <c r="B753" s="16" t="s">
        <v>46</v>
      </c>
      <c r="C753" s="15">
        <v>6</v>
      </c>
      <c r="D753" s="17">
        <v>0</v>
      </c>
      <c r="E753" s="17">
        <v>5015412</v>
      </c>
      <c r="F753" s="17">
        <v>5015412</v>
      </c>
      <c r="G753" s="18">
        <v>0</v>
      </c>
      <c r="H753" s="10" t="str">
        <f t="shared" si="11"/>
        <v>GASTOS</v>
      </c>
      <c r="I753" s="19">
        <v>2025</v>
      </c>
    </row>
    <row r="754" spans="1:9" hidden="1" x14ac:dyDescent="0.3">
      <c r="A754" s="16" t="s">
        <v>99</v>
      </c>
      <c r="B754" s="16" t="s">
        <v>46</v>
      </c>
      <c r="C754" s="15">
        <v>8</v>
      </c>
      <c r="D754" s="17">
        <v>4500000</v>
      </c>
      <c r="E754" s="17">
        <v>0</v>
      </c>
      <c r="F754" s="17">
        <v>-4500000</v>
      </c>
      <c r="G754" s="18">
        <v>0</v>
      </c>
      <c r="H754" s="10" t="str">
        <f t="shared" si="11"/>
        <v>GASTOS</v>
      </c>
      <c r="I754" s="19">
        <v>2025</v>
      </c>
    </row>
    <row r="755" spans="1:9" hidden="1" x14ac:dyDescent="0.3">
      <c r="A755" s="16" t="s">
        <v>99</v>
      </c>
      <c r="B755" s="16" t="s">
        <v>46</v>
      </c>
      <c r="C755" s="15">
        <v>10</v>
      </c>
      <c r="D755" s="17">
        <v>4500000</v>
      </c>
      <c r="E755" s="17">
        <v>0</v>
      </c>
      <c r="F755" s="17">
        <v>-4500000</v>
      </c>
      <c r="G755" s="18">
        <v>0</v>
      </c>
      <c r="H755" s="10" t="str">
        <f t="shared" si="11"/>
        <v>GASTOS</v>
      </c>
      <c r="I755" s="19">
        <v>2025</v>
      </c>
    </row>
    <row r="756" spans="1:9" hidden="1" x14ac:dyDescent="0.3">
      <c r="A756" s="16" t="s">
        <v>99</v>
      </c>
      <c r="B756" s="16" t="s">
        <v>47</v>
      </c>
      <c r="C756" s="15">
        <v>5</v>
      </c>
      <c r="D756" s="17">
        <v>3000000</v>
      </c>
      <c r="E756" s="17">
        <v>0</v>
      </c>
      <c r="F756" s="17">
        <v>-3000000</v>
      </c>
      <c r="G756" s="18">
        <v>0</v>
      </c>
      <c r="H756" s="10" t="str">
        <f t="shared" si="11"/>
        <v>GASTOS</v>
      </c>
      <c r="I756" s="19">
        <v>2025</v>
      </c>
    </row>
    <row r="757" spans="1:9" hidden="1" x14ac:dyDescent="0.3">
      <c r="A757" s="16" t="s">
        <v>99</v>
      </c>
      <c r="B757" s="16" t="s">
        <v>47</v>
      </c>
      <c r="C757" s="15">
        <v>6</v>
      </c>
      <c r="D757" s="17">
        <v>0</v>
      </c>
      <c r="E757" s="17">
        <v>2629200</v>
      </c>
      <c r="F757" s="17">
        <v>2629200</v>
      </c>
      <c r="G757" s="18">
        <v>0</v>
      </c>
      <c r="H757" s="10" t="str">
        <f t="shared" si="11"/>
        <v>GASTOS</v>
      </c>
      <c r="I757" s="19">
        <v>2025</v>
      </c>
    </row>
    <row r="758" spans="1:9" hidden="1" x14ac:dyDescent="0.3">
      <c r="A758" s="16" t="s">
        <v>99</v>
      </c>
      <c r="B758" s="16" t="s">
        <v>48</v>
      </c>
      <c r="C758" s="15">
        <v>6</v>
      </c>
      <c r="D758" s="17">
        <v>0</v>
      </c>
      <c r="E758" s="17">
        <v>1064769</v>
      </c>
      <c r="F758" s="17">
        <v>1064769</v>
      </c>
      <c r="G758" s="18">
        <v>0</v>
      </c>
      <c r="H758" s="10" t="str">
        <f t="shared" si="11"/>
        <v>GASTOS</v>
      </c>
      <c r="I758" s="19">
        <v>2025</v>
      </c>
    </row>
    <row r="759" spans="1:9" hidden="1" x14ac:dyDescent="0.3">
      <c r="A759" s="16" t="s">
        <v>99</v>
      </c>
      <c r="B759" s="16" t="s">
        <v>28</v>
      </c>
      <c r="C759" s="15">
        <v>6</v>
      </c>
      <c r="D759" s="17">
        <v>0</v>
      </c>
      <c r="E759" s="17">
        <v>89880</v>
      </c>
      <c r="F759" s="17">
        <v>89880</v>
      </c>
      <c r="G759" s="18">
        <v>0</v>
      </c>
      <c r="H759" s="10" t="str">
        <f t="shared" si="11"/>
        <v>GASTOS</v>
      </c>
      <c r="I759" s="19">
        <v>2025</v>
      </c>
    </row>
    <row r="760" spans="1:9" hidden="1" x14ac:dyDescent="0.3">
      <c r="A760" s="16" t="s">
        <v>99</v>
      </c>
      <c r="B760" s="16" t="s">
        <v>160</v>
      </c>
      <c r="C760" s="15">
        <v>11</v>
      </c>
      <c r="D760" s="17">
        <v>3000000</v>
      </c>
      <c r="E760" s="17">
        <v>0</v>
      </c>
      <c r="F760" s="17">
        <v>-3000000</v>
      </c>
      <c r="G760" s="18">
        <v>0</v>
      </c>
      <c r="H760" s="10" t="str">
        <f t="shared" si="11"/>
        <v>GASTOS</v>
      </c>
      <c r="I760" s="19">
        <v>2025</v>
      </c>
    </row>
    <row r="761" spans="1:9" hidden="1" x14ac:dyDescent="0.3">
      <c r="A761" s="16" t="s">
        <v>101</v>
      </c>
      <c r="B761" s="16" t="s">
        <v>51</v>
      </c>
      <c r="C761" s="15">
        <v>2</v>
      </c>
      <c r="D761" s="17">
        <v>231370</v>
      </c>
      <c r="E761" s="17">
        <v>231370</v>
      </c>
      <c r="F761" s="17">
        <v>0</v>
      </c>
      <c r="G761" s="18">
        <v>1</v>
      </c>
      <c r="H761" s="10" t="str">
        <f t="shared" si="11"/>
        <v>COSTOS</v>
      </c>
      <c r="I761" s="19">
        <v>2025</v>
      </c>
    </row>
    <row r="762" spans="1:9" hidden="1" x14ac:dyDescent="0.3">
      <c r="A762" s="16" t="s">
        <v>101</v>
      </c>
      <c r="B762" s="16" t="s">
        <v>51</v>
      </c>
      <c r="C762" s="15">
        <v>3</v>
      </c>
      <c r="D762" s="17">
        <v>6000000</v>
      </c>
      <c r="E762" s="17">
        <v>0</v>
      </c>
      <c r="F762" s="17">
        <v>-6000000</v>
      </c>
      <c r="G762" s="18">
        <v>0</v>
      </c>
      <c r="H762" s="10" t="str">
        <f t="shared" si="11"/>
        <v>COSTOS</v>
      </c>
      <c r="I762" s="19">
        <v>2025</v>
      </c>
    </row>
    <row r="763" spans="1:9" hidden="1" x14ac:dyDescent="0.3">
      <c r="A763" s="16" t="s">
        <v>101</v>
      </c>
      <c r="B763" s="16" t="s">
        <v>51</v>
      </c>
      <c r="C763" s="15">
        <v>4</v>
      </c>
      <c r="D763" s="17">
        <v>6000000</v>
      </c>
      <c r="E763" s="17">
        <v>8240277</v>
      </c>
      <c r="F763" s="17">
        <v>2240277</v>
      </c>
      <c r="G763" s="18">
        <v>1.3733795</v>
      </c>
      <c r="H763" s="10" t="str">
        <f t="shared" si="11"/>
        <v>COSTOS</v>
      </c>
      <c r="I763" s="19">
        <v>2025</v>
      </c>
    </row>
    <row r="764" spans="1:9" hidden="1" x14ac:dyDescent="0.3">
      <c r="A764" s="16" t="s">
        <v>101</v>
      </c>
      <c r="B764" s="16" t="s">
        <v>51</v>
      </c>
      <c r="C764" s="15">
        <v>5</v>
      </c>
      <c r="D764" s="17">
        <v>6000000</v>
      </c>
      <c r="E764" s="17">
        <v>0</v>
      </c>
      <c r="F764" s="17">
        <v>-6000000</v>
      </c>
      <c r="G764" s="18">
        <v>0</v>
      </c>
      <c r="H764" s="10" t="str">
        <f t="shared" si="11"/>
        <v>COSTOS</v>
      </c>
      <c r="I764" s="19">
        <v>2025</v>
      </c>
    </row>
    <row r="765" spans="1:9" hidden="1" x14ac:dyDescent="0.3">
      <c r="A765" s="16" t="s">
        <v>101</v>
      </c>
      <c r="B765" s="16" t="s">
        <v>51</v>
      </c>
      <c r="C765" s="15">
        <v>6</v>
      </c>
      <c r="D765" s="17">
        <v>6000000</v>
      </c>
      <c r="E765" s="17">
        <v>4666688</v>
      </c>
      <c r="F765" s="17">
        <v>-1333312</v>
      </c>
      <c r="G765" s="18">
        <v>0.77778133333333332</v>
      </c>
      <c r="H765" s="10" t="str">
        <f t="shared" si="11"/>
        <v>COSTOS</v>
      </c>
      <c r="I765" s="19">
        <v>2025</v>
      </c>
    </row>
    <row r="766" spans="1:9" hidden="1" x14ac:dyDescent="0.3">
      <c r="A766" s="16" t="s">
        <v>101</v>
      </c>
      <c r="B766" s="16" t="s">
        <v>51</v>
      </c>
      <c r="C766" s="15">
        <v>7</v>
      </c>
      <c r="D766" s="17">
        <v>6000000</v>
      </c>
      <c r="E766" s="17">
        <v>0</v>
      </c>
      <c r="F766" s="17">
        <v>-6000000</v>
      </c>
      <c r="G766" s="18">
        <v>0</v>
      </c>
      <c r="H766" s="10" t="str">
        <f t="shared" si="11"/>
        <v>COSTOS</v>
      </c>
      <c r="I766" s="19">
        <v>2025</v>
      </c>
    </row>
    <row r="767" spans="1:9" hidden="1" x14ac:dyDescent="0.3">
      <c r="A767" s="16" t="s">
        <v>101</v>
      </c>
      <c r="B767" s="16" t="s">
        <v>51</v>
      </c>
      <c r="C767" s="15">
        <v>8</v>
      </c>
      <c r="D767" s="17">
        <v>6000000</v>
      </c>
      <c r="E767" s="17">
        <v>6635492</v>
      </c>
      <c r="F767" s="17">
        <v>635492</v>
      </c>
      <c r="G767" s="18">
        <v>1.1059153333333334</v>
      </c>
      <c r="H767" s="10" t="str">
        <f t="shared" si="11"/>
        <v>COSTOS</v>
      </c>
      <c r="I767" s="19">
        <v>2025</v>
      </c>
    </row>
    <row r="768" spans="1:9" hidden="1" x14ac:dyDescent="0.3">
      <c r="A768" s="16" t="s">
        <v>101</v>
      </c>
      <c r="B768" s="16" t="s">
        <v>51</v>
      </c>
      <c r="C768" s="15">
        <v>9</v>
      </c>
      <c r="D768" s="17">
        <v>6000000</v>
      </c>
      <c r="E768" s="17">
        <v>0</v>
      </c>
      <c r="F768" s="17">
        <v>-6000000</v>
      </c>
      <c r="G768" s="18">
        <v>0</v>
      </c>
      <c r="H768" s="10" t="str">
        <f t="shared" si="11"/>
        <v>COSTOS</v>
      </c>
      <c r="I768" s="19">
        <v>2025</v>
      </c>
    </row>
    <row r="769" spans="1:9" hidden="1" x14ac:dyDescent="0.3">
      <c r="A769" s="16" t="s">
        <v>101</v>
      </c>
      <c r="B769" s="16" t="s">
        <v>51</v>
      </c>
      <c r="C769" s="15">
        <v>10</v>
      </c>
      <c r="D769" s="17">
        <v>6000000</v>
      </c>
      <c r="E769" s="17">
        <v>7617407</v>
      </c>
      <c r="F769" s="17">
        <v>1617407</v>
      </c>
      <c r="G769" s="18">
        <v>1.2695678333333333</v>
      </c>
      <c r="H769" s="10" t="str">
        <f t="shared" si="11"/>
        <v>COSTOS</v>
      </c>
      <c r="I769" s="19">
        <v>2025</v>
      </c>
    </row>
    <row r="770" spans="1:9" hidden="1" x14ac:dyDescent="0.3">
      <c r="A770" s="16" t="s">
        <v>101</v>
      </c>
      <c r="B770" s="16" t="s">
        <v>14</v>
      </c>
      <c r="C770" s="15">
        <v>3</v>
      </c>
      <c r="D770" s="17">
        <v>30844.9</v>
      </c>
      <c r="E770" s="17">
        <v>0</v>
      </c>
      <c r="F770" s="17">
        <v>-30844.9</v>
      </c>
      <c r="G770" s="18">
        <v>0</v>
      </c>
      <c r="H770" s="10" t="str">
        <f t="shared" si="11"/>
        <v>COSTOS</v>
      </c>
      <c r="I770" s="19">
        <v>2025</v>
      </c>
    </row>
    <row r="771" spans="1:9" hidden="1" x14ac:dyDescent="0.3">
      <c r="A771" s="16" t="s">
        <v>101</v>
      </c>
      <c r="B771" s="16" t="s">
        <v>14</v>
      </c>
      <c r="C771" s="15">
        <v>4</v>
      </c>
      <c r="D771" s="17">
        <v>22844.9</v>
      </c>
      <c r="E771" s="17">
        <v>0</v>
      </c>
      <c r="F771" s="17">
        <v>-22844.9</v>
      </c>
      <c r="G771" s="18">
        <v>0</v>
      </c>
      <c r="H771" s="10" t="str">
        <f t="shared" ref="H771:H834" si="12">+IF(OR(A771="ADMINISTRACION",A771="COMERCIAL",A771="COMERCIAL-EXPORTACIONES",A771="LEASING DE LA BODEGA",A771="LOGISTICA-SALIDA",A771="OTROS GASTOS",A771="BODEGA ALQUILADA", A771="BODEGA CARTOPLAST", A771="BODEGA CARTOPLAS", A771= "GESTION HUMANA-OTROS GASTOS"),"GASTOS","COSTOS")</f>
        <v>COSTOS</v>
      </c>
      <c r="I771" s="19">
        <v>2025</v>
      </c>
    </row>
    <row r="772" spans="1:9" hidden="1" x14ac:dyDescent="0.3">
      <c r="A772" s="16" t="s">
        <v>101</v>
      </c>
      <c r="B772" s="16" t="s">
        <v>14</v>
      </c>
      <c r="C772" s="15">
        <v>5</v>
      </c>
      <c r="D772" s="17">
        <v>22844.9</v>
      </c>
      <c r="E772" s="17">
        <v>0</v>
      </c>
      <c r="F772" s="17">
        <v>-22844.9</v>
      </c>
      <c r="G772" s="18">
        <v>0</v>
      </c>
      <c r="H772" s="10" t="str">
        <f t="shared" si="12"/>
        <v>COSTOS</v>
      </c>
      <c r="I772" s="19">
        <v>2025</v>
      </c>
    </row>
    <row r="773" spans="1:9" hidden="1" x14ac:dyDescent="0.3">
      <c r="A773" s="16" t="s">
        <v>101</v>
      </c>
      <c r="B773" s="16" t="s">
        <v>14</v>
      </c>
      <c r="C773" s="15">
        <v>6</v>
      </c>
      <c r="D773" s="17">
        <v>30844.9</v>
      </c>
      <c r="E773" s="17">
        <v>0</v>
      </c>
      <c r="F773" s="17">
        <v>-30844.9</v>
      </c>
      <c r="G773" s="18">
        <v>0</v>
      </c>
      <c r="H773" s="10" t="str">
        <f t="shared" si="12"/>
        <v>COSTOS</v>
      </c>
      <c r="I773" s="19">
        <v>2025</v>
      </c>
    </row>
    <row r="774" spans="1:9" hidden="1" x14ac:dyDescent="0.3">
      <c r="A774" s="16" t="s">
        <v>101</v>
      </c>
      <c r="B774" s="16" t="s">
        <v>14</v>
      </c>
      <c r="C774" s="15">
        <v>7</v>
      </c>
      <c r="D774" s="17">
        <v>30844.9</v>
      </c>
      <c r="E774" s="17">
        <v>0</v>
      </c>
      <c r="F774" s="17">
        <v>-30844.9</v>
      </c>
      <c r="G774" s="18">
        <v>0</v>
      </c>
      <c r="H774" s="10" t="str">
        <f t="shared" si="12"/>
        <v>COSTOS</v>
      </c>
      <c r="I774" s="19">
        <v>2025</v>
      </c>
    </row>
    <row r="775" spans="1:9" hidden="1" x14ac:dyDescent="0.3">
      <c r="A775" s="16" t="s">
        <v>101</v>
      </c>
      <c r="B775" s="16" t="s">
        <v>14</v>
      </c>
      <c r="C775" s="15">
        <v>8</v>
      </c>
      <c r="D775" s="17">
        <v>22844.9</v>
      </c>
      <c r="E775" s="17">
        <v>0</v>
      </c>
      <c r="F775" s="17">
        <v>-22844.9</v>
      </c>
      <c r="G775" s="18">
        <v>0</v>
      </c>
      <c r="H775" s="10" t="str">
        <f t="shared" si="12"/>
        <v>COSTOS</v>
      </c>
      <c r="I775" s="19">
        <v>2025</v>
      </c>
    </row>
    <row r="776" spans="1:9" hidden="1" x14ac:dyDescent="0.3">
      <c r="A776" s="16" t="s">
        <v>101</v>
      </c>
      <c r="B776" s="16" t="s">
        <v>14</v>
      </c>
      <c r="C776" s="15">
        <v>9</v>
      </c>
      <c r="D776" s="17">
        <v>30844.9</v>
      </c>
      <c r="E776" s="17">
        <v>0</v>
      </c>
      <c r="F776" s="17">
        <v>-30844.9</v>
      </c>
      <c r="G776" s="18">
        <v>0</v>
      </c>
      <c r="H776" s="10" t="str">
        <f t="shared" si="12"/>
        <v>COSTOS</v>
      </c>
      <c r="I776" s="19">
        <v>2025</v>
      </c>
    </row>
    <row r="777" spans="1:9" hidden="1" x14ac:dyDescent="0.3">
      <c r="A777" s="16" t="s">
        <v>101</v>
      </c>
      <c r="B777" s="16" t="s">
        <v>14</v>
      </c>
      <c r="C777" s="15">
        <v>10</v>
      </c>
      <c r="D777" s="17">
        <v>30844.9</v>
      </c>
      <c r="E777" s="17">
        <v>0</v>
      </c>
      <c r="F777" s="17">
        <v>-30844.9</v>
      </c>
      <c r="G777" s="18">
        <v>0</v>
      </c>
      <c r="H777" s="10" t="str">
        <f t="shared" si="12"/>
        <v>COSTOS</v>
      </c>
      <c r="I777" s="19">
        <v>2025</v>
      </c>
    </row>
    <row r="778" spans="1:9" hidden="1" x14ac:dyDescent="0.3">
      <c r="A778" s="16" t="s">
        <v>101</v>
      </c>
      <c r="B778" s="16" t="s">
        <v>16</v>
      </c>
      <c r="C778" s="15">
        <v>1</v>
      </c>
      <c r="D778" s="17">
        <v>0</v>
      </c>
      <c r="E778" s="17">
        <v>45900</v>
      </c>
      <c r="F778" s="17">
        <v>45900</v>
      </c>
      <c r="G778" s="18">
        <v>0</v>
      </c>
      <c r="H778" s="10" t="str">
        <f t="shared" si="12"/>
        <v>COSTOS</v>
      </c>
      <c r="I778" s="19">
        <v>2025</v>
      </c>
    </row>
    <row r="779" spans="1:9" hidden="1" x14ac:dyDescent="0.3">
      <c r="A779" s="16" t="s">
        <v>101</v>
      </c>
      <c r="B779" s="16" t="s">
        <v>16</v>
      </c>
      <c r="C779" s="15">
        <v>2</v>
      </c>
      <c r="D779" s="17">
        <v>0</v>
      </c>
      <c r="E779" s="17">
        <v>117700</v>
      </c>
      <c r="F779" s="17">
        <v>117700</v>
      </c>
      <c r="G779" s="18">
        <v>0</v>
      </c>
      <c r="H779" s="10" t="str">
        <f t="shared" si="12"/>
        <v>COSTOS</v>
      </c>
      <c r="I779" s="19">
        <v>2025</v>
      </c>
    </row>
    <row r="780" spans="1:9" hidden="1" x14ac:dyDescent="0.3">
      <c r="A780" s="16" t="s">
        <v>101</v>
      </c>
      <c r="B780" s="16" t="s">
        <v>16</v>
      </c>
      <c r="C780" s="15">
        <v>3</v>
      </c>
      <c r="D780" s="17">
        <v>0</v>
      </c>
      <c r="E780" s="17">
        <v>81000</v>
      </c>
      <c r="F780" s="17">
        <v>81000</v>
      </c>
      <c r="G780" s="18">
        <v>0</v>
      </c>
      <c r="H780" s="10" t="str">
        <f t="shared" si="12"/>
        <v>COSTOS</v>
      </c>
      <c r="I780" s="19">
        <v>2025</v>
      </c>
    </row>
    <row r="781" spans="1:9" hidden="1" x14ac:dyDescent="0.3">
      <c r="A781" s="16" t="s">
        <v>101</v>
      </c>
      <c r="B781" s="16" t="s">
        <v>16</v>
      </c>
      <c r="C781" s="15">
        <v>4</v>
      </c>
      <c r="D781" s="17">
        <v>0</v>
      </c>
      <c r="E781" s="17">
        <v>40000</v>
      </c>
      <c r="F781" s="17">
        <v>40000</v>
      </c>
      <c r="G781" s="18">
        <v>0</v>
      </c>
      <c r="H781" s="10" t="str">
        <f t="shared" si="12"/>
        <v>COSTOS</v>
      </c>
      <c r="I781" s="19">
        <v>2025</v>
      </c>
    </row>
    <row r="782" spans="1:9" hidden="1" x14ac:dyDescent="0.3">
      <c r="A782" s="16" t="s">
        <v>101</v>
      </c>
      <c r="B782" s="16" t="s">
        <v>16</v>
      </c>
      <c r="C782" s="15">
        <v>5</v>
      </c>
      <c r="D782" s="17">
        <v>0</v>
      </c>
      <c r="E782" s="17">
        <v>66000</v>
      </c>
      <c r="F782" s="17">
        <v>66000</v>
      </c>
      <c r="G782" s="18">
        <v>0</v>
      </c>
      <c r="H782" s="10" t="str">
        <f t="shared" si="12"/>
        <v>COSTOS</v>
      </c>
      <c r="I782" s="19">
        <v>2025</v>
      </c>
    </row>
    <row r="783" spans="1:9" hidden="1" x14ac:dyDescent="0.3">
      <c r="A783" s="16" t="s">
        <v>101</v>
      </c>
      <c r="B783" s="16" t="s">
        <v>16</v>
      </c>
      <c r="C783" s="15">
        <v>6</v>
      </c>
      <c r="D783" s="17">
        <v>0</v>
      </c>
      <c r="E783" s="17">
        <v>85160</v>
      </c>
      <c r="F783" s="17">
        <v>85160</v>
      </c>
      <c r="G783" s="18">
        <v>0</v>
      </c>
      <c r="H783" s="10" t="str">
        <f t="shared" si="12"/>
        <v>COSTOS</v>
      </c>
      <c r="I783" s="19">
        <v>2025</v>
      </c>
    </row>
    <row r="784" spans="1:9" hidden="1" x14ac:dyDescent="0.3">
      <c r="A784" s="16" t="s">
        <v>101</v>
      </c>
      <c r="B784" s="16" t="s">
        <v>16</v>
      </c>
      <c r="C784" s="15">
        <v>7</v>
      </c>
      <c r="D784" s="17">
        <v>0</v>
      </c>
      <c r="E784" s="17">
        <v>105000</v>
      </c>
      <c r="F784" s="17">
        <v>105000</v>
      </c>
      <c r="G784" s="18">
        <v>0</v>
      </c>
      <c r="H784" s="10" t="str">
        <f t="shared" si="12"/>
        <v>COSTOS</v>
      </c>
      <c r="I784" s="19">
        <v>2025</v>
      </c>
    </row>
    <row r="785" spans="1:9" hidden="1" x14ac:dyDescent="0.3">
      <c r="A785" s="16" t="s">
        <v>101</v>
      </c>
      <c r="B785" s="16" t="s">
        <v>16</v>
      </c>
      <c r="C785" s="15">
        <v>8</v>
      </c>
      <c r="D785" s="17">
        <v>0</v>
      </c>
      <c r="E785" s="17">
        <v>22400</v>
      </c>
      <c r="F785" s="17">
        <v>22400</v>
      </c>
      <c r="G785" s="18">
        <v>0</v>
      </c>
      <c r="H785" s="10" t="str">
        <f t="shared" si="12"/>
        <v>COSTOS</v>
      </c>
      <c r="I785" s="19">
        <v>2025</v>
      </c>
    </row>
    <row r="786" spans="1:9" hidden="1" x14ac:dyDescent="0.3">
      <c r="A786" s="16" t="s">
        <v>101</v>
      </c>
      <c r="B786" s="16" t="s">
        <v>16</v>
      </c>
      <c r="C786" s="15">
        <v>9</v>
      </c>
      <c r="D786" s="17">
        <v>0</v>
      </c>
      <c r="E786" s="17">
        <v>69000</v>
      </c>
      <c r="F786" s="17">
        <v>69000</v>
      </c>
      <c r="G786" s="18">
        <v>0</v>
      </c>
      <c r="H786" s="10" t="str">
        <f t="shared" si="12"/>
        <v>COSTOS</v>
      </c>
      <c r="I786" s="19">
        <v>2025</v>
      </c>
    </row>
    <row r="787" spans="1:9" hidden="1" x14ac:dyDescent="0.3">
      <c r="A787" s="16" t="s">
        <v>101</v>
      </c>
      <c r="B787" s="16" t="s">
        <v>16</v>
      </c>
      <c r="C787" s="15">
        <v>10</v>
      </c>
      <c r="D787" s="17">
        <v>0</v>
      </c>
      <c r="E787" s="17">
        <v>127400</v>
      </c>
      <c r="F787" s="17">
        <v>127400</v>
      </c>
      <c r="G787" s="18">
        <v>0</v>
      </c>
      <c r="H787" s="10" t="str">
        <f t="shared" si="12"/>
        <v>COSTOS</v>
      </c>
      <c r="I787" s="19">
        <v>2025</v>
      </c>
    </row>
    <row r="788" spans="1:9" hidden="1" x14ac:dyDescent="0.3">
      <c r="A788" s="16" t="s">
        <v>101</v>
      </c>
      <c r="B788" s="16" t="s">
        <v>220</v>
      </c>
      <c r="C788" s="15">
        <v>2</v>
      </c>
      <c r="D788" s="17">
        <v>427500</v>
      </c>
      <c r="E788" s="17">
        <v>427500</v>
      </c>
      <c r="F788" s="17">
        <v>0</v>
      </c>
      <c r="G788" s="18">
        <v>1</v>
      </c>
      <c r="H788" s="10" t="str">
        <f t="shared" si="12"/>
        <v>COSTOS</v>
      </c>
      <c r="I788" s="19">
        <v>2025</v>
      </c>
    </row>
    <row r="789" spans="1:9" hidden="1" x14ac:dyDescent="0.3">
      <c r="A789" s="16" t="s">
        <v>101</v>
      </c>
      <c r="B789" s="16" t="s">
        <v>220</v>
      </c>
      <c r="C789" s="15">
        <v>3</v>
      </c>
      <c r="D789" s="17">
        <v>2641572</v>
      </c>
      <c r="E789" s="17">
        <v>0</v>
      </c>
      <c r="F789" s="17">
        <v>-2641572</v>
      </c>
      <c r="G789" s="18">
        <v>0</v>
      </c>
      <c r="H789" s="10" t="str">
        <f t="shared" si="12"/>
        <v>COSTOS</v>
      </c>
      <c r="I789" s="19">
        <v>2025</v>
      </c>
    </row>
    <row r="790" spans="1:9" hidden="1" x14ac:dyDescent="0.3">
      <c r="A790" s="16" t="s">
        <v>101</v>
      </c>
      <c r="B790" s="16" t="s">
        <v>220</v>
      </c>
      <c r="C790" s="15">
        <v>4</v>
      </c>
      <c r="D790" s="17">
        <v>2500000</v>
      </c>
      <c r="E790" s="17">
        <v>0</v>
      </c>
      <c r="F790" s="17">
        <v>-2500000</v>
      </c>
      <c r="G790" s="18">
        <v>0</v>
      </c>
      <c r="H790" s="10" t="str">
        <f t="shared" si="12"/>
        <v>COSTOS</v>
      </c>
      <c r="I790" s="19">
        <v>2025</v>
      </c>
    </row>
    <row r="791" spans="1:9" hidden="1" x14ac:dyDescent="0.3">
      <c r="A791" s="16" t="s">
        <v>101</v>
      </c>
      <c r="B791" s="16" t="s">
        <v>220</v>
      </c>
      <c r="C791" s="15">
        <v>5</v>
      </c>
      <c r="D791" s="17">
        <v>2589498</v>
      </c>
      <c r="E791" s="17">
        <v>0</v>
      </c>
      <c r="F791" s="17">
        <v>-2589498</v>
      </c>
      <c r="G791" s="18">
        <v>0</v>
      </c>
      <c r="H791" s="10" t="str">
        <f t="shared" si="12"/>
        <v>COSTOS</v>
      </c>
      <c r="I791" s="19">
        <v>2025</v>
      </c>
    </row>
    <row r="792" spans="1:9" hidden="1" x14ac:dyDescent="0.3">
      <c r="A792" s="16" t="s">
        <v>101</v>
      </c>
      <c r="B792" s="16" t="s">
        <v>220</v>
      </c>
      <c r="C792" s="15">
        <v>6</v>
      </c>
      <c r="D792" s="17">
        <v>3703040</v>
      </c>
      <c r="E792" s="17">
        <v>0</v>
      </c>
      <c r="F792" s="17">
        <v>-3703040</v>
      </c>
      <c r="G792" s="18">
        <v>0</v>
      </c>
      <c r="H792" s="10" t="str">
        <f t="shared" si="12"/>
        <v>COSTOS</v>
      </c>
      <c r="I792" s="19">
        <v>2025</v>
      </c>
    </row>
    <row r="793" spans="1:9" hidden="1" x14ac:dyDescent="0.3">
      <c r="A793" s="16" t="s">
        <v>101</v>
      </c>
      <c r="B793" s="16" t="s">
        <v>220</v>
      </c>
      <c r="C793" s="15">
        <v>7</v>
      </c>
      <c r="D793" s="17">
        <v>2500000</v>
      </c>
      <c r="E793" s="17">
        <v>0</v>
      </c>
      <c r="F793" s="17">
        <v>-2500000</v>
      </c>
      <c r="G793" s="18">
        <v>0</v>
      </c>
      <c r="H793" s="10" t="str">
        <f t="shared" si="12"/>
        <v>COSTOS</v>
      </c>
      <c r="I793" s="19">
        <v>2025</v>
      </c>
    </row>
    <row r="794" spans="1:9" hidden="1" x14ac:dyDescent="0.3">
      <c r="A794" s="16" t="s">
        <v>101</v>
      </c>
      <c r="B794" s="16" t="s">
        <v>220</v>
      </c>
      <c r="C794" s="15">
        <v>8</v>
      </c>
      <c r="D794" s="17">
        <v>1599040</v>
      </c>
      <c r="E794" s="17">
        <v>0</v>
      </c>
      <c r="F794" s="17">
        <v>-1599040</v>
      </c>
      <c r="G794" s="18">
        <v>0</v>
      </c>
      <c r="H794" s="10" t="str">
        <f t="shared" si="12"/>
        <v>COSTOS</v>
      </c>
      <c r="I794" s="19">
        <v>2025</v>
      </c>
    </row>
    <row r="795" spans="1:9" hidden="1" x14ac:dyDescent="0.3">
      <c r="A795" s="16" t="s">
        <v>101</v>
      </c>
      <c r="B795" s="16" t="s">
        <v>220</v>
      </c>
      <c r="C795" s="15">
        <v>9</v>
      </c>
      <c r="D795" s="17">
        <v>1262400</v>
      </c>
      <c r="E795" s="17">
        <v>0</v>
      </c>
      <c r="F795" s="17">
        <v>-1262400</v>
      </c>
      <c r="G795" s="18">
        <v>0</v>
      </c>
      <c r="H795" s="10" t="str">
        <f t="shared" si="12"/>
        <v>COSTOS</v>
      </c>
      <c r="I795" s="19">
        <v>2025</v>
      </c>
    </row>
    <row r="796" spans="1:9" hidden="1" x14ac:dyDescent="0.3">
      <c r="A796" s="16" t="s">
        <v>101</v>
      </c>
      <c r="B796" s="16" t="s">
        <v>221</v>
      </c>
      <c r="C796" s="15">
        <v>9</v>
      </c>
      <c r="D796" s="17">
        <v>0</v>
      </c>
      <c r="E796" s="17">
        <v>140000</v>
      </c>
      <c r="F796" s="17">
        <v>140000</v>
      </c>
      <c r="G796" s="18">
        <v>0</v>
      </c>
      <c r="H796" s="10" t="str">
        <f t="shared" si="12"/>
        <v>COSTOS</v>
      </c>
      <c r="I796" s="19">
        <v>2025</v>
      </c>
    </row>
    <row r="797" spans="1:9" hidden="1" x14ac:dyDescent="0.3">
      <c r="A797" s="16" t="s">
        <v>101</v>
      </c>
      <c r="B797" s="16" t="s">
        <v>41</v>
      </c>
      <c r="C797" s="15">
        <v>1</v>
      </c>
      <c r="D797" s="17">
        <v>0</v>
      </c>
      <c r="E797" s="17">
        <v>50000</v>
      </c>
      <c r="F797" s="17">
        <v>50000</v>
      </c>
      <c r="G797" s="18">
        <v>0</v>
      </c>
      <c r="H797" s="10" t="str">
        <f t="shared" si="12"/>
        <v>COSTOS</v>
      </c>
      <c r="I797" s="19">
        <v>2025</v>
      </c>
    </row>
    <row r="798" spans="1:9" hidden="1" x14ac:dyDescent="0.3">
      <c r="A798" s="16" t="s">
        <v>101</v>
      </c>
      <c r="B798" s="16" t="s">
        <v>41</v>
      </c>
      <c r="C798" s="15">
        <v>5</v>
      </c>
      <c r="D798" s="17">
        <v>0</v>
      </c>
      <c r="E798" s="17">
        <v>88000</v>
      </c>
      <c r="F798" s="17">
        <v>88000</v>
      </c>
      <c r="G798" s="18">
        <v>0</v>
      </c>
      <c r="H798" s="10" t="str">
        <f t="shared" si="12"/>
        <v>COSTOS</v>
      </c>
      <c r="I798" s="19">
        <v>2025</v>
      </c>
    </row>
    <row r="799" spans="1:9" hidden="1" x14ac:dyDescent="0.3">
      <c r="A799" s="16" t="s">
        <v>101</v>
      </c>
      <c r="B799" s="16" t="s">
        <v>41</v>
      </c>
      <c r="C799" s="15">
        <v>7</v>
      </c>
      <c r="D799" s="17">
        <v>0</v>
      </c>
      <c r="E799" s="17">
        <v>100000</v>
      </c>
      <c r="F799" s="17">
        <v>100000</v>
      </c>
      <c r="G799" s="18">
        <v>0</v>
      </c>
      <c r="H799" s="10" t="str">
        <f t="shared" si="12"/>
        <v>COSTOS</v>
      </c>
      <c r="I799" s="19">
        <v>2025</v>
      </c>
    </row>
    <row r="800" spans="1:9" hidden="1" x14ac:dyDescent="0.3">
      <c r="A800" s="16" t="s">
        <v>101</v>
      </c>
      <c r="B800" s="16" t="s">
        <v>94</v>
      </c>
      <c r="C800" s="15">
        <v>1</v>
      </c>
      <c r="D800" s="17">
        <v>221567</v>
      </c>
      <c r="E800" s="17">
        <v>124784</v>
      </c>
      <c r="F800" s="17">
        <v>-96783</v>
      </c>
      <c r="G800" s="18">
        <v>0.5631885614735046</v>
      </c>
      <c r="H800" s="10" t="str">
        <f t="shared" si="12"/>
        <v>COSTOS</v>
      </c>
      <c r="I800" s="19">
        <v>2025</v>
      </c>
    </row>
    <row r="801" spans="1:9" hidden="1" x14ac:dyDescent="0.3">
      <c r="A801" s="16" t="s">
        <v>101</v>
      </c>
      <c r="B801" s="16" t="s">
        <v>94</v>
      </c>
      <c r="C801" s="15">
        <v>2</v>
      </c>
      <c r="D801" s="17">
        <v>236029</v>
      </c>
      <c r="E801" s="17">
        <v>118923</v>
      </c>
      <c r="F801" s="17">
        <v>-117106</v>
      </c>
      <c r="G801" s="18">
        <v>0.50384910328815524</v>
      </c>
      <c r="H801" s="10" t="str">
        <f t="shared" si="12"/>
        <v>COSTOS</v>
      </c>
      <c r="I801" s="19">
        <v>2025</v>
      </c>
    </row>
    <row r="802" spans="1:9" hidden="1" x14ac:dyDescent="0.3">
      <c r="A802" s="16" t="s">
        <v>101</v>
      </c>
      <c r="B802" s="16" t="s">
        <v>94</v>
      </c>
      <c r="C802" s="15">
        <v>3</v>
      </c>
      <c r="D802" s="17">
        <v>110152</v>
      </c>
      <c r="E802" s="17">
        <v>119239</v>
      </c>
      <c r="F802" s="17">
        <v>9087</v>
      </c>
      <c r="G802" s="18">
        <v>1.0824950976832013</v>
      </c>
      <c r="H802" s="10" t="str">
        <f t="shared" si="12"/>
        <v>COSTOS</v>
      </c>
      <c r="I802" s="19">
        <v>2025</v>
      </c>
    </row>
    <row r="803" spans="1:9" hidden="1" x14ac:dyDescent="0.3">
      <c r="A803" s="16" t="s">
        <v>101</v>
      </c>
      <c r="B803" s="16" t="s">
        <v>94</v>
      </c>
      <c r="C803" s="15">
        <v>4</v>
      </c>
      <c r="D803" s="17">
        <v>109877</v>
      </c>
      <c r="E803" s="17">
        <v>127199</v>
      </c>
      <c r="F803" s="17">
        <v>17322</v>
      </c>
      <c r="G803" s="18">
        <v>1.1576490075265979</v>
      </c>
      <c r="H803" s="10" t="str">
        <f t="shared" si="12"/>
        <v>COSTOS</v>
      </c>
      <c r="I803" s="19">
        <v>2025</v>
      </c>
    </row>
    <row r="804" spans="1:9" hidden="1" x14ac:dyDescent="0.3">
      <c r="A804" s="16" t="s">
        <v>101</v>
      </c>
      <c r="B804" s="16" t="s">
        <v>94</v>
      </c>
      <c r="C804" s="15">
        <v>5</v>
      </c>
      <c r="D804" s="17">
        <v>109094</v>
      </c>
      <c r="E804" s="17">
        <v>148582</v>
      </c>
      <c r="F804" s="17">
        <v>39488</v>
      </c>
      <c r="G804" s="18">
        <v>1.3619630777127982</v>
      </c>
      <c r="H804" s="10" t="str">
        <f t="shared" si="12"/>
        <v>COSTOS</v>
      </c>
      <c r="I804" s="19">
        <v>2025</v>
      </c>
    </row>
    <row r="805" spans="1:9" hidden="1" x14ac:dyDescent="0.3">
      <c r="A805" s="16" t="s">
        <v>101</v>
      </c>
      <c r="B805" s="16" t="s">
        <v>94</v>
      </c>
      <c r="C805" s="15">
        <v>6</v>
      </c>
      <c r="D805" s="17">
        <v>109321</v>
      </c>
      <c r="E805" s="17">
        <v>152116</v>
      </c>
      <c r="F805" s="17">
        <v>42795</v>
      </c>
      <c r="G805" s="18">
        <v>1.3914618417321467</v>
      </c>
      <c r="H805" s="10" t="str">
        <f t="shared" si="12"/>
        <v>COSTOS</v>
      </c>
      <c r="I805" s="19">
        <v>2025</v>
      </c>
    </row>
    <row r="806" spans="1:9" hidden="1" x14ac:dyDescent="0.3">
      <c r="A806" s="16" t="s">
        <v>101</v>
      </c>
      <c r="B806" s="16" t="s">
        <v>94</v>
      </c>
      <c r="C806" s="15">
        <v>7</v>
      </c>
      <c r="D806" s="17">
        <v>115926</v>
      </c>
      <c r="E806" s="17">
        <v>147162</v>
      </c>
      <c r="F806" s="17">
        <v>31236</v>
      </c>
      <c r="G806" s="18">
        <v>1.2694477511515967</v>
      </c>
      <c r="H806" s="10" t="str">
        <f t="shared" si="12"/>
        <v>COSTOS</v>
      </c>
      <c r="I806" s="19">
        <v>2025</v>
      </c>
    </row>
    <row r="807" spans="1:9" hidden="1" x14ac:dyDescent="0.3">
      <c r="A807" s="16" t="s">
        <v>101</v>
      </c>
      <c r="B807" s="16" t="s">
        <v>94</v>
      </c>
      <c r="C807" s="15">
        <v>8</v>
      </c>
      <c r="D807" s="17">
        <v>916236</v>
      </c>
      <c r="E807" s="17">
        <v>1748236</v>
      </c>
      <c r="F807" s="17">
        <v>832000</v>
      </c>
      <c r="G807" s="18">
        <v>1.9080629881384272</v>
      </c>
      <c r="H807" s="10" t="str">
        <f t="shared" si="12"/>
        <v>COSTOS</v>
      </c>
      <c r="I807" s="19">
        <v>2025</v>
      </c>
    </row>
    <row r="808" spans="1:9" hidden="1" x14ac:dyDescent="0.3">
      <c r="A808" s="16" t="s">
        <v>101</v>
      </c>
      <c r="B808" s="16" t="s">
        <v>94</v>
      </c>
      <c r="C808" s="15">
        <v>9</v>
      </c>
      <c r="D808" s="17">
        <v>119606</v>
      </c>
      <c r="E808" s="17">
        <v>143212</v>
      </c>
      <c r="F808" s="17">
        <v>23606</v>
      </c>
      <c r="G808" s="18">
        <v>1.1973646807016372</v>
      </c>
      <c r="H808" s="10" t="str">
        <f t="shared" si="12"/>
        <v>COSTOS</v>
      </c>
      <c r="I808" s="19">
        <v>2025</v>
      </c>
    </row>
    <row r="809" spans="1:9" hidden="1" x14ac:dyDescent="0.3">
      <c r="A809" s="16" t="s">
        <v>101</v>
      </c>
      <c r="B809" s="16" t="s">
        <v>94</v>
      </c>
      <c r="C809" s="15">
        <v>10</v>
      </c>
      <c r="D809" s="17">
        <v>119547</v>
      </c>
      <c r="E809" s="17">
        <v>1684068</v>
      </c>
      <c r="F809" s="17">
        <v>1564521</v>
      </c>
      <c r="G809" s="18">
        <v>14.087078722176216</v>
      </c>
      <c r="H809" s="10" t="str">
        <f t="shared" si="12"/>
        <v>COSTOS</v>
      </c>
      <c r="I809" s="19">
        <v>2025</v>
      </c>
    </row>
    <row r="810" spans="1:9" hidden="1" x14ac:dyDescent="0.3">
      <c r="A810" s="16" t="s">
        <v>101</v>
      </c>
      <c r="B810" s="16" t="s">
        <v>22</v>
      </c>
      <c r="C810" s="15">
        <v>4</v>
      </c>
      <c r="D810" s="17">
        <v>0</v>
      </c>
      <c r="E810" s="17">
        <v>106723</v>
      </c>
      <c r="F810" s="17">
        <v>106723</v>
      </c>
      <c r="G810" s="18">
        <v>0</v>
      </c>
      <c r="H810" s="10" t="str">
        <f t="shared" si="12"/>
        <v>COSTOS</v>
      </c>
      <c r="I810" s="19">
        <v>2025</v>
      </c>
    </row>
    <row r="811" spans="1:9" hidden="1" x14ac:dyDescent="0.3">
      <c r="A811" s="16" t="s">
        <v>101</v>
      </c>
      <c r="B811" s="16" t="s">
        <v>22</v>
      </c>
      <c r="C811" s="15">
        <v>5</v>
      </c>
      <c r="D811" s="17">
        <v>0</v>
      </c>
      <c r="E811" s="17">
        <v>30252</v>
      </c>
      <c r="F811" s="17">
        <v>30252</v>
      </c>
      <c r="G811" s="18">
        <v>0</v>
      </c>
      <c r="H811" s="10" t="str">
        <f t="shared" si="12"/>
        <v>COSTOS</v>
      </c>
      <c r="I811" s="19">
        <v>2025</v>
      </c>
    </row>
    <row r="812" spans="1:9" hidden="1" x14ac:dyDescent="0.3">
      <c r="A812" s="16" t="s">
        <v>101</v>
      </c>
      <c r="B812" s="16" t="s">
        <v>42</v>
      </c>
      <c r="C812" s="15">
        <v>1</v>
      </c>
      <c r="D812" s="17">
        <v>55827</v>
      </c>
      <c r="E812" s="17">
        <v>55827</v>
      </c>
      <c r="F812" s="17">
        <v>0</v>
      </c>
      <c r="G812" s="18">
        <v>1</v>
      </c>
      <c r="H812" s="10" t="str">
        <f t="shared" si="12"/>
        <v>COSTOS</v>
      </c>
      <c r="I812" s="19">
        <v>2025</v>
      </c>
    </row>
    <row r="813" spans="1:9" hidden="1" x14ac:dyDescent="0.3">
      <c r="A813" s="16" t="s">
        <v>101</v>
      </c>
      <c r="B813" s="16" t="s">
        <v>42</v>
      </c>
      <c r="C813" s="15">
        <v>2</v>
      </c>
      <c r="D813" s="17">
        <v>55827</v>
      </c>
      <c r="E813" s="17">
        <v>55827</v>
      </c>
      <c r="F813" s="17">
        <v>0</v>
      </c>
      <c r="G813" s="18">
        <v>1</v>
      </c>
      <c r="H813" s="10" t="str">
        <f t="shared" si="12"/>
        <v>COSTOS</v>
      </c>
      <c r="I813" s="19">
        <v>2025</v>
      </c>
    </row>
    <row r="814" spans="1:9" hidden="1" x14ac:dyDescent="0.3">
      <c r="A814" s="16" t="s">
        <v>101</v>
      </c>
      <c r="B814" s="16" t="s">
        <v>42</v>
      </c>
      <c r="C814" s="15">
        <v>3</v>
      </c>
      <c r="D814" s="17">
        <v>55827</v>
      </c>
      <c r="E814" s="17">
        <v>55819</v>
      </c>
      <c r="F814" s="17">
        <v>-8</v>
      </c>
      <c r="G814" s="18">
        <v>0.99985670016300365</v>
      </c>
      <c r="H814" s="10" t="str">
        <f t="shared" si="12"/>
        <v>COSTOS</v>
      </c>
      <c r="I814" s="19">
        <v>2025</v>
      </c>
    </row>
    <row r="815" spans="1:9" hidden="1" x14ac:dyDescent="0.3">
      <c r="A815" s="16" t="s">
        <v>101</v>
      </c>
      <c r="B815" s="16" t="s">
        <v>42</v>
      </c>
      <c r="C815" s="15">
        <v>4</v>
      </c>
      <c r="D815" s="17">
        <v>55827</v>
      </c>
      <c r="E815" s="17">
        <v>0</v>
      </c>
      <c r="F815" s="17">
        <v>-55827</v>
      </c>
      <c r="G815" s="18">
        <v>0</v>
      </c>
      <c r="H815" s="10" t="str">
        <f t="shared" si="12"/>
        <v>COSTOS</v>
      </c>
      <c r="I815" s="19">
        <v>2025</v>
      </c>
    </row>
    <row r="816" spans="1:9" hidden="1" x14ac:dyDescent="0.3">
      <c r="A816" s="16" t="s">
        <v>101</v>
      </c>
      <c r="B816" s="16" t="s">
        <v>42</v>
      </c>
      <c r="C816" s="15">
        <v>5</v>
      </c>
      <c r="D816" s="17">
        <v>55827</v>
      </c>
      <c r="E816" s="17">
        <v>0</v>
      </c>
      <c r="F816" s="17">
        <v>-55827</v>
      </c>
      <c r="G816" s="18">
        <v>0</v>
      </c>
      <c r="H816" s="10" t="str">
        <f t="shared" si="12"/>
        <v>COSTOS</v>
      </c>
      <c r="I816" s="19">
        <v>2025</v>
      </c>
    </row>
    <row r="817" spans="1:9" hidden="1" x14ac:dyDescent="0.3">
      <c r="A817" s="16" t="s">
        <v>101</v>
      </c>
      <c r="B817" s="16" t="s">
        <v>42</v>
      </c>
      <c r="C817" s="15">
        <v>6</v>
      </c>
      <c r="D817" s="17">
        <v>55827</v>
      </c>
      <c r="E817" s="17">
        <v>0</v>
      </c>
      <c r="F817" s="17">
        <v>-55827</v>
      </c>
      <c r="G817" s="18">
        <v>0</v>
      </c>
      <c r="H817" s="10" t="str">
        <f t="shared" si="12"/>
        <v>COSTOS</v>
      </c>
      <c r="I817" s="19">
        <v>2025</v>
      </c>
    </row>
    <row r="818" spans="1:9" hidden="1" x14ac:dyDescent="0.3">
      <c r="A818" s="16" t="s">
        <v>101</v>
      </c>
      <c r="B818" s="16" t="s">
        <v>42</v>
      </c>
      <c r="C818" s="15">
        <v>7</v>
      </c>
      <c r="D818" s="17">
        <v>55827</v>
      </c>
      <c r="E818" s="17">
        <v>0</v>
      </c>
      <c r="F818" s="17">
        <v>-55827</v>
      </c>
      <c r="G818" s="18">
        <v>0</v>
      </c>
      <c r="H818" s="10" t="str">
        <f t="shared" si="12"/>
        <v>COSTOS</v>
      </c>
      <c r="I818" s="19">
        <v>2025</v>
      </c>
    </row>
    <row r="819" spans="1:9" hidden="1" x14ac:dyDescent="0.3">
      <c r="A819" s="16" t="s">
        <v>101</v>
      </c>
      <c r="B819" s="16" t="s">
        <v>42</v>
      </c>
      <c r="C819" s="15">
        <v>8</v>
      </c>
      <c r="D819" s="17">
        <v>55827</v>
      </c>
      <c r="E819" s="17">
        <v>0</v>
      </c>
      <c r="F819" s="17">
        <v>-55827</v>
      </c>
      <c r="G819" s="18">
        <v>0</v>
      </c>
      <c r="H819" s="10" t="str">
        <f t="shared" si="12"/>
        <v>COSTOS</v>
      </c>
      <c r="I819" s="19">
        <v>2025</v>
      </c>
    </row>
    <row r="820" spans="1:9" hidden="1" x14ac:dyDescent="0.3">
      <c r="A820" s="16" t="s">
        <v>101</v>
      </c>
      <c r="B820" s="16" t="s">
        <v>42</v>
      </c>
      <c r="C820" s="15">
        <v>9</v>
      </c>
      <c r="D820" s="17">
        <v>55827</v>
      </c>
      <c r="E820" s="17">
        <v>0</v>
      </c>
      <c r="F820" s="17">
        <v>-55827</v>
      </c>
      <c r="G820" s="18">
        <v>0</v>
      </c>
      <c r="H820" s="10" t="str">
        <f t="shared" si="12"/>
        <v>COSTOS</v>
      </c>
      <c r="I820" s="19">
        <v>2025</v>
      </c>
    </row>
    <row r="821" spans="1:9" hidden="1" x14ac:dyDescent="0.3">
      <c r="A821" s="16" t="s">
        <v>101</v>
      </c>
      <c r="B821" s="16" t="s">
        <v>42</v>
      </c>
      <c r="C821" s="15">
        <v>10</v>
      </c>
      <c r="D821" s="17">
        <v>55827</v>
      </c>
      <c r="E821" s="17">
        <v>0</v>
      </c>
      <c r="F821" s="17">
        <v>-55827</v>
      </c>
      <c r="G821" s="18">
        <v>0</v>
      </c>
      <c r="H821" s="10" t="str">
        <f t="shared" si="12"/>
        <v>COSTOS</v>
      </c>
      <c r="I821" s="19">
        <v>2025</v>
      </c>
    </row>
    <row r="822" spans="1:9" hidden="1" x14ac:dyDescent="0.3">
      <c r="A822" s="16" t="s">
        <v>101</v>
      </c>
      <c r="B822" s="16" t="s">
        <v>26</v>
      </c>
      <c r="C822" s="15">
        <v>8</v>
      </c>
      <c r="D822" s="17">
        <v>0</v>
      </c>
      <c r="E822" s="17">
        <v>100000</v>
      </c>
      <c r="F822" s="17">
        <v>100000</v>
      </c>
      <c r="G822" s="18">
        <v>0</v>
      </c>
      <c r="H822" s="10" t="str">
        <f t="shared" si="12"/>
        <v>COSTOS</v>
      </c>
      <c r="I822" s="19">
        <v>2025</v>
      </c>
    </row>
    <row r="823" spans="1:9" hidden="1" x14ac:dyDescent="0.3">
      <c r="A823" s="16" t="s">
        <v>101</v>
      </c>
      <c r="B823" s="16" t="s">
        <v>26</v>
      </c>
      <c r="C823" s="15">
        <v>9</v>
      </c>
      <c r="D823" s="17">
        <v>0</v>
      </c>
      <c r="E823" s="17">
        <v>508320</v>
      </c>
      <c r="F823" s="17">
        <v>508320</v>
      </c>
      <c r="G823" s="18">
        <v>0</v>
      </c>
      <c r="H823" s="10" t="str">
        <f t="shared" si="12"/>
        <v>COSTOS</v>
      </c>
      <c r="I823" s="19">
        <v>2025</v>
      </c>
    </row>
    <row r="824" spans="1:9" hidden="1" x14ac:dyDescent="0.3">
      <c r="A824" s="16" t="s">
        <v>101</v>
      </c>
      <c r="B824" s="16" t="s">
        <v>27</v>
      </c>
      <c r="C824" s="15">
        <v>1</v>
      </c>
      <c r="D824" s="17">
        <v>356028</v>
      </c>
      <c r="E824" s="17">
        <v>180952</v>
      </c>
      <c r="F824" s="17">
        <v>-175076</v>
      </c>
      <c r="G824" s="18">
        <v>0.50825215994247641</v>
      </c>
      <c r="H824" s="10" t="str">
        <f t="shared" si="12"/>
        <v>COSTOS</v>
      </c>
      <c r="I824" s="19">
        <v>2025</v>
      </c>
    </row>
    <row r="825" spans="1:9" hidden="1" x14ac:dyDescent="0.3">
      <c r="A825" s="16" t="s">
        <v>101</v>
      </c>
      <c r="B825" s="16" t="s">
        <v>27</v>
      </c>
      <c r="C825" s="15">
        <v>2</v>
      </c>
      <c r="D825" s="17">
        <v>856637</v>
      </c>
      <c r="E825" s="17">
        <v>849187</v>
      </c>
      <c r="F825" s="17">
        <v>-7450</v>
      </c>
      <c r="G825" s="18">
        <v>0.99130320077232248</v>
      </c>
      <c r="H825" s="10" t="str">
        <f t="shared" si="12"/>
        <v>COSTOS</v>
      </c>
      <c r="I825" s="19">
        <v>2025</v>
      </c>
    </row>
    <row r="826" spans="1:9" hidden="1" x14ac:dyDescent="0.3">
      <c r="A826" s="16" t="s">
        <v>101</v>
      </c>
      <c r="B826" s="16" t="s">
        <v>27</v>
      </c>
      <c r="C826" s="15">
        <v>3</v>
      </c>
      <c r="D826" s="17">
        <v>735115</v>
      </c>
      <c r="E826" s="17">
        <v>481536</v>
      </c>
      <c r="F826" s="17">
        <v>-253579</v>
      </c>
      <c r="G826" s="18">
        <v>0.65504852982186457</v>
      </c>
      <c r="H826" s="10" t="str">
        <f t="shared" si="12"/>
        <v>COSTOS</v>
      </c>
      <c r="I826" s="19">
        <v>2025</v>
      </c>
    </row>
    <row r="827" spans="1:9" hidden="1" x14ac:dyDescent="0.3">
      <c r="A827" s="16" t="s">
        <v>101</v>
      </c>
      <c r="B827" s="16" t="s">
        <v>27</v>
      </c>
      <c r="C827" s="15">
        <v>4</v>
      </c>
      <c r="D827" s="17">
        <v>686124</v>
      </c>
      <c r="E827" s="17">
        <v>1004162</v>
      </c>
      <c r="F827" s="17">
        <v>318038</v>
      </c>
      <c r="G827" s="18">
        <v>1.463528458412765</v>
      </c>
      <c r="H827" s="10" t="str">
        <f t="shared" si="12"/>
        <v>COSTOS</v>
      </c>
      <c r="I827" s="19">
        <v>2025</v>
      </c>
    </row>
    <row r="828" spans="1:9" hidden="1" x14ac:dyDescent="0.3">
      <c r="A828" s="16" t="s">
        <v>101</v>
      </c>
      <c r="B828" s="16" t="s">
        <v>27</v>
      </c>
      <c r="C828" s="15">
        <v>5</v>
      </c>
      <c r="D828" s="17">
        <v>987260</v>
      </c>
      <c r="E828" s="17">
        <v>585016</v>
      </c>
      <c r="F828" s="17">
        <v>-402244</v>
      </c>
      <c r="G828" s="18">
        <v>0.59256528168871425</v>
      </c>
      <c r="H828" s="10" t="str">
        <f t="shared" si="12"/>
        <v>COSTOS</v>
      </c>
      <c r="I828" s="19">
        <v>2025</v>
      </c>
    </row>
    <row r="829" spans="1:9" hidden="1" x14ac:dyDescent="0.3">
      <c r="A829" s="16" t="s">
        <v>101</v>
      </c>
      <c r="B829" s="16" t="s">
        <v>27</v>
      </c>
      <c r="C829" s="15">
        <v>6</v>
      </c>
      <c r="D829" s="17">
        <v>382431</v>
      </c>
      <c r="E829" s="17">
        <v>670729</v>
      </c>
      <c r="F829" s="17">
        <v>288298</v>
      </c>
      <c r="G829" s="18">
        <v>1.7538562511930258</v>
      </c>
      <c r="H829" s="10" t="str">
        <f t="shared" si="12"/>
        <v>COSTOS</v>
      </c>
      <c r="I829" s="19">
        <v>2025</v>
      </c>
    </row>
    <row r="830" spans="1:9" hidden="1" x14ac:dyDescent="0.3">
      <c r="A830" s="16" t="s">
        <v>101</v>
      </c>
      <c r="B830" s="16" t="s">
        <v>27</v>
      </c>
      <c r="C830" s="15">
        <v>7</v>
      </c>
      <c r="D830" s="17">
        <v>616398</v>
      </c>
      <c r="E830" s="17">
        <v>755034</v>
      </c>
      <c r="F830" s="17">
        <v>138636</v>
      </c>
      <c r="G830" s="18">
        <v>1.2249131243125384</v>
      </c>
      <c r="H830" s="10" t="str">
        <f t="shared" si="12"/>
        <v>COSTOS</v>
      </c>
      <c r="I830" s="19">
        <v>2025</v>
      </c>
    </row>
    <row r="831" spans="1:9" hidden="1" x14ac:dyDescent="0.3">
      <c r="A831" s="16" t="s">
        <v>101</v>
      </c>
      <c r="B831" s="16" t="s">
        <v>27</v>
      </c>
      <c r="C831" s="15">
        <v>8</v>
      </c>
      <c r="D831" s="17">
        <v>733915</v>
      </c>
      <c r="E831" s="17">
        <v>528824</v>
      </c>
      <c r="F831" s="17">
        <v>-205091</v>
      </c>
      <c r="G831" s="18">
        <v>0.72055210753288867</v>
      </c>
      <c r="H831" s="10" t="str">
        <f t="shared" si="12"/>
        <v>COSTOS</v>
      </c>
      <c r="I831" s="19">
        <v>2025</v>
      </c>
    </row>
    <row r="832" spans="1:9" hidden="1" x14ac:dyDescent="0.3">
      <c r="A832" s="16" t="s">
        <v>101</v>
      </c>
      <c r="B832" s="16" t="s">
        <v>27</v>
      </c>
      <c r="C832" s="15">
        <v>9</v>
      </c>
      <c r="D832" s="17">
        <v>1130612</v>
      </c>
      <c r="E832" s="17">
        <v>992627</v>
      </c>
      <c r="F832" s="17">
        <v>-137985</v>
      </c>
      <c r="G832" s="18">
        <v>0.87795547897952619</v>
      </c>
      <c r="H832" s="10" t="str">
        <f t="shared" si="12"/>
        <v>COSTOS</v>
      </c>
      <c r="I832" s="19">
        <v>2025</v>
      </c>
    </row>
    <row r="833" spans="1:9" hidden="1" x14ac:dyDescent="0.3">
      <c r="A833" s="16" t="s">
        <v>101</v>
      </c>
      <c r="B833" s="16" t="s">
        <v>27</v>
      </c>
      <c r="C833" s="15">
        <v>10</v>
      </c>
      <c r="D833" s="17">
        <v>696739</v>
      </c>
      <c r="E833" s="17">
        <v>602809</v>
      </c>
      <c r="F833" s="17">
        <v>-93930</v>
      </c>
      <c r="G833" s="18">
        <v>0.86518624621271378</v>
      </c>
      <c r="H833" s="10" t="str">
        <f t="shared" si="12"/>
        <v>COSTOS</v>
      </c>
      <c r="I833" s="19">
        <v>2025</v>
      </c>
    </row>
    <row r="834" spans="1:9" hidden="1" x14ac:dyDescent="0.3">
      <c r="A834" s="16" t="s">
        <v>101</v>
      </c>
      <c r="B834" s="16" t="s">
        <v>28</v>
      </c>
      <c r="C834" s="15">
        <v>1</v>
      </c>
      <c r="D834" s="17">
        <v>0</v>
      </c>
      <c r="E834" s="17">
        <v>101393</v>
      </c>
      <c r="F834" s="17">
        <v>101393</v>
      </c>
      <c r="G834" s="18">
        <v>0</v>
      </c>
      <c r="H834" s="10" t="str">
        <f t="shared" si="12"/>
        <v>COSTOS</v>
      </c>
      <c r="I834" s="19">
        <v>2025</v>
      </c>
    </row>
    <row r="835" spans="1:9" hidden="1" x14ac:dyDescent="0.3">
      <c r="A835" s="16" t="s">
        <v>101</v>
      </c>
      <c r="B835" s="16" t="s">
        <v>28</v>
      </c>
      <c r="C835" s="15">
        <v>2</v>
      </c>
      <c r="D835" s="17">
        <v>0</v>
      </c>
      <c r="E835" s="17">
        <v>629341</v>
      </c>
      <c r="F835" s="17">
        <v>629341</v>
      </c>
      <c r="G835" s="18">
        <v>0</v>
      </c>
      <c r="H835" s="10" t="str">
        <f t="shared" ref="H835:H898" si="13">+IF(OR(A835="ADMINISTRACION",A835="COMERCIAL",A835="COMERCIAL-EXPORTACIONES",A835="LEASING DE LA BODEGA",A835="LOGISTICA-SALIDA",A835="OTROS GASTOS",A835="BODEGA ALQUILADA", A835="BODEGA CARTOPLAST", A835="BODEGA CARTOPLAS", A835= "GESTION HUMANA-OTROS GASTOS"),"GASTOS","COSTOS")</f>
        <v>COSTOS</v>
      </c>
      <c r="I835" s="19">
        <v>2025</v>
      </c>
    </row>
    <row r="836" spans="1:9" hidden="1" x14ac:dyDescent="0.3">
      <c r="A836" s="16" t="s">
        <v>101</v>
      </c>
      <c r="B836" s="16" t="s">
        <v>28</v>
      </c>
      <c r="C836" s="15">
        <v>3</v>
      </c>
      <c r="D836" s="17">
        <v>0</v>
      </c>
      <c r="E836" s="17">
        <v>386593</v>
      </c>
      <c r="F836" s="17">
        <v>386593</v>
      </c>
      <c r="G836" s="18">
        <v>0</v>
      </c>
      <c r="H836" s="10" t="str">
        <f t="shared" si="13"/>
        <v>COSTOS</v>
      </c>
      <c r="I836" s="19">
        <v>2025</v>
      </c>
    </row>
    <row r="837" spans="1:9" hidden="1" x14ac:dyDescent="0.3">
      <c r="A837" s="16" t="s">
        <v>101</v>
      </c>
      <c r="B837" s="16" t="s">
        <v>28</v>
      </c>
      <c r="C837" s="15">
        <v>4</v>
      </c>
      <c r="D837" s="17">
        <v>0</v>
      </c>
      <c r="E837" s="17">
        <v>377942</v>
      </c>
      <c r="F837" s="17">
        <v>377942</v>
      </c>
      <c r="G837" s="18">
        <v>0</v>
      </c>
      <c r="H837" s="10" t="str">
        <f t="shared" si="13"/>
        <v>COSTOS</v>
      </c>
      <c r="I837" s="19">
        <v>2025</v>
      </c>
    </row>
    <row r="838" spans="1:9" hidden="1" x14ac:dyDescent="0.3">
      <c r="A838" s="16" t="s">
        <v>101</v>
      </c>
      <c r="B838" s="16" t="s">
        <v>28</v>
      </c>
      <c r="C838" s="15">
        <v>5</v>
      </c>
      <c r="D838" s="17">
        <v>0</v>
      </c>
      <c r="E838" s="17">
        <v>664148</v>
      </c>
      <c r="F838" s="17">
        <v>664148</v>
      </c>
      <c r="G838" s="18">
        <v>0</v>
      </c>
      <c r="H838" s="10" t="str">
        <f t="shared" si="13"/>
        <v>COSTOS</v>
      </c>
      <c r="I838" s="19">
        <v>2025</v>
      </c>
    </row>
    <row r="839" spans="1:9" hidden="1" x14ac:dyDescent="0.3">
      <c r="A839" s="16" t="s">
        <v>101</v>
      </c>
      <c r="B839" s="16" t="s">
        <v>28</v>
      </c>
      <c r="C839" s="15">
        <v>6</v>
      </c>
      <c r="D839" s="17">
        <v>0</v>
      </c>
      <c r="E839" s="17">
        <v>518104</v>
      </c>
      <c r="F839" s="17">
        <v>518104</v>
      </c>
      <c r="G839" s="18">
        <v>0</v>
      </c>
      <c r="H839" s="10" t="str">
        <f t="shared" si="13"/>
        <v>COSTOS</v>
      </c>
      <c r="I839" s="19">
        <v>2025</v>
      </c>
    </row>
    <row r="840" spans="1:9" hidden="1" x14ac:dyDescent="0.3">
      <c r="A840" s="16" t="s">
        <v>101</v>
      </c>
      <c r="B840" s="16" t="s">
        <v>28</v>
      </c>
      <c r="C840" s="15">
        <v>7</v>
      </c>
      <c r="D840" s="17">
        <v>0</v>
      </c>
      <c r="E840" s="17">
        <v>464295</v>
      </c>
      <c r="F840" s="17">
        <v>464295</v>
      </c>
      <c r="G840" s="18">
        <v>0</v>
      </c>
      <c r="H840" s="10" t="str">
        <f t="shared" si="13"/>
        <v>COSTOS</v>
      </c>
      <c r="I840" s="19">
        <v>2025</v>
      </c>
    </row>
    <row r="841" spans="1:9" hidden="1" x14ac:dyDescent="0.3">
      <c r="A841" s="16" t="s">
        <v>101</v>
      </c>
      <c r="B841" s="16" t="s">
        <v>28</v>
      </c>
      <c r="C841" s="15">
        <v>8</v>
      </c>
      <c r="D841" s="17">
        <v>0</v>
      </c>
      <c r="E841" s="17">
        <v>524196</v>
      </c>
      <c r="F841" s="17">
        <v>524196</v>
      </c>
      <c r="G841" s="18">
        <v>0</v>
      </c>
      <c r="H841" s="10" t="str">
        <f t="shared" si="13"/>
        <v>COSTOS</v>
      </c>
      <c r="I841" s="19">
        <v>2025</v>
      </c>
    </row>
    <row r="842" spans="1:9" hidden="1" x14ac:dyDescent="0.3">
      <c r="A842" s="16" t="s">
        <v>101</v>
      </c>
      <c r="B842" s="16" t="s">
        <v>28</v>
      </c>
      <c r="C842" s="15">
        <v>9</v>
      </c>
      <c r="D842" s="17">
        <v>0</v>
      </c>
      <c r="E842" s="17">
        <v>699227</v>
      </c>
      <c r="F842" s="17">
        <v>699227</v>
      </c>
      <c r="G842" s="18">
        <v>0</v>
      </c>
      <c r="H842" s="10" t="str">
        <f t="shared" si="13"/>
        <v>COSTOS</v>
      </c>
      <c r="I842" s="19">
        <v>2025</v>
      </c>
    </row>
    <row r="843" spans="1:9" hidden="1" x14ac:dyDescent="0.3">
      <c r="A843" s="16" t="s">
        <v>101</v>
      </c>
      <c r="B843" s="16" t="s">
        <v>28</v>
      </c>
      <c r="C843" s="15">
        <v>10</v>
      </c>
      <c r="D843" s="17">
        <v>0</v>
      </c>
      <c r="E843" s="17">
        <v>354962</v>
      </c>
      <c r="F843" s="17">
        <v>354962</v>
      </c>
      <c r="G843" s="18">
        <v>0</v>
      </c>
      <c r="H843" s="10" t="str">
        <f t="shared" si="13"/>
        <v>COSTOS</v>
      </c>
      <c r="I843" s="19">
        <v>2025</v>
      </c>
    </row>
    <row r="844" spans="1:9" hidden="1" x14ac:dyDescent="0.3">
      <c r="A844" s="16" t="s">
        <v>101</v>
      </c>
      <c r="B844" s="16" t="s">
        <v>52</v>
      </c>
      <c r="C844" s="15">
        <v>1</v>
      </c>
      <c r="D844" s="17">
        <v>0</v>
      </c>
      <c r="E844" s="17">
        <v>100000</v>
      </c>
      <c r="F844" s="17">
        <v>100000</v>
      </c>
      <c r="G844" s="18">
        <v>0</v>
      </c>
      <c r="H844" s="10" t="str">
        <f t="shared" si="13"/>
        <v>COSTOS</v>
      </c>
      <c r="I844" s="19">
        <v>2025</v>
      </c>
    </row>
    <row r="845" spans="1:9" hidden="1" x14ac:dyDescent="0.3">
      <c r="A845" s="16" t="s">
        <v>101</v>
      </c>
      <c r="B845" s="16" t="s">
        <v>52</v>
      </c>
      <c r="C845" s="15">
        <v>5</v>
      </c>
      <c r="D845" s="17">
        <v>0</v>
      </c>
      <c r="E845" s="17">
        <v>1933</v>
      </c>
      <c r="F845" s="17">
        <v>1933</v>
      </c>
      <c r="G845" s="18">
        <v>0</v>
      </c>
      <c r="H845" s="10" t="str">
        <f t="shared" si="13"/>
        <v>COSTOS</v>
      </c>
      <c r="I845" s="19">
        <v>2025</v>
      </c>
    </row>
    <row r="846" spans="1:9" hidden="1" x14ac:dyDescent="0.3">
      <c r="A846" s="16" t="s">
        <v>101</v>
      </c>
      <c r="B846" s="16" t="s">
        <v>29</v>
      </c>
      <c r="C846" s="15">
        <v>1</v>
      </c>
      <c r="D846" s="17">
        <v>407614</v>
      </c>
      <c r="E846" s="17">
        <v>320300</v>
      </c>
      <c r="F846" s="17">
        <v>-87314</v>
      </c>
      <c r="G846" s="18">
        <v>0.78579244088770261</v>
      </c>
      <c r="H846" s="10" t="str">
        <f t="shared" si="13"/>
        <v>COSTOS</v>
      </c>
      <c r="I846" s="19">
        <v>2025</v>
      </c>
    </row>
    <row r="847" spans="1:9" hidden="1" x14ac:dyDescent="0.3">
      <c r="A847" s="16" t="s">
        <v>101</v>
      </c>
      <c r="B847" s="16" t="s">
        <v>29</v>
      </c>
      <c r="C847" s="15">
        <v>2</v>
      </c>
      <c r="D847" s="17">
        <v>381159</v>
      </c>
      <c r="E847" s="17">
        <v>229647</v>
      </c>
      <c r="F847" s="17">
        <v>-151512</v>
      </c>
      <c r="G847" s="18">
        <v>0.60249659590879401</v>
      </c>
      <c r="H847" s="10" t="str">
        <f t="shared" si="13"/>
        <v>COSTOS</v>
      </c>
      <c r="I847" s="19">
        <v>2025</v>
      </c>
    </row>
    <row r="848" spans="1:9" hidden="1" x14ac:dyDescent="0.3">
      <c r="A848" s="16" t="s">
        <v>101</v>
      </c>
      <c r="B848" s="16" t="s">
        <v>29</v>
      </c>
      <c r="C848" s="15">
        <v>3</v>
      </c>
      <c r="D848" s="17">
        <v>152524</v>
      </c>
      <c r="E848" s="17">
        <v>584570</v>
      </c>
      <c r="F848" s="17">
        <v>432046</v>
      </c>
      <c r="G848" s="18">
        <v>3.8326427316356773</v>
      </c>
      <c r="H848" s="10" t="str">
        <f t="shared" si="13"/>
        <v>COSTOS</v>
      </c>
      <c r="I848" s="19">
        <v>2025</v>
      </c>
    </row>
    <row r="849" spans="1:9" hidden="1" x14ac:dyDescent="0.3">
      <c r="A849" s="16" t="s">
        <v>101</v>
      </c>
      <c r="B849" s="16" t="s">
        <v>29</v>
      </c>
      <c r="C849" s="15">
        <v>4</v>
      </c>
      <c r="D849" s="17">
        <v>1234382</v>
      </c>
      <c r="E849" s="17">
        <v>28571</v>
      </c>
      <c r="F849" s="17">
        <v>-1205811</v>
      </c>
      <c r="G849" s="18">
        <v>2.3145995323975887E-2</v>
      </c>
      <c r="H849" s="10" t="str">
        <f t="shared" si="13"/>
        <v>COSTOS</v>
      </c>
      <c r="I849" s="19">
        <v>2025</v>
      </c>
    </row>
    <row r="850" spans="1:9" hidden="1" x14ac:dyDescent="0.3">
      <c r="A850" s="16" t="s">
        <v>101</v>
      </c>
      <c r="B850" s="16" t="s">
        <v>29</v>
      </c>
      <c r="C850" s="15">
        <v>5</v>
      </c>
      <c r="D850" s="17">
        <v>1002943</v>
      </c>
      <c r="E850" s="17">
        <v>315006</v>
      </c>
      <c r="F850" s="17">
        <v>-687937</v>
      </c>
      <c r="G850" s="18">
        <v>0.31408165768144353</v>
      </c>
      <c r="H850" s="10" t="str">
        <f t="shared" si="13"/>
        <v>COSTOS</v>
      </c>
      <c r="I850" s="19">
        <v>2025</v>
      </c>
    </row>
    <row r="851" spans="1:9" hidden="1" x14ac:dyDescent="0.3">
      <c r="A851" s="16" t="s">
        <v>101</v>
      </c>
      <c r="B851" s="16" t="s">
        <v>29</v>
      </c>
      <c r="C851" s="15">
        <v>6</v>
      </c>
      <c r="D851" s="17">
        <v>701716</v>
      </c>
      <c r="E851" s="17">
        <v>360136</v>
      </c>
      <c r="F851" s="17">
        <v>-341580</v>
      </c>
      <c r="G851" s="18">
        <v>0.51322187323646606</v>
      </c>
      <c r="H851" s="10" t="str">
        <f t="shared" si="13"/>
        <v>COSTOS</v>
      </c>
      <c r="I851" s="19">
        <v>2025</v>
      </c>
    </row>
    <row r="852" spans="1:9" hidden="1" x14ac:dyDescent="0.3">
      <c r="A852" s="16" t="s">
        <v>101</v>
      </c>
      <c r="B852" s="16" t="s">
        <v>29</v>
      </c>
      <c r="C852" s="15">
        <v>7</v>
      </c>
      <c r="D852" s="17">
        <v>1523161</v>
      </c>
      <c r="E852" s="17">
        <v>601649</v>
      </c>
      <c r="F852" s="17">
        <v>-921512</v>
      </c>
      <c r="G852" s="18">
        <v>0.39500026589441301</v>
      </c>
      <c r="H852" s="10" t="str">
        <f t="shared" si="13"/>
        <v>COSTOS</v>
      </c>
      <c r="I852" s="19">
        <v>2025</v>
      </c>
    </row>
    <row r="853" spans="1:9" hidden="1" x14ac:dyDescent="0.3">
      <c r="A853" s="16" t="s">
        <v>101</v>
      </c>
      <c r="B853" s="16" t="s">
        <v>29</v>
      </c>
      <c r="C853" s="15">
        <v>8</v>
      </c>
      <c r="D853" s="17">
        <v>135688</v>
      </c>
      <c r="E853" s="17">
        <v>433396</v>
      </c>
      <c r="F853" s="17">
        <v>297708</v>
      </c>
      <c r="G853" s="18">
        <v>3.1940628500678026</v>
      </c>
      <c r="H853" s="10" t="str">
        <f t="shared" si="13"/>
        <v>COSTOS</v>
      </c>
      <c r="I853" s="19">
        <v>2025</v>
      </c>
    </row>
    <row r="854" spans="1:9" hidden="1" x14ac:dyDescent="0.3">
      <c r="A854" s="16" t="s">
        <v>101</v>
      </c>
      <c r="B854" s="16" t="s">
        <v>29</v>
      </c>
      <c r="C854" s="15">
        <v>9</v>
      </c>
      <c r="D854" s="17">
        <v>254266</v>
      </c>
      <c r="E854" s="17">
        <v>50400</v>
      </c>
      <c r="F854" s="17">
        <v>-203866</v>
      </c>
      <c r="G854" s="18">
        <v>0.19821761462405513</v>
      </c>
      <c r="H854" s="10" t="str">
        <f t="shared" si="13"/>
        <v>COSTOS</v>
      </c>
      <c r="I854" s="19">
        <v>2025</v>
      </c>
    </row>
    <row r="855" spans="1:9" hidden="1" x14ac:dyDescent="0.3">
      <c r="A855" s="16" t="s">
        <v>101</v>
      </c>
      <c r="B855" s="16" t="s">
        <v>29</v>
      </c>
      <c r="C855" s="15">
        <v>10</v>
      </c>
      <c r="D855" s="17">
        <v>1449886</v>
      </c>
      <c r="E855" s="17">
        <v>235602</v>
      </c>
      <c r="F855" s="17">
        <v>-1214284</v>
      </c>
      <c r="G855" s="18">
        <v>0.16249691355044465</v>
      </c>
      <c r="H855" s="10" t="str">
        <f t="shared" si="13"/>
        <v>COSTOS</v>
      </c>
      <c r="I855" s="19">
        <v>2025</v>
      </c>
    </row>
    <row r="856" spans="1:9" hidden="1" x14ac:dyDescent="0.3">
      <c r="A856" s="16" t="s">
        <v>101</v>
      </c>
      <c r="B856" s="16" t="s">
        <v>59</v>
      </c>
      <c r="C856" s="15">
        <v>7</v>
      </c>
      <c r="D856" s="17">
        <v>0</v>
      </c>
      <c r="E856" s="17">
        <v>1833525</v>
      </c>
      <c r="F856" s="17">
        <v>1833525</v>
      </c>
      <c r="G856" s="18">
        <v>0</v>
      </c>
      <c r="H856" s="10" t="str">
        <f t="shared" si="13"/>
        <v>COSTOS</v>
      </c>
      <c r="I856" s="19">
        <v>2025</v>
      </c>
    </row>
    <row r="857" spans="1:9" hidden="1" x14ac:dyDescent="0.3">
      <c r="A857" s="16" t="s">
        <v>101</v>
      </c>
      <c r="B857" s="16" t="s">
        <v>51</v>
      </c>
      <c r="C857" s="15">
        <v>11</v>
      </c>
      <c r="D857" s="17">
        <v>6000000</v>
      </c>
      <c r="E857" s="17">
        <v>0</v>
      </c>
      <c r="F857" s="17">
        <v>-6000000</v>
      </c>
      <c r="G857" s="18">
        <v>0</v>
      </c>
      <c r="H857" s="10" t="str">
        <f t="shared" si="13"/>
        <v>COSTOS</v>
      </c>
      <c r="I857" s="19">
        <v>2025</v>
      </c>
    </row>
    <row r="858" spans="1:9" hidden="1" x14ac:dyDescent="0.3">
      <c r="A858" s="16" t="s">
        <v>101</v>
      </c>
      <c r="B858" s="16" t="s">
        <v>14</v>
      </c>
      <c r="C858" s="15">
        <v>11</v>
      </c>
      <c r="D858" s="17">
        <v>22844.9</v>
      </c>
      <c r="E858" s="17">
        <v>0</v>
      </c>
      <c r="F858" s="17">
        <v>-22844.9</v>
      </c>
      <c r="G858" s="18">
        <v>0</v>
      </c>
      <c r="H858" s="10" t="str">
        <f t="shared" si="13"/>
        <v>COSTOS</v>
      </c>
      <c r="I858" s="19">
        <v>2025</v>
      </c>
    </row>
    <row r="859" spans="1:9" hidden="1" x14ac:dyDescent="0.3">
      <c r="A859" s="16" t="s">
        <v>101</v>
      </c>
      <c r="B859" s="16" t="s">
        <v>16</v>
      </c>
      <c r="C859" s="15">
        <v>11</v>
      </c>
      <c r="D859" s="17">
        <v>0</v>
      </c>
      <c r="E859" s="17">
        <v>10000</v>
      </c>
      <c r="F859" s="17">
        <v>10000</v>
      </c>
      <c r="G859" s="18">
        <v>0</v>
      </c>
      <c r="H859" s="10" t="str">
        <f t="shared" si="13"/>
        <v>COSTOS</v>
      </c>
      <c r="I859" s="19">
        <v>2025</v>
      </c>
    </row>
    <row r="860" spans="1:9" hidden="1" x14ac:dyDescent="0.3">
      <c r="A860" s="16" t="s">
        <v>101</v>
      </c>
      <c r="B860" s="16" t="s">
        <v>94</v>
      </c>
      <c r="C860" s="15">
        <v>11</v>
      </c>
      <c r="D860" s="17">
        <v>148976</v>
      </c>
      <c r="E860" s="17">
        <v>139370</v>
      </c>
      <c r="F860" s="17">
        <v>-9606</v>
      </c>
      <c r="G860" s="18">
        <v>0.93551981527225869</v>
      </c>
      <c r="H860" s="10" t="str">
        <f t="shared" si="13"/>
        <v>COSTOS</v>
      </c>
      <c r="I860" s="19">
        <v>2025</v>
      </c>
    </row>
    <row r="861" spans="1:9" hidden="1" x14ac:dyDescent="0.3">
      <c r="A861" s="16" t="s">
        <v>101</v>
      </c>
      <c r="B861" s="16" t="s">
        <v>42</v>
      </c>
      <c r="C861" s="15">
        <v>11</v>
      </c>
      <c r="D861" s="17">
        <v>55827</v>
      </c>
      <c r="E861" s="17">
        <v>0</v>
      </c>
      <c r="F861" s="17">
        <v>-55827</v>
      </c>
      <c r="G861" s="18">
        <v>0</v>
      </c>
      <c r="H861" s="10" t="str">
        <f t="shared" si="13"/>
        <v>COSTOS</v>
      </c>
      <c r="I861" s="19">
        <v>2025</v>
      </c>
    </row>
    <row r="862" spans="1:9" hidden="1" x14ac:dyDescent="0.3">
      <c r="A862" s="16" t="s">
        <v>101</v>
      </c>
      <c r="B862" s="16" t="s">
        <v>27</v>
      </c>
      <c r="C862" s="15">
        <v>11</v>
      </c>
      <c r="D862" s="17">
        <v>773873</v>
      </c>
      <c r="E862" s="17">
        <v>359118</v>
      </c>
      <c r="F862" s="17">
        <v>-414755</v>
      </c>
      <c r="G862" s="18">
        <v>0.46405288723085059</v>
      </c>
      <c r="H862" s="10" t="str">
        <f t="shared" si="13"/>
        <v>COSTOS</v>
      </c>
      <c r="I862" s="19">
        <v>2025</v>
      </c>
    </row>
    <row r="863" spans="1:9" hidden="1" x14ac:dyDescent="0.3">
      <c r="A863" s="16" t="s">
        <v>101</v>
      </c>
      <c r="B863" s="16" t="s">
        <v>28</v>
      </c>
      <c r="C863" s="15">
        <v>11</v>
      </c>
      <c r="D863" s="17">
        <v>0</v>
      </c>
      <c r="E863" s="17">
        <v>888004</v>
      </c>
      <c r="F863" s="17">
        <v>888004</v>
      </c>
      <c r="G863" s="18">
        <v>0</v>
      </c>
      <c r="H863" s="10" t="str">
        <f t="shared" si="13"/>
        <v>COSTOS</v>
      </c>
      <c r="I863" s="19">
        <v>2025</v>
      </c>
    </row>
    <row r="864" spans="1:9" hidden="1" x14ac:dyDescent="0.3">
      <c r="A864" s="16" t="s">
        <v>101</v>
      </c>
      <c r="B864" s="16" t="s">
        <v>29</v>
      </c>
      <c r="C864" s="15">
        <v>11</v>
      </c>
      <c r="D864" s="17">
        <v>1865158</v>
      </c>
      <c r="E864" s="17">
        <v>45042</v>
      </c>
      <c r="F864" s="17">
        <v>-1820116</v>
      </c>
      <c r="G864" s="18">
        <v>2.414916055369036E-2</v>
      </c>
      <c r="H864" s="10" t="str">
        <f t="shared" si="13"/>
        <v>COSTOS</v>
      </c>
      <c r="I864" s="19">
        <v>2025</v>
      </c>
    </row>
    <row r="865" spans="1:9" hidden="1" x14ac:dyDescent="0.3">
      <c r="A865" s="16" t="s">
        <v>101</v>
      </c>
      <c r="B865" s="16" t="s">
        <v>51</v>
      </c>
      <c r="C865" s="15">
        <v>12</v>
      </c>
      <c r="D865" s="17">
        <v>6000000</v>
      </c>
      <c r="E865" s="17">
        <v>9302776</v>
      </c>
      <c r="F865" s="17">
        <v>3302776</v>
      </c>
      <c r="G865" s="18">
        <v>1.5504626666666668</v>
      </c>
      <c r="H865" s="10" t="str">
        <f t="shared" si="13"/>
        <v>COSTOS</v>
      </c>
      <c r="I865" s="19">
        <v>2025</v>
      </c>
    </row>
    <row r="866" spans="1:9" hidden="1" x14ac:dyDescent="0.3">
      <c r="A866" s="16" t="s">
        <v>101</v>
      </c>
      <c r="B866" s="16" t="s">
        <v>14</v>
      </c>
      <c r="C866" s="15">
        <v>12</v>
      </c>
      <c r="D866" s="17">
        <v>30844.9</v>
      </c>
      <c r="E866" s="17">
        <v>0</v>
      </c>
      <c r="F866" s="17">
        <v>-30844.9</v>
      </c>
      <c r="G866" s="18">
        <v>0</v>
      </c>
      <c r="H866" s="10" t="str">
        <f t="shared" si="13"/>
        <v>COSTOS</v>
      </c>
      <c r="I866" s="19">
        <v>2025</v>
      </c>
    </row>
    <row r="867" spans="1:9" hidden="1" x14ac:dyDescent="0.3">
      <c r="A867" s="16" t="s">
        <v>101</v>
      </c>
      <c r="B867" s="16" t="s">
        <v>94</v>
      </c>
      <c r="C867" s="15">
        <v>12</v>
      </c>
      <c r="D867" s="17">
        <v>125959</v>
      </c>
      <c r="E867" s="17">
        <v>171290</v>
      </c>
      <c r="F867" s="17">
        <v>45331</v>
      </c>
      <c r="G867" s="18">
        <v>1.3598869473400075</v>
      </c>
      <c r="H867" s="10" t="str">
        <f t="shared" si="13"/>
        <v>COSTOS</v>
      </c>
      <c r="I867" s="19">
        <v>2025</v>
      </c>
    </row>
    <row r="868" spans="1:9" hidden="1" x14ac:dyDescent="0.3">
      <c r="A868" s="16" t="s">
        <v>101</v>
      </c>
      <c r="B868" s="16" t="s">
        <v>42</v>
      </c>
      <c r="C868" s="15">
        <v>12</v>
      </c>
      <c r="D868" s="17">
        <v>55827</v>
      </c>
      <c r="E868" s="17">
        <v>0</v>
      </c>
      <c r="F868" s="17">
        <v>-55827</v>
      </c>
      <c r="G868" s="18">
        <v>0</v>
      </c>
      <c r="H868" s="10" t="str">
        <f t="shared" si="13"/>
        <v>COSTOS</v>
      </c>
      <c r="I868" s="19">
        <v>2025</v>
      </c>
    </row>
    <row r="869" spans="1:9" hidden="1" x14ac:dyDescent="0.3">
      <c r="A869" s="16" t="s">
        <v>101</v>
      </c>
      <c r="B869" s="16" t="s">
        <v>27</v>
      </c>
      <c r="C869" s="15">
        <v>12</v>
      </c>
      <c r="D869" s="17">
        <v>922050</v>
      </c>
      <c r="E869" s="17">
        <v>934282</v>
      </c>
      <c r="F869" s="17">
        <v>12232</v>
      </c>
      <c r="G869" s="18">
        <v>1.0132660918605283</v>
      </c>
      <c r="H869" s="10" t="str">
        <f t="shared" si="13"/>
        <v>COSTOS</v>
      </c>
      <c r="I869" s="19">
        <v>2025</v>
      </c>
    </row>
    <row r="870" spans="1:9" hidden="1" x14ac:dyDescent="0.3">
      <c r="A870" s="16" t="s">
        <v>101</v>
      </c>
      <c r="B870" s="16" t="s">
        <v>28</v>
      </c>
      <c r="C870" s="15">
        <v>12</v>
      </c>
      <c r="D870" s="17">
        <v>0</v>
      </c>
      <c r="E870" s="17">
        <v>339291</v>
      </c>
      <c r="F870" s="17">
        <v>339291</v>
      </c>
      <c r="G870" s="18">
        <v>0</v>
      </c>
      <c r="H870" s="10" t="str">
        <f t="shared" si="13"/>
        <v>COSTOS</v>
      </c>
      <c r="I870" s="19">
        <v>2025</v>
      </c>
    </row>
    <row r="871" spans="1:9" hidden="1" x14ac:dyDescent="0.3">
      <c r="A871" s="16" t="s">
        <v>101</v>
      </c>
      <c r="B871" s="16" t="s">
        <v>29</v>
      </c>
      <c r="C871" s="15">
        <v>12</v>
      </c>
      <c r="D871" s="17">
        <v>421573</v>
      </c>
      <c r="E871" s="17">
        <v>0</v>
      </c>
      <c r="F871" s="17">
        <v>-421573</v>
      </c>
      <c r="G871" s="18">
        <v>0</v>
      </c>
      <c r="H871" s="10" t="str">
        <f t="shared" si="13"/>
        <v>COSTOS</v>
      </c>
      <c r="I871" s="19">
        <v>2025</v>
      </c>
    </row>
    <row r="872" spans="1:9" hidden="1" x14ac:dyDescent="0.3">
      <c r="A872" s="16" t="s">
        <v>83</v>
      </c>
      <c r="B872" s="16" t="s">
        <v>53</v>
      </c>
      <c r="C872" s="15">
        <v>12</v>
      </c>
      <c r="D872" s="17">
        <v>27100000</v>
      </c>
      <c r="E872" s="17">
        <v>25459076</v>
      </c>
      <c r="F872" s="17">
        <v>-1640924</v>
      </c>
      <c r="G872" s="18">
        <v>0.93944929889298889</v>
      </c>
      <c r="H872" s="10" t="str">
        <f t="shared" si="13"/>
        <v>COSTOS</v>
      </c>
      <c r="I872" s="19">
        <v>2025</v>
      </c>
    </row>
    <row r="873" spans="1:9" hidden="1" x14ac:dyDescent="0.3">
      <c r="A873" s="16" t="s">
        <v>56</v>
      </c>
      <c r="B873" s="16" t="s">
        <v>10</v>
      </c>
      <c r="C873" s="15">
        <v>4</v>
      </c>
      <c r="D873" s="17">
        <v>0</v>
      </c>
      <c r="E873" s="17">
        <v>8541000</v>
      </c>
      <c r="F873" s="17">
        <v>8541000</v>
      </c>
      <c r="G873" s="18">
        <v>0</v>
      </c>
      <c r="H873" s="10" t="str">
        <f t="shared" si="13"/>
        <v>COSTOS</v>
      </c>
      <c r="I873" s="19">
        <v>2025</v>
      </c>
    </row>
    <row r="874" spans="1:9" hidden="1" x14ac:dyDescent="0.3">
      <c r="A874" s="16" t="s">
        <v>56</v>
      </c>
      <c r="B874" s="16" t="s">
        <v>10</v>
      </c>
      <c r="C874" s="15">
        <v>5</v>
      </c>
      <c r="D874" s="17">
        <v>0</v>
      </c>
      <c r="E874" s="17">
        <v>8541000</v>
      </c>
      <c r="F874" s="17">
        <v>8541000</v>
      </c>
      <c r="G874" s="18">
        <v>0</v>
      </c>
      <c r="H874" s="10" t="str">
        <f t="shared" si="13"/>
        <v>COSTOS</v>
      </c>
      <c r="I874" s="19">
        <v>2025</v>
      </c>
    </row>
    <row r="875" spans="1:9" hidden="1" x14ac:dyDescent="0.3">
      <c r="A875" s="16" t="s">
        <v>56</v>
      </c>
      <c r="B875" s="16" t="s">
        <v>10</v>
      </c>
      <c r="C875" s="15">
        <v>7</v>
      </c>
      <c r="D875" s="17">
        <v>0</v>
      </c>
      <c r="E875" s="17">
        <v>8541000</v>
      </c>
      <c r="F875" s="17">
        <v>8541000</v>
      </c>
      <c r="G875" s="18">
        <v>0</v>
      </c>
      <c r="H875" s="10" t="str">
        <f t="shared" si="13"/>
        <v>COSTOS</v>
      </c>
      <c r="I875" s="19">
        <v>2025</v>
      </c>
    </row>
    <row r="876" spans="1:9" hidden="1" x14ac:dyDescent="0.3">
      <c r="A876" s="16" t="s">
        <v>56</v>
      </c>
      <c r="B876" s="16" t="s">
        <v>149</v>
      </c>
      <c r="C876" s="15">
        <v>4</v>
      </c>
      <c r="D876" s="17">
        <v>9948921</v>
      </c>
      <c r="E876" s="17">
        <v>9346750</v>
      </c>
      <c r="F876" s="17">
        <v>-602171</v>
      </c>
      <c r="G876" s="18">
        <v>0.93947373790584932</v>
      </c>
      <c r="H876" s="10" t="str">
        <f t="shared" si="13"/>
        <v>COSTOS</v>
      </c>
      <c r="I876" s="19">
        <v>2025</v>
      </c>
    </row>
    <row r="877" spans="1:9" hidden="1" x14ac:dyDescent="0.3">
      <c r="A877" s="16" t="s">
        <v>56</v>
      </c>
      <c r="B877" s="16" t="s">
        <v>57</v>
      </c>
      <c r="C877" s="15">
        <v>1</v>
      </c>
      <c r="D877" s="17">
        <v>1893520</v>
      </c>
      <c r="E877" s="17">
        <v>1971600</v>
      </c>
      <c r="F877" s="17">
        <v>78080</v>
      </c>
      <c r="G877" s="18">
        <v>1.04123537116059</v>
      </c>
      <c r="H877" s="10" t="str">
        <f t="shared" si="13"/>
        <v>COSTOS</v>
      </c>
      <c r="I877" s="19">
        <v>2025</v>
      </c>
    </row>
    <row r="878" spans="1:9" hidden="1" x14ac:dyDescent="0.3">
      <c r="A878" s="16" t="s">
        <v>56</v>
      </c>
      <c r="B878" s="16" t="s">
        <v>57</v>
      </c>
      <c r="C878" s="15">
        <v>2</v>
      </c>
      <c r="D878" s="17">
        <v>1893520</v>
      </c>
      <c r="E878" s="17">
        <v>1971600</v>
      </c>
      <c r="F878" s="17">
        <v>78080</v>
      </c>
      <c r="G878" s="18">
        <v>1.04123537116059</v>
      </c>
      <c r="H878" s="10" t="str">
        <f t="shared" si="13"/>
        <v>COSTOS</v>
      </c>
      <c r="I878" s="19">
        <v>2025</v>
      </c>
    </row>
    <row r="879" spans="1:9" hidden="1" x14ac:dyDescent="0.3">
      <c r="A879" s="16" t="s">
        <v>56</v>
      </c>
      <c r="B879" s="16" t="s">
        <v>57</v>
      </c>
      <c r="C879" s="15">
        <v>3</v>
      </c>
      <c r="D879" s="17">
        <v>1893520</v>
      </c>
      <c r="E879" s="17">
        <v>1971600</v>
      </c>
      <c r="F879" s="17">
        <v>78080</v>
      </c>
      <c r="G879" s="18">
        <v>1.04123537116059</v>
      </c>
      <c r="H879" s="10" t="str">
        <f t="shared" si="13"/>
        <v>COSTOS</v>
      </c>
      <c r="I879" s="19">
        <v>2025</v>
      </c>
    </row>
    <row r="880" spans="1:9" hidden="1" x14ac:dyDescent="0.3">
      <c r="A880" s="16" t="s">
        <v>56</v>
      </c>
      <c r="B880" s="16" t="s">
        <v>57</v>
      </c>
      <c r="C880" s="15">
        <v>4</v>
      </c>
      <c r="D880" s="17">
        <v>1893520</v>
      </c>
      <c r="E880" s="17">
        <v>1971600</v>
      </c>
      <c r="F880" s="17">
        <v>78080</v>
      </c>
      <c r="G880" s="18">
        <v>1.04123537116059</v>
      </c>
      <c r="H880" s="10" t="str">
        <f t="shared" si="13"/>
        <v>COSTOS</v>
      </c>
      <c r="I880" s="19">
        <v>2025</v>
      </c>
    </row>
    <row r="881" spans="1:9" hidden="1" x14ac:dyDescent="0.3">
      <c r="A881" s="16" t="s">
        <v>56</v>
      </c>
      <c r="B881" s="16" t="s">
        <v>57</v>
      </c>
      <c r="C881" s="15">
        <v>5</v>
      </c>
      <c r="D881" s="17">
        <v>1893520</v>
      </c>
      <c r="E881" s="17">
        <v>1971600</v>
      </c>
      <c r="F881" s="17">
        <v>78080</v>
      </c>
      <c r="G881" s="18">
        <v>1.04123537116059</v>
      </c>
      <c r="H881" s="10" t="str">
        <f t="shared" si="13"/>
        <v>COSTOS</v>
      </c>
      <c r="I881" s="19">
        <v>2025</v>
      </c>
    </row>
    <row r="882" spans="1:9" hidden="1" x14ac:dyDescent="0.3">
      <c r="A882" s="16" t="s">
        <v>56</v>
      </c>
      <c r="B882" s="16" t="s">
        <v>57</v>
      </c>
      <c r="C882" s="15">
        <v>6</v>
      </c>
      <c r="D882" s="17">
        <v>1893520</v>
      </c>
      <c r="E882" s="17">
        <v>1971600</v>
      </c>
      <c r="F882" s="17">
        <v>78080</v>
      </c>
      <c r="G882" s="18">
        <v>1.04123537116059</v>
      </c>
      <c r="H882" s="10" t="str">
        <f t="shared" si="13"/>
        <v>COSTOS</v>
      </c>
      <c r="I882" s="19">
        <v>2025</v>
      </c>
    </row>
    <row r="883" spans="1:9" hidden="1" x14ac:dyDescent="0.3">
      <c r="A883" s="16" t="s">
        <v>56</v>
      </c>
      <c r="B883" s="16" t="s">
        <v>57</v>
      </c>
      <c r="C883" s="15">
        <v>7</v>
      </c>
      <c r="D883" s="17">
        <v>1893520</v>
      </c>
      <c r="E883" s="17">
        <v>1971600</v>
      </c>
      <c r="F883" s="17">
        <v>78080</v>
      </c>
      <c r="G883" s="18">
        <v>1.04123537116059</v>
      </c>
      <c r="H883" s="10" t="str">
        <f t="shared" si="13"/>
        <v>COSTOS</v>
      </c>
      <c r="I883" s="19">
        <v>2025</v>
      </c>
    </row>
    <row r="884" spans="1:9" hidden="1" x14ac:dyDescent="0.3">
      <c r="A884" s="16" t="s">
        <v>56</v>
      </c>
      <c r="B884" s="16" t="s">
        <v>57</v>
      </c>
      <c r="C884" s="15">
        <v>8</v>
      </c>
      <c r="D884" s="17">
        <v>1893520</v>
      </c>
      <c r="E884" s="17">
        <v>1971600</v>
      </c>
      <c r="F884" s="17">
        <v>78080</v>
      </c>
      <c r="G884" s="18">
        <v>1.04123537116059</v>
      </c>
      <c r="H884" s="10" t="str">
        <f t="shared" si="13"/>
        <v>COSTOS</v>
      </c>
      <c r="I884" s="19">
        <v>2025</v>
      </c>
    </row>
    <row r="885" spans="1:9" hidden="1" x14ac:dyDescent="0.3">
      <c r="A885" s="16" t="s">
        <v>56</v>
      </c>
      <c r="B885" s="16" t="s">
        <v>57</v>
      </c>
      <c r="C885" s="15">
        <v>9</v>
      </c>
      <c r="D885" s="17">
        <v>1893520</v>
      </c>
      <c r="E885" s="17">
        <v>0</v>
      </c>
      <c r="F885" s="17">
        <v>-1893520</v>
      </c>
      <c r="G885" s="18">
        <v>0</v>
      </c>
      <c r="H885" s="10" t="str">
        <f t="shared" si="13"/>
        <v>COSTOS</v>
      </c>
      <c r="I885" s="19">
        <v>2025</v>
      </c>
    </row>
    <row r="886" spans="1:9" hidden="1" x14ac:dyDescent="0.3">
      <c r="A886" s="16" t="s">
        <v>56</v>
      </c>
      <c r="B886" s="16" t="s">
        <v>57</v>
      </c>
      <c r="C886" s="15">
        <v>10</v>
      </c>
      <c r="D886" s="17">
        <v>1893520</v>
      </c>
      <c r="E886" s="17">
        <v>0</v>
      </c>
      <c r="F886" s="17">
        <v>-1893520</v>
      </c>
      <c r="G886" s="18">
        <v>0</v>
      </c>
      <c r="H886" s="10" t="str">
        <f t="shared" si="13"/>
        <v>COSTOS</v>
      </c>
      <c r="I886" s="19">
        <v>2025</v>
      </c>
    </row>
    <row r="887" spans="1:9" hidden="1" x14ac:dyDescent="0.3">
      <c r="A887" s="16" t="s">
        <v>56</v>
      </c>
      <c r="B887" s="16" t="s">
        <v>12</v>
      </c>
      <c r="C887" s="15">
        <v>1</v>
      </c>
      <c r="D887" s="17">
        <v>2658587</v>
      </c>
      <c r="E887" s="17">
        <v>2658587</v>
      </c>
      <c r="F887" s="17">
        <v>0</v>
      </c>
      <c r="G887" s="18">
        <v>1</v>
      </c>
      <c r="H887" s="10" t="str">
        <f t="shared" si="13"/>
        <v>COSTOS</v>
      </c>
      <c r="I887" s="19">
        <v>2025</v>
      </c>
    </row>
    <row r="888" spans="1:9" hidden="1" x14ac:dyDescent="0.3">
      <c r="A888" s="16" t="s">
        <v>56</v>
      </c>
      <c r="B888" s="16" t="s">
        <v>12</v>
      </c>
      <c r="C888" s="15">
        <v>2</v>
      </c>
      <c r="D888" s="17">
        <v>6935730</v>
      </c>
      <c r="E888" s="17">
        <v>6935730</v>
      </c>
      <c r="F888" s="17">
        <v>0</v>
      </c>
      <c r="G888" s="18">
        <v>1</v>
      </c>
      <c r="H888" s="10" t="str">
        <f t="shared" si="13"/>
        <v>COSTOS</v>
      </c>
      <c r="I888" s="19">
        <v>2025</v>
      </c>
    </row>
    <row r="889" spans="1:9" hidden="1" x14ac:dyDescent="0.3">
      <c r="A889" s="16" t="s">
        <v>56</v>
      </c>
      <c r="B889" s="16" t="s">
        <v>12</v>
      </c>
      <c r="C889" s="15">
        <v>3</v>
      </c>
      <c r="D889" s="17">
        <v>0</v>
      </c>
      <c r="E889" s="17">
        <v>5166214</v>
      </c>
      <c r="F889" s="17">
        <v>5166214</v>
      </c>
      <c r="G889" s="18">
        <v>0</v>
      </c>
      <c r="H889" s="10" t="str">
        <f t="shared" si="13"/>
        <v>COSTOS</v>
      </c>
      <c r="I889" s="19">
        <v>2025</v>
      </c>
    </row>
    <row r="890" spans="1:9" hidden="1" x14ac:dyDescent="0.3">
      <c r="A890" s="16" t="s">
        <v>56</v>
      </c>
      <c r="B890" s="16" t="s">
        <v>12</v>
      </c>
      <c r="C890" s="15">
        <v>7</v>
      </c>
      <c r="D890" s="17">
        <v>0</v>
      </c>
      <c r="E890" s="17">
        <v>-2975095</v>
      </c>
      <c r="F890" s="17">
        <v>-2975095</v>
      </c>
      <c r="G890" s="18">
        <v>0</v>
      </c>
      <c r="H890" s="10" t="str">
        <f t="shared" si="13"/>
        <v>COSTOS</v>
      </c>
      <c r="I890" s="19">
        <v>2025</v>
      </c>
    </row>
    <row r="891" spans="1:9" hidden="1" x14ac:dyDescent="0.3">
      <c r="A891" s="16" t="s">
        <v>56</v>
      </c>
      <c r="B891" s="16" t="s">
        <v>12</v>
      </c>
      <c r="C891" s="15">
        <v>10</v>
      </c>
      <c r="D891" s="17">
        <v>44083570</v>
      </c>
      <c r="E891" s="17">
        <v>34051830</v>
      </c>
      <c r="F891" s="17">
        <v>-10031740</v>
      </c>
      <c r="G891" s="18">
        <v>0.77243812150422486</v>
      </c>
      <c r="H891" s="10" t="str">
        <f t="shared" si="13"/>
        <v>COSTOS</v>
      </c>
      <c r="I891" s="19">
        <v>2025</v>
      </c>
    </row>
    <row r="892" spans="1:9" hidden="1" x14ac:dyDescent="0.3">
      <c r="A892" s="16" t="s">
        <v>56</v>
      </c>
      <c r="B892" s="16" t="s">
        <v>13</v>
      </c>
      <c r="C892" s="15">
        <v>1</v>
      </c>
      <c r="D892" s="17">
        <v>1105900</v>
      </c>
      <c r="E892" s="17">
        <v>1105900</v>
      </c>
      <c r="F892" s="17">
        <v>0</v>
      </c>
      <c r="G892" s="18">
        <v>1</v>
      </c>
      <c r="H892" s="10" t="str">
        <f t="shared" si="13"/>
        <v>COSTOS</v>
      </c>
      <c r="I892" s="19">
        <v>2025</v>
      </c>
    </row>
    <row r="893" spans="1:9" hidden="1" x14ac:dyDescent="0.3">
      <c r="A893" s="16" t="s">
        <v>56</v>
      </c>
      <c r="B893" s="16" t="s">
        <v>13</v>
      </c>
      <c r="C893" s="15">
        <v>4</v>
      </c>
      <c r="D893" s="17">
        <v>914714</v>
      </c>
      <c r="E893" s="17">
        <v>794100</v>
      </c>
      <c r="F893" s="17">
        <v>-120614</v>
      </c>
      <c r="G893" s="18">
        <v>0.86814020557245219</v>
      </c>
      <c r="H893" s="10" t="str">
        <f t="shared" si="13"/>
        <v>COSTOS</v>
      </c>
      <c r="I893" s="19">
        <v>2025</v>
      </c>
    </row>
    <row r="894" spans="1:9" hidden="1" x14ac:dyDescent="0.3">
      <c r="A894" s="16" t="s">
        <v>56</v>
      </c>
      <c r="B894" s="16" t="s">
        <v>102</v>
      </c>
      <c r="C894" s="15">
        <v>3</v>
      </c>
      <c r="D894" s="17">
        <v>23727472</v>
      </c>
      <c r="E894" s="17">
        <v>0</v>
      </c>
      <c r="F894" s="17">
        <v>-23727472</v>
      </c>
      <c r="G894" s="18">
        <v>0</v>
      </c>
      <c r="H894" s="10" t="str">
        <f t="shared" si="13"/>
        <v>COSTOS</v>
      </c>
      <c r="I894" s="19">
        <v>2025</v>
      </c>
    </row>
    <row r="895" spans="1:9" hidden="1" x14ac:dyDescent="0.3">
      <c r="A895" s="16" t="s">
        <v>56</v>
      </c>
      <c r="B895" s="16" t="s">
        <v>102</v>
      </c>
      <c r="C895" s="15">
        <v>4</v>
      </c>
      <c r="D895" s="17">
        <v>0</v>
      </c>
      <c r="E895" s="17">
        <v>22639447</v>
      </c>
      <c r="F895" s="17">
        <v>22639447</v>
      </c>
      <c r="G895" s="18">
        <v>0</v>
      </c>
      <c r="H895" s="10" t="str">
        <f t="shared" si="13"/>
        <v>COSTOS</v>
      </c>
      <c r="I895" s="19">
        <v>2025</v>
      </c>
    </row>
    <row r="896" spans="1:9" hidden="1" x14ac:dyDescent="0.3">
      <c r="A896" s="16" t="s">
        <v>56</v>
      </c>
      <c r="B896" s="16" t="s">
        <v>102</v>
      </c>
      <c r="C896" s="15">
        <v>6</v>
      </c>
      <c r="D896" s="17">
        <v>23326574</v>
      </c>
      <c r="E896" s="17">
        <v>23100251</v>
      </c>
      <c r="F896" s="17">
        <v>-226323</v>
      </c>
      <c r="G896" s="18">
        <v>0.99029763221980227</v>
      </c>
      <c r="H896" s="10" t="str">
        <f t="shared" si="13"/>
        <v>COSTOS</v>
      </c>
      <c r="I896" s="19">
        <v>2025</v>
      </c>
    </row>
    <row r="897" spans="1:9" hidden="1" x14ac:dyDescent="0.3">
      <c r="A897" s="16" t="s">
        <v>56</v>
      </c>
      <c r="B897" s="16" t="s">
        <v>17</v>
      </c>
      <c r="C897" s="15">
        <v>1</v>
      </c>
      <c r="D897" s="17">
        <v>335447</v>
      </c>
      <c r="E897" s="17">
        <v>335447</v>
      </c>
      <c r="F897" s="17">
        <v>0</v>
      </c>
      <c r="G897" s="18">
        <v>1</v>
      </c>
      <c r="H897" s="10" t="str">
        <f t="shared" si="13"/>
        <v>COSTOS</v>
      </c>
      <c r="I897" s="19">
        <v>2025</v>
      </c>
    </row>
    <row r="898" spans="1:9" hidden="1" x14ac:dyDescent="0.3">
      <c r="A898" s="16" t="s">
        <v>56</v>
      </c>
      <c r="B898" s="16" t="s">
        <v>17</v>
      </c>
      <c r="C898" s="15">
        <v>2</v>
      </c>
      <c r="D898" s="17">
        <v>335447</v>
      </c>
      <c r="E898" s="17">
        <v>335447</v>
      </c>
      <c r="F898" s="17">
        <v>0</v>
      </c>
      <c r="G898" s="18">
        <v>1</v>
      </c>
      <c r="H898" s="10" t="str">
        <f t="shared" si="13"/>
        <v>COSTOS</v>
      </c>
      <c r="I898" s="19">
        <v>2025</v>
      </c>
    </row>
    <row r="899" spans="1:9" hidden="1" x14ac:dyDescent="0.3">
      <c r="A899" s="16" t="s">
        <v>56</v>
      </c>
      <c r="B899" s="16" t="s">
        <v>17</v>
      </c>
      <c r="C899" s="15">
        <v>3</v>
      </c>
      <c r="D899" s="17">
        <v>335447</v>
      </c>
      <c r="E899" s="17">
        <v>364713</v>
      </c>
      <c r="F899" s="17">
        <v>29266</v>
      </c>
      <c r="G899" s="18">
        <v>1.0872447808446641</v>
      </c>
      <c r="H899" s="10" t="str">
        <f t="shared" ref="H899:H962" si="14">+IF(OR(A899="ADMINISTRACION",A899="COMERCIAL",A899="COMERCIAL-EXPORTACIONES",A899="LEASING DE LA BODEGA",A899="LOGISTICA-SALIDA",A899="OTROS GASTOS",A899="BODEGA ALQUILADA", A899="BODEGA CARTOPLAST", A899="BODEGA CARTOPLAS", A899= "GESTION HUMANA-OTROS GASTOS"),"GASTOS","COSTOS")</f>
        <v>COSTOS</v>
      </c>
      <c r="I899" s="19">
        <v>2025</v>
      </c>
    </row>
    <row r="900" spans="1:9" hidden="1" x14ac:dyDescent="0.3">
      <c r="A900" s="16" t="s">
        <v>56</v>
      </c>
      <c r="B900" s="16" t="s">
        <v>17</v>
      </c>
      <c r="C900" s="15">
        <v>4</v>
      </c>
      <c r="D900" s="17">
        <v>335447</v>
      </c>
      <c r="E900" s="17">
        <v>364861</v>
      </c>
      <c r="F900" s="17">
        <v>29414</v>
      </c>
      <c r="G900" s="18">
        <v>1.0876859831806516</v>
      </c>
      <c r="H900" s="10" t="str">
        <f t="shared" si="14"/>
        <v>COSTOS</v>
      </c>
      <c r="I900" s="19">
        <v>2025</v>
      </c>
    </row>
    <row r="901" spans="1:9" hidden="1" x14ac:dyDescent="0.3">
      <c r="A901" s="16" t="s">
        <v>56</v>
      </c>
      <c r="B901" s="16" t="s">
        <v>17</v>
      </c>
      <c r="C901" s="15">
        <v>5</v>
      </c>
      <c r="D901" s="17">
        <v>335447</v>
      </c>
      <c r="E901" s="17">
        <v>365971</v>
      </c>
      <c r="F901" s="17">
        <v>30524</v>
      </c>
      <c r="G901" s="18">
        <v>1.0909950007005578</v>
      </c>
      <c r="H901" s="10" t="str">
        <f t="shared" si="14"/>
        <v>COSTOS</v>
      </c>
      <c r="I901" s="19">
        <v>2025</v>
      </c>
    </row>
    <row r="902" spans="1:9" hidden="1" x14ac:dyDescent="0.3">
      <c r="A902" s="16" t="s">
        <v>56</v>
      </c>
      <c r="B902" s="16" t="s">
        <v>17</v>
      </c>
      <c r="C902" s="15">
        <v>6</v>
      </c>
      <c r="D902" s="17">
        <v>335447</v>
      </c>
      <c r="E902" s="17">
        <v>364861</v>
      </c>
      <c r="F902" s="17">
        <v>29414</v>
      </c>
      <c r="G902" s="18">
        <v>1.0876859831806516</v>
      </c>
      <c r="H902" s="10" t="str">
        <f t="shared" si="14"/>
        <v>COSTOS</v>
      </c>
      <c r="I902" s="19">
        <v>2025</v>
      </c>
    </row>
    <row r="903" spans="1:9" hidden="1" x14ac:dyDescent="0.3">
      <c r="A903" s="16" t="s">
        <v>56</v>
      </c>
      <c r="B903" s="16" t="s">
        <v>17</v>
      </c>
      <c r="C903" s="15">
        <v>7</v>
      </c>
      <c r="D903" s="17">
        <v>335447</v>
      </c>
      <c r="E903" s="17">
        <v>364861</v>
      </c>
      <c r="F903" s="17">
        <v>29414</v>
      </c>
      <c r="G903" s="18">
        <v>1.0876859831806516</v>
      </c>
      <c r="H903" s="10" t="str">
        <f t="shared" si="14"/>
        <v>COSTOS</v>
      </c>
      <c r="I903" s="19">
        <v>2025</v>
      </c>
    </row>
    <row r="904" spans="1:9" hidden="1" x14ac:dyDescent="0.3">
      <c r="A904" s="16" t="s">
        <v>56</v>
      </c>
      <c r="B904" s="16" t="s">
        <v>17</v>
      </c>
      <c r="C904" s="15">
        <v>8</v>
      </c>
      <c r="D904" s="17">
        <v>335447</v>
      </c>
      <c r="E904" s="17">
        <v>364861</v>
      </c>
      <c r="F904" s="17">
        <v>29414</v>
      </c>
      <c r="G904" s="18">
        <v>1.0876859831806516</v>
      </c>
      <c r="H904" s="10" t="str">
        <f t="shared" si="14"/>
        <v>COSTOS</v>
      </c>
      <c r="I904" s="19">
        <v>2025</v>
      </c>
    </row>
    <row r="905" spans="1:9" hidden="1" x14ac:dyDescent="0.3">
      <c r="A905" s="16" t="s">
        <v>56</v>
      </c>
      <c r="B905" s="16" t="s">
        <v>17</v>
      </c>
      <c r="C905" s="15">
        <v>9</v>
      </c>
      <c r="D905" s="17">
        <v>335447</v>
      </c>
      <c r="E905" s="17">
        <v>364861</v>
      </c>
      <c r="F905" s="17">
        <v>29414</v>
      </c>
      <c r="G905" s="18">
        <v>1.0876859831806516</v>
      </c>
      <c r="H905" s="10" t="str">
        <f t="shared" si="14"/>
        <v>COSTOS</v>
      </c>
      <c r="I905" s="19">
        <v>2025</v>
      </c>
    </row>
    <row r="906" spans="1:9" hidden="1" x14ac:dyDescent="0.3">
      <c r="A906" s="16" t="s">
        <v>56</v>
      </c>
      <c r="B906" s="16" t="s">
        <v>17</v>
      </c>
      <c r="C906" s="15">
        <v>10</v>
      </c>
      <c r="D906" s="17">
        <v>335447</v>
      </c>
      <c r="E906" s="17">
        <v>364861</v>
      </c>
      <c r="F906" s="17">
        <v>29414</v>
      </c>
      <c r="G906" s="18">
        <v>1.0876859831806516</v>
      </c>
      <c r="H906" s="10" t="str">
        <f t="shared" si="14"/>
        <v>COSTOS</v>
      </c>
      <c r="I906" s="19">
        <v>2025</v>
      </c>
    </row>
    <row r="907" spans="1:9" hidden="1" x14ac:dyDescent="0.3">
      <c r="A907" s="16" t="s">
        <v>56</v>
      </c>
      <c r="B907" s="16" t="s">
        <v>171</v>
      </c>
      <c r="C907" s="15">
        <v>1</v>
      </c>
      <c r="D907" s="17">
        <v>2174192</v>
      </c>
      <c r="E907" s="17">
        <v>280911</v>
      </c>
      <c r="F907" s="17">
        <v>-1893281</v>
      </c>
      <c r="G907" s="18">
        <v>0.12920248073767174</v>
      </c>
      <c r="H907" s="10" t="str">
        <f t="shared" si="14"/>
        <v>COSTOS</v>
      </c>
      <c r="I907" s="19">
        <v>2025</v>
      </c>
    </row>
    <row r="908" spans="1:9" hidden="1" x14ac:dyDescent="0.3">
      <c r="A908" s="16" t="s">
        <v>56</v>
      </c>
      <c r="B908" s="16" t="s">
        <v>171</v>
      </c>
      <c r="C908" s="15">
        <v>4</v>
      </c>
      <c r="D908" s="17">
        <v>0</v>
      </c>
      <c r="E908" s="17">
        <v>5666089</v>
      </c>
      <c r="F908" s="17">
        <v>5666089</v>
      </c>
      <c r="G908" s="18">
        <v>0</v>
      </c>
      <c r="H908" s="10" t="str">
        <f t="shared" si="14"/>
        <v>COSTOS</v>
      </c>
      <c r="I908" s="19">
        <v>2025</v>
      </c>
    </row>
    <row r="909" spans="1:9" hidden="1" x14ac:dyDescent="0.3">
      <c r="A909" s="16" t="s">
        <v>56</v>
      </c>
      <c r="B909" s="16" t="s">
        <v>171</v>
      </c>
      <c r="C909" s="15">
        <v>5</v>
      </c>
      <c r="D909" s="17">
        <v>273380</v>
      </c>
      <c r="E909" s="17">
        <v>276655</v>
      </c>
      <c r="F909" s="17">
        <v>3275</v>
      </c>
      <c r="G909" s="18">
        <v>1.0119796620089254</v>
      </c>
      <c r="H909" s="10" t="str">
        <f t="shared" si="14"/>
        <v>COSTOS</v>
      </c>
      <c r="I909" s="19">
        <v>2025</v>
      </c>
    </row>
    <row r="910" spans="1:9" hidden="1" x14ac:dyDescent="0.3">
      <c r="A910" s="16" t="s">
        <v>56</v>
      </c>
      <c r="B910" s="16" t="s">
        <v>171</v>
      </c>
      <c r="C910" s="15">
        <v>7</v>
      </c>
      <c r="D910" s="17">
        <v>3584428</v>
      </c>
      <c r="E910" s="17">
        <v>4231689</v>
      </c>
      <c r="F910" s="17">
        <v>647261</v>
      </c>
      <c r="G910" s="18">
        <v>1.1805758129330537</v>
      </c>
      <c r="H910" s="10" t="str">
        <f t="shared" si="14"/>
        <v>COSTOS</v>
      </c>
      <c r="I910" s="19">
        <v>2025</v>
      </c>
    </row>
    <row r="911" spans="1:9" hidden="1" x14ac:dyDescent="0.3">
      <c r="A911" s="16" t="s">
        <v>56</v>
      </c>
      <c r="B911" s="16" t="s">
        <v>171</v>
      </c>
      <c r="C911" s="15">
        <v>9</v>
      </c>
      <c r="D911" s="17">
        <v>1290869</v>
      </c>
      <c r="E911" s="17">
        <v>0</v>
      </c>
      <c r="F911" s="17">
        <v>-1290869</v>
      </c>
      <c r="G911" s="18">
        <v>0</v>
      </c>
      <c r="H911" s="10" t="str">
        <f t="shared" si="14"/>
        <v>COSTOS</v>
      </c>
      <c r="I911" s="19">
        <v>2025</v>
      </c>
    </row>
    <row r="912" spans="1:9" hidden="1" x14ac:dyDescent="0.3">
      <c r="A912" s="16" t="s">
        <v>56</v>
      </c>
      <c r="B912" s="16" t="s">
        <v>171</v>
      </c>
      <c r="C912" s="15">
        <v>10</v>
      </c>
      <c r="D912" s="17">
        <v>544082</v>
      </c>
      <c r="E912" s="17">
        <v>3865546</v>
      </c>
      <c r="F912" s="17">
        <v>3321464</v>
      </c>
      <c r="G912" s="18">
        <v>7.1047121573586338</v>
      </c>
      <c r="H912" s="10" t="str">
        <f t="shared" si="14"/>
        <v>COSTOS</v>
      </c>
      <c r="I912" s="19">
        <v>2025</v>
      </c>
    </row>
    <row r="913" spans="1:9" hidden="1" x14ac:dyDescent="0.3">
      <c r="A913" s="16" t="s">
        <v>56</v>
      </c>
      <c r="B913" s="16" t="s">
        <v>22</v>
      </c>
      <c r="C913" s="15">
        <v>8</v>
      </c>
      <c r="D913" s="17">
        <v>0</v>
      </c>
      <c r="E913" s="17">
        <v>36062090</v>
      </c>
      <c r="F913" s="17">
        <v>36062090</v>
      </c>
      <c r="G913" s="18">
        <v>0</v>
      </c>
      <c r="H913" s="10" t="str">
        <f t="shared" si="14"/>
        <v>COSTOS</v>
      </c>
      <c r="I913" s="19">
        <v>2025</v>
      </c>
    </row>
    <row r="914" spans="1:9" hidden="1" x14ac:dyDescent="0.3">
      <c r="A914" s="16" t="s">
        <v>56</v>
      </c>
      <c r="B914" s="16" t="s">
        <v>47</v>
      </c>
      <c r="C914" s="15">
        <v>6</v>
      </c>
      <c r="D914" s="17">
        <v>0</v>
      </c>
      <c r="E914" s="17">
        <v>2637834</v>
      </c>
      <c r="F914" s="17">
        <v>2637834</v>
      </c>
      <c r="G914" s="18">
        <v>0</v>
      </c>
      <c r="H914" s="10" t="str">
        <f t="shared" si="14"/>
        <v>COSTOS</v>
      </c>
      <c r="I914" s="19">
        <v>2025</v>
      </c>
    </row>
    <row r="915" spans="1:9" hidden="1" x14ac:dyDescent="0.3">
      <c r="A915" s="16" t="s">
        <v>56</v>
      </c>
      <c r="B915" s="16" t="s">
        <v>25</v>
      </c>
      <c r="C915" s="15">
        <v>1</v>
      </c>
      <c r="D915" s="17">
        <v>3554722</v>
      </c>
      <c r="E915" s="17">
        <v>3554722</v>
      </c>
      <c r="F915" s="17">
        <v>0</v>
      </c>
      <c r="G915" s="18">
        <v>1</v>
      </c>
      <c r="H915" s="10" t="str">
        <f t="shared" si="14"/>
        <v>COSTOS</v>
      </c>
      <c r="I915" s="19">
        <v>2025</v>
      </c>
    </row>
    <row r="916" spans="1:9" hidden="1" x14ac:dyDescent="0.3">
      <c r="A916" s="16" t="s">
        <v>56</v>
      </c>
      <c r="B916" s="16" t="s">
        <v>25</v>
      </c>
      <c r="C916" s="15">
        <v>2</v>
      </c>
      <c r="D916" s="17">
        <v>3554722</v>
      </c>
      <c r="E916" s="17">
        <v>3554722</v>
      </c>
      <c r="F916" s="17">
        <v>0</v>
      </c>
      <c r="G916" s="18">
        <v>1</v>
      </c>
      <c r="H916" s="10" t="str">
        <f t="shared" si="14"/>
        <v>COSTOS</v>
      </c>
      <c r="I916" s="19">
        <v>2025</v>
      </c>
    </row>
    <row r="917" spans="1:9" hidden="1" x14ac:dyDescent="0.3">
      <c r="A917" s="16" t="s">
        <v>56</v>
      </c>
      <c r="B917" s="16" t="s">
        <v>25</v>
      </c>
      <c r="C917" s="15">
        <v>3</v>
      </c>
      <c r="D917" s="17">
        <v>3554722</v>
      </c>
      <c r="E917" s="17">
        <v>3554722</v>
      </c>
      <c r="F917" s="17">
        <v>0</v>
      </c>
      <c r="G917" s="18">
        <v>1</v>
      </c>
      <c r="H917" s="10" t="str">
        <f t="shared" si="14"/>
        <v>COSTOS</v>
      </c>
      <c r="I917" s="19">
        <v>2025</v>
      </c>
    </row>
    <row r="918" spans="1:9" hidden="1" x14ac:dyDescent="0.3">
      <c r="A918" s="16" t="s">
        <v>56</v>
      </c>
      <c r="B918" s="16" t="s">
        <v>25</v>
      </c>
      <c r="C918" s="15">
        <v>4</v>
      </c>
      <c r="D918" s="17">
        <v>3554722</v>
      </c>
      <c r="E918" s="17">
        <v>3554722</v>
      </c>
      <c r="F918" s="17">
        <v>0</v>
      </c>
      <c r="G918" s="18">
        <v>1</v>
      </c>
      <c r="H918" s="10" t="str">
        <f t="shared" si="14"/>
        <v>COSTOS</v>
      </c>
      <c r="I918" s="19">
        <v>2025</v>
      </c>
    </row>
    <row r="919" spans="1:9" hidden="1" x14ac:dyDescent="0.3">
      <c r="A919" s="16" t="s">
        <v>56</v>
      </c>
      <c r="B919" s="16" t="s">
        <v>25</v>
      </c>
      <c r="C919" s="15">
        <v>5</v>
      </c>
      <c r="D919" s="17">
        <v>3554722</v>
      </c>
      <c r="E919" s="17">
        <v>3554722</v>
      </c>
      <c r="F919" s="17">
        <v>0</v>
      </c>
      <c r="G919" s="18">
        <v>1</v>
      </c>
      <c r="H919" s="10" t="str">
        <f t="shared" si="14"/>
        <v>COSTOS</v>
      </c>
      <c r="I919" s="19">
        <v>2025</v>
      </c>
    </row>
    <row r="920" spans="1:9" hidden="1" x14ac:dyDescent="0.3">
      <c r="A920" s="16" t="s">
        <v>56</v>
      </c>
      <c r="B920" s="16" t="s">
        <v>25</v>
      </c>
      <c r="C920" s="15">
        <v>6</v>
      </c>
      <c r="D920" s="17">
        <v>3554722</v>
      </c>
      <c r="E920" s="17">
        <v>3554722</v>
      </c>
      <c r="F920" s="17">
        <v>0</v>
      </c>
      <c r="G920" s="18">
        <v>1</v>
      </c>
      <c r="H920" s="10" t="str">
        <f t="shared" si="14"/>
        <v>COSTOS</v>
      </c>
      <c r="I920" s="19">
        <v>2025</v>
      </c>
    </row>
    <row r="921" spans="1:9" hidden="1" x14ac:dyDescent="0.3">
      <c r="A921" s="16" t="s">
        <v>56</v>
      </c>
      <c r="B921" s="16" t="s">
        <v>25</v>
      </c>
      <c r="C921" s="15">
        <v>7</v>
      </c>
      <c r="D921" s="17">
        <v>3554722</v>
      </c>
      <c r="E921" s="17">
        <v>3554722</v>
      </c>
      <c r="F921" s="17">
        <v>0</v>
      </c>
      <c r="G921" s="18">
        <v>1</v>
      </c>
      <c r="H921" s="10" t="str">
        <f t="shared" si="14"/>
        <v>COSTOS</v>
      </c>
      <c r="I921" s="19">
        <v>2025</v>
      </c>
    </row>
    <row r="922" spans="1:9" hidden="1" x14ac:dyDescent="0.3">
      <c r="A922" s="16" t="s">
        <v>56</v>
      </c>
      <c r="B922" s="16" t="s">
        <v>25</v>
      </c>
      <c r="C922" s="15">
        <v>8</v>
      </c>
      <c r="D922" s="17">
        <v>3554722</v>
      </c>
      <c r="E922" s="17">
        <v>3554722</v>
      </c>
      <c r="F922" s="17">
        <v>0</v>
      </c>
      <c r="G922" s="18">
        <v>1</v>
      </c>
      <c r="H922" s="10" t="str">
        <f t="shared" si="14"/>
        <v>COSTOS</v>
      </c>
      <c r="I922" s="19">
        <v>2025</v>
      </c>
    </row>
    <row r="923" spans="1:9" hidden="1" x14ac:dyDescent="0.3">
      <c r="A923" s="16" t="s">
        <v>56</v>
      </c>
      <c r="B923" s="16" t="s">
        <v>25</v>
      </c>
      <c r="C923" s="15">
        <v>9</v>
      </c>
      <c r="D923" s="17">
        <v>3554722</v>
      </c>
      <c r="E923" s="17">
        <v>3554722</v>
      </c>
      <c r="F923" s="17">
        <v>0</v>
      </c>
      <c r="G923" s="18">
        <v>1</v>
      </c>
      <c r="H923" s="10" t="str">
        <f t="shared" si="14"/>
        <v>COSTOS</v>
      </c>
      <c r="I923" s="19">
        <v>2025</v>
      </c>
    </row>
    <row r="924" spans="1:9" hidden="1" x14ac:dyDescent="0.3">
      <c r="A924" s="16" t="s">
        <v>56</v>
      </c>
      <c r="B924" s="16" t="s">
        <v>25</v>
      </c>
      <c r="C924" s="15">
        <v>10</v>
      </c>
      <c r="D924" s="17">
        <v>3554722</v>
      </c>
      <c r="E924" s="17">
        <v>3554722</v>
      </c>
      <c r="F924" s="17">
        <v>0</v>
      </c>
      <c r="G924" s="18">
        <v>1</v>
      </c>
      <c r="H924" s="10" t="str">
        <f t="shared" si="14"/>
        <v>COSTOS</v>
      </c>
      <c r="I924" s="19">
        <v>2025</v>
      </c>
    </row>
    <row r="925" spans="1:9" hidden="1" x14ac:dyDescent="0.3">
      <c r="A925" s="16" t="s">
        <v>56</v>
      </c>
      <c r="B925" s="16" t="s">
        <v>26</v>
      </c>
      <c r="C925" s="15">
        <v>1</v>
      </c>
      <c r="D925" s="17">
        <v>0</v>
      </c>
      <c r="E925" s="17">
        <v>98000</v>
      </c>
      <c r="F925" s="17">
        <v>98000</v>
      </c>
      <c r="G925" s="18">
        <v>0</v>
      </c>
      <c r="H925" s="10" t="str">
        <f t="shared" si="14"/>
        <v>COSTOS</v>
      </c>
      <c r="I925" s="19">
        <v>2025</v>
      </c>
    </row>
    <row r="926" spans="1:9" hidden="1" x14ac:dyDescent="0.3">
      <c r="A926" s="16" t="s">
        <v>56</v>
      </c>
      <c r="B926" s="16" t="s">
        <v>29</v>
      </c>
      <c r="C926" s="15">
        <v>2</v>
      </c>
      <c r="D926" s="17">
        <v>86158</v>
      </c>
      <c r="E926" s="17">
        <v>0</v>
      </c>
      <c r="F926" s="17">
        <v>-86158</v>
      </c>
      <c r="G926" s="18">
        <v>0</v>
      </c>
      <c r="H926" s="10" t="str">
        <f t="shared" si="14"/>
        <v>COSTOS</v>
      </c>
      <c r="I926" s="19">
        <v>2025</v>
      </c>
    </row>
    <row r="927" spans="1:9" hidden="1" x14ac:dyDescent="0.3">
      <c r="A927" s="16" t="s">
        <v>56</v>
      </c>
      <c r="B927" s="16" t="s">
        <v>29</v>
      </c>
      <c r="C927" s="15">
        <v>8</v>
      </c>
      <c r="D927" s="17">
        <v>199042</v>
      </c>
      <c r="E927" s="17">
        <v>0</v>
      </c>
      <c r="F927" s="17">
        <v>-199042</v>
      </c>
      <c r="G927" s="18">
        <v>0</v>
      </c>
      <c r="H927" s="10" t="str">
        <f t="shared" si="14"/>
        <v>COSTOS</v>
      </c>
      <c r="I927" s="19">
        <v>2025</v>
      </c>
    </row>
    <row r="928" spans="1:9" hidden="1" x14ac:dyDescent="0.3">
      <c r="A928" s="16" t="s">
        <v>56</v>
      </c>
      <c r="B928" s="16" t="s">
        <v>57</v>
      </c>
      <c r="C928" s="15">
        <v>11</v>
      </c>
      <c r="D928" s="17">
        <v>1977680</v>
      </c>
      <c r="E928" s="17">
        <v>0</v>
      </c>
      <c r="F928" s="17">
        <v>-1977680</v>
      </c>
      <c r="G928" s="18">
        <v>0</v>
      </c>
      <c r="H928" s="10" t="str">
        <f t="shared" si="14"/>
        <v>COSTOS</v>
      </c>
      <c r="I928" s="19">
        <v>2025</v>
      </c>
    </row>
    <row r="929" spans="1:9" hidden="1" x14ac:dyDescent="0.3">
      <c r="A929" s="16" t="s">
        <v>56</v>
      </c>
      <c r="B929" s="16" t="s">
        <v>12</v>
      </c>
      <c r="C929" s="15">
        <v>11</v>
      </c>
      <c r="D929" s="17">
        <v>0</v>
      </c>
      <c r="E929" s="17">
        <v>17191175</v>
      </c>
      <c r="F929" s="17">
        <v>17191175</v>
      </c>
      <c r="G929" s="18">
        <v>0</v>
      </c>
      <c r="H929" s="10" t="str">
        <f t="shared" si="14"/>
        <v>COSTOS</v>
      </c>
      <c r="I929" s="19">
        <v>2025</v>
      </c>
    </row>
    <row r="930" spans="1:9" hidden="1" x14ac:dyDescent="0.3">
      <c r="A930" s="16" t="s">
        <v>56</v>
      </c>
      <c r="B930" s="16" t="s">
        <v>13</v>
      </c>
      <c r="C930" s="15">
        <v>11</v>
      </c>
      <c r="D930" s="17">
        <v>312338</v>
      </c>
      <c r="E930" s="17">
        <v>542700</v>
      </c>
      <c r="F930" s="17">
        <v>230362</v>
      </c>
      <c r="G930" s="18">
        <v>1.7375407411201969</v>
      </c>
      <c r="H930" s="10" t="str">
        <f t="shared" si="14"/>
        <v>COSTOS</v>
      </c>
      <c r="I930" s="19">
        <v>2025</v>
      </c>
    </row>
    <row r="931" spans="1:9" hidden="1" x14ac:dyDescent="0.3">
      <c r="A931" s="16" t="s">
        <v>56</v>
      </c>
      <c r="B931" s="16" t="s">
        <v>102</v>
      </c>
      <c r="C931" s="15">
        <v>11</v>
      </c>
      <c r="D931" s="17">
        <v>20383178</v>
      </c>
      <c r="E931" s="17">
        <v>19438483</v>
      </c>
      <c r="F931" s="17">
        <v>-944695</v>
      </c>
      <c r="G931" s="18">
        <v>0.95365320363684214</v>
      </c>
      <c r="H931" s="10" t="str">
        <f t="shared" si="14"/>
        <v>COSTOS</v>
      </c>
      <c r="I931" s="19">
        <v>2025</v>
      </c>
    </row>
    <row r="932" spans="1:9" hidden="1" x14ac:dyDescent="0.3">
      <c r="A932" s="16" t="s">
        <v>56</v>
      </c>
      <c r="B932" s="16" t="s">
        <v>16</v>
      </c>
      <c r="C932" s="15">
        <v>11</v>
      </c>
      <c r="D932" s="17">
        <v>0</v>
      </c>
      <c r="E932" s="17">
        <v>112600</v>
      </c>
      <c r="F932" s="17">
        <v>112600</v>
      </c>
      <c r="G932" s="18">
        <v>0</v>
      </c>
      <c r="H932" s="10" t="str">
        <f t="shared" si="14"/>
        <v>COSTOS</v>
      </c>
      <c r="I932" s="19">
        <v>2025</v>
      </c>
    </row>
    <row r="933" spans="1:9" hidden="1" x14ac:dyDescent="0.3">
      <c r="A933" s="16" t="s">
        <v>56</v>
      </c>
      <c r="B933" s="16" t="s">
        <v>17</v>
      </c>
      <c r="C933" s="15">
        <v>11</v>
      </c>
      <c r="D933" s="17">
        <v>335447</v>
      </c>
      <c r="E933" s="17">
        <v>364861</v>
      </c>
      <c r="F933" s="17">
        <v>29414</v>
      </c>
      <c r="G933" s="18">
        <v>1.0876859831806516</v>
      </c>
      <c r="H933" s="10" t="str">
        <f t="shared" si="14"/>
        <v>COSTOS</v>
      </c>
      <c r="I933" s="19">
        <v>2025</v>
      </c>
    </row>
    <row r="934" spans="1:9" hidden="1" x14ac:dyDescent="0.3">
      <c r="A934" s="16" t="s">
        <v>56</v>
      </c>
      <c r="B934" s="16" t="s">
        <v>171</v>
      </c>
      <c r="C934" s="15">
        <v>11</v>
      </c>
      <c r="D934" s="17">
        <v>3936601</v>
      </c>
      <c r="E934" s="17">
        <v>14587538</v>
      </c>
      <c r="F934" s="17">
        <v>10650937</v>
      </c>
      <c r="G934" s="18">
        <v>3.7056176127578082</v>
      </c>
      <c r="H934" s="10" t="str">
        <f t="shared" si="14"/>
        <v>COSTOS</v>
      </c>
      <c r="I934" s="19">
        <v>2025</v>
      </c>
    </row>
    <row r="935" spans="1:9" hidden="1" x14ac:dyDescent="0.3">
      <c r="A935" s="16" t="s">
        <v>56</v>
      </c>
      <c r="B935" s="16" t="s">
        <v>25</v>
      </c>
      <c r="C935" s="15">
        <v>11</v>
      </c>
      <c r="D935" s="17">
        <v>3554722</v>
      </c>
      <c r="E935" s="17">
        <v>3554722</v>
      </c>
      <c r="F935" s="17">
        <v>0</v>
      </c>
      <c r="G935" s="18">
        <v>1</v>
      </c>
      <c r="H935" s="10" t="str">
        <f t="shared" si="14"/>
        <v>COSTOS</v>
      </c>
      <c r="I935" s="19">
        <v>2025</v>
      </c>
    </row>
    <row r="936" spans="1:9" hidden="1" x14ac:dyDescent="0.3">
      <c r="A936" s="16" t="s">
        <v>56</v>
      </c>
      <c r="B936" s="16" t="s">
        <v>29</v>
      </c>
      <c r="C936" s="15">
        <v>11</v>
      </c>
      <c r="D936" s="17">
        <v>651082</v>
      </c>
      <c r="E936" s="17">
        <v>0</v>
      </c>
      <c r="F936" s="17">
        <v>-651082</v>
      </c>
      <c r="G936" s="18">
        <v>0</v>
      </c>
      <c r="H936" s="10" t="str">
        <f t="shared" si="14"/>
        <v>COSTOS</v>
      </c>
      <c r="I936" s="19">
        <v>2025</v>
      </c>
    </row>
    <row r="937" spans="1:9" hidden="1" x14ac:dyDescent="0.3">
      <c r="A937" s="16" t="s">
        <v>56</v>
      </c>
      <c r="B937" s="16" t="s">
        <v>149</v>
      </c>
      <c r="C937" s="15">
        <v>12</v>
      </c>
      <c r="D937" s="17">
        <v>291148</v>
      </c>
      <c r="E937" s="17">
        <v>0</v>
      </c>
      <c r="F937" s="17">
        <v>-291148</v>
      </c>
      <c r="G937" s="18">
        <v>0</v>
      </c>
      <c r="H937" s="10" t="str">
        <f t="shared" si="14"/>
        <v>COSTOS</v>
      </c>
      <c r="I937" s="19">
        <v>2025</v>
      </c>
    </row>
    <row r="938" spans="1:9" hidden="1" x14ac:dyDescent="0.3">
      <c r="A938" s="16" t="s">
        <v>56</v>
      </c>
      <c r="B938" s="16" t="s">
        <v>234</v>
      </c>
      <c r="C938" s="15">
        <v>12</v>
      </c>
      <c r="D938" s="17">
        <v>1971327</v>
      </c>
      <c r="E938" s="17">
        <v>2002593</v>
      </c>
      <c r="F938" s="17">
        <v>31266</v>
      </c>
      <c r="G938" s="18">
        <v>1.0158603823718744</v>
      </c>
      <c r="H938" s="10" t="str">
        <f t="shared" si="14"/>
        <v>COSTOS</v>
      </c>
      <c r="I938" s="19">
        <v>2025</v>
      </c>
    </row>
    <row r="939" spans="1:9" hidden="1" x14ac:dyDescent="0.3">
      <c r="A939" s="16" t="s">
        <v>56</v>
      </c>
      <c r="B939" s="16" t="s">
        <v>57</v>
      </c>
      <c r="C939" s="15">
        <v>12</v>
      </c>
      <c r="D939" s="17">
        <v>1893520</v>
      </c>
      <c r="E939" s="17">
        <v>0</v>
      </c>
      <c r="F939" s="17">
        <v>-1893520</v>
      </c>
      <c r="G939" s="18">
        <v>0</v>
      </c>
      <c r="H939" s="10" t="str">
        <f t="shared" si="14"/>
        <v>COSTOS</v>
      </c>
      <c r="I939" s="19">
        <v>2025</v>
      </c>
    </row>
    <row r="940" spans="1:9" hidden="1" x14ac:dyDescent="0.3">
      <c r="A940" s="16" t="s">
        <v>56</v>
      </c>
      <c r="B940" s="16" t="s">
        <v>12</v>
      </c>
      <c r="C940" s="15">
        <v>12</v>
      </c>
      <c r="D940" s="17">
        <v>0</v>
      </c>
      <c r="E940" s="17">
        <v>257392</v>
      </c>
      <c r="F940" s="17">
        <v>257392</v>
      </c>
      <c r="G940" s="18">
        <v>0</v>
      </c>
      <c r="H940" s="10" t="str">
        <f t="shared" si="14"/>
        <v>COSTOS</v>
      </c>
      <c r="I940" s="19">
        <v>2025</v>
      </c>
    </row>
    <row r="941" spans="1:9" hidden="1" x14ac:dyDescent="0.3">
      <c r="A941" s="16" t="s">
        <v>56</v>
      </c>
      <c r="B941" s="16" t="s">
        <v>102</v>
      </c>
      <c r="C941" s="15">
        <v>12</v>
      </c>
      <c r="D941" s="17">
        <v>40925652</v>
      </c>
      <c r="E941" s="17">
        <v>40051866</v>
      </c>
      <c r="F941" s="17">
        <v>-873786</v>
      </c>
      <c r="G941" s="18">
        <v>0.97864942994677284</v>
      </c>
      <c r="H941" s="10" t="str">
        <f t="shared" si="14"/>
        <v>COSTOS</v>
      </c>
      <c r="I941" s="19">
        <v>2025</v>
      </c>
    </row>
    <row r="942" spans="1:9" hidden="1" x14ac:dyDescent="0.3">
      <c r="A942" s="16" t="s">
        <v>56</v>
      </c>
      <c r="B942" s="16" t="s">
        <v>235</v>
      </c>
      <c r="C942" s="15">
        <v>12</v>
      </c>
      <c r="D942" s="17">
        <v>0</v>
      </c>
      <c r="E942" s="17">
        <v>809258828</v>
      </c>
      <c r="F942" s="17">
        <v>809258828</v>
      </c>
      <c r="G942" s="18">
        <v>0</v>
      </c>
      <c r="H942" s="10" t="str">
        <f t="shared" si="14"/>
        <v>COSTOS</v>
      </c>
      <c r="I942" s="19">
        <v>2025</v>
      </c>
    </row>
    <row r="943" spans="1:9" hidden="1" x14ac:dyDescent="0.3">
      <c r="A943" s="16" t="s">
        <v>56</v>
      </c>
      <c r="B943" s="16" t="s">
        <v>17</v>
      </c>
      <c r="C943" s="15">
        <v>12</v>
      </c>
      <c r="D943" s="17">
        <v>335447</v>
      </c>
      <c r="E943" s="17">
        <v>372256</v>
      </c>
      <c r="F943" s="17">
        <v>36809</v>
      </c>
      <c r="G943" s="18">
        <v>1.1097311944957027</v>
      </c>
      <c r="H943" s="10" t="str">
        <f t="shared" si="14"/>
        <v>COSTOS</v>
      </c>
      <c r="I943" s="19">
        <v>2025</v>
      </c>
    </row>
    <row r="944" spans="1:9" hidden="1" x14ac:dyDescent="0.3">
      <c r="A944" s="16" t="s">
        <v>56</v>
      </c>
      <c r="B944" s="16" t="s">
        <v>171</v>
      </c>
      <c r="C944" s="15">
        <v>12</v>
      </c>
      <c r="D944" s="17">
        <v>3123318</v>
      </c>
      <c r="E944" s="17">
        <v>302465</v>
      </c>
      <c r="F944" s="17">
        <v>-2820853</v>
      </c>
      <c r="G944" s="18">
        <v>9.6840923658750092E-2</v>
      </c>
      <c r="H944" s="10" t="str">
        <f t="shared" si="14"/>
        <v>COSTOS</v>
      </c>
      <c r="I944" s="19">
        <v>2025</v>
      </c>
    </row>
    <row r="945" spans="1:9" hidden="1" x14ac:dyDescent="0.3">
      <c r="A945" s="16" t="s">
        <v>56</v>
      </c>
      <c r="B945" s="16" t="s">
        <v>25</v>
      </c>
      <c r="C945" s="15">
        <v>12</v>
      </c>
      <c r="D945" s="17">
        <v>3554722</v>
      </c>
      <c r="E945" s="17">
        <v>3554722</v>
      </c>
      <c r="F945" s="17">
        <v>0</v>
      </c>
      <c r="G945" s="18">
        <v>1</v>
      </c>
      <c r="H945" s="10" t="str">
        <f t="shared" si="14"/>
        <v>COSTOS</v>
      </c>
      <c r="I945" s="19">
        <v>2025</v>
      </c>
    </row>
    <row r="946" spans="1:9" hidden="1" x14ac:dyDescent="0.3">
      <c r="A946" s="16" t="s">
        <v>56</v>
      </c>
      <c r="B946" s="16" t="s">
        <v>29</v>
      </c>
      <c r="C946" s="15">
        <v>12</v>
      </c>
      <c r="D946" s="17">
        <v>0</v>
      </c>
      <c r="E946" s="17">
        <v>1609154</v>
      </c>
      <c r="F946" s="17">
        <v>1609154</v>
      </c>
      <c r="G946" s="18">
        <v>0</v>
      </c>
      <c r="H946" s="10" t="str">
        <f t="shared" si="14"/>
        <v>COSTOS</v>
      </c>
      <c r="I946" s="19">
        <v>2025</v>
      </c>
    </row>
    <row r="947" spans="1:9" hidden="1" x14ac:dyDescent="0.3">
      <c r="A947" s="16" t="s">
        <v>155</v>
      </c>
      <c r="B947" s="16" t="s">
        <v>236</v>
      </c>
      <c r="C947" s="15">
        <v>12</v>
      </c>
      <c r="D947" s="17">
        <v>0</v>
      </c>
      <c r="E947" s="17">
        <v>47144162</v>
      </c>
      <c r="F947" s="17">
        <v>47144162</v>
      </c>
      <c r="G947" s="18">
        <v>0</v>
      </c>
      <c r="H947" s="10" t="str">
        <f t="shared" si="14"/>
        <v>GASTOS</v>
      </c>
      <c r="I947" s="19">
        <v>2025</v>
      </c>
    </row>
    <row r="948" spans="1:9" hidden="1" x14ac:dyDescent="0.3">
      <c r="A948" s="16" t="s">
        <v>155</v>
      </c>
      <c r="B948" s="16" t="s">
        <v>35</v>
      </c>
      <c r="C948" s="15">
        <v>12</v>
      </c>
      <c r="D948" s="17">
        <v>0</v>
      </c>
      <c r="E948" s="17">
        <v>48057</v>
      </c>
      <c r="F948" s="17">
        <v>48057</v>
      </c>
      <c r="G948" s="18">
        <v>0</v>
      </c>
      <c r="H948" s="10" t="str">
        <f t="shared" si="14"/>
        <v>GASTOS</v>
      </c>
      <c r="I948" s="19">
        <v>2025</v>
      </c>
    </row>
    <row r="949" spans="1:9" hidden="1" x14ac:dyDescent="0.3">
      <c r="A949" s="16" t="s">
        <v>103</v>
      </c>
      <c r="B949" s="16" t="s">
        <v>94</v>
      </c>
      <c r="C949" s="15">
        <v>1</v>
      </c>
      <c r="D949" s="17">
        <v>95714</v>
      </c>
      <c r="E949" s="17">
        <v>50306</v>
      </c>
      <c r="F949" s="17">
        <v>-45408</v>
      </c>
      <c r="G949" s="18">
        <v>0.52558664354221951</v>
      </c>
      <c r="H949" s="10" t="str">
        <f t="shared" si="14"/>
        <v>COSTOS</v>
      </c>
      <c r="I949" s="19">
        <v>2025</v>
      </c>
    </row>
    <row r="950" spans="1:9" hidden="1" x14ac:dyDescent="0.3">
      <c r="A950" s="16" t="s">
        <v>103</v>
      </c>
      <c r="B950" s="16" t="s">
        <v>94</v>
      </c>
      <c r="C950" s="15">
        <v>2</v>
      </c>
      <c r="D950" s="17">
        <v>47711</v>
      </c>
      <c r="E950" s="17">
        <v>47943</v>
      </c>
      <c r="F950" s="17">
        <v>232</v>
      </c>
      <c r="G950" s="18">
        <v>1.0048626102995117</v>
      </c>
      <c r="H950" s="10" t="str">
        <f t="shared" si="14"/>
        <v>COSTOS</v>
      </c>
      <c r="I950" s="19">
        <v>2025</v>
      </c>
    </row>
    <row r="951" spans="1:9" hidden="1" x14ac:dyDescent="0.3">
      <c r="A951" s="16" t="s">
        <v>103</v>
      </c>
      <c r="B951" s="16" t="s">
        <v>94</v>
      </c>
      <c r="C951" s="15">
        <v>3</v>
      </c>
      <c r="D951" s="17">
        <v>47498</v>
      </c>
      <c r="E951" s="17">
        <v>48070</v>
      </c>
      <c r="F951" s="17">
        <v>572</v>
      </c>
      <c r="G951" s="18">
        <v>1.0120426123205188</v>
      </c>
      <c r="H951" s="10" t="str">
        <f t="shared" si="14"/>
        <v>COSTOS</v>
      </c>
      <c r="I951" s="19">
        <v>2025</v>
      </c>
    </row>
    <row r="952" spans="1:9" hidden="1" x14ac:dyDescent="0.3">
      <c r="A952" s="16" t="s">
        <v>103</v>
      </c>
      <c r="B952" s="16" t="s">
        <v>94</v>
      </c>
      <c r="C952" s="15">
        <v>4</v>
      </c>
      <c r="D952" s="17">
        <v>47379</v>
      </c>
      <c r="E952" s="17">
        <v>76187</v>
      </c>
      <c r="F952" s="17">
        <v>28808</v>
      </c>
      <c r="G952" s="18">
        <v>1.6080330948310433</v>
      </c>
      <c r="H952" s="10" t="str">
        <f t="shared" si="14"/>
        <v>COSTOS</v>
      </c>
      <c r="I952" s="19">
        <v>2025</v>
      </c>
    </row>
    <row r="953" spans="1:9" hidden="1" x14ac:dyDescent="0.3">
      <c r="A953" s="16" t="s">
        <v>103</v>
      </c>
      <c r="B953" s="16" t="s">
        <v>94</v>
      </c>
      <c r="C953" s="15">
        <v>5</v>
      </c>
      <c r="D953" s="17">
        <v>47042</v>
      </c>
      <c r="E953" s="17">
        <v>74291</v>
      </c>
      <c r="F953" s="17">
        <v>27249</v>
      </c>
      <c r="G953" s="18">
        <v>1.579248331278432</v>
      </c>
      <c r="H953" s="10" t="str">
        <f t="shared" si="14"/>
        <v>COSTOS</v>
      </c>
      <c r="I953" s="19">
        <v>2025</v>
      </c>
    </row>
    <row r="954" spans="1:9" hidden="1" x14ac:dyDescent="0.3">
      <c r="A954" s="16" t="s">
        <v>103</v>
      </c>
      <c r="B954" s="16" t="s">
        <v>94</v>
      </c>
      <c r="C954" s="15">
        <v>6</v>
      </c>
      <c r="D954" s="17">
        <v>44428</v>
      </c>
      <c r="E954" s="17">
        <v>76058</v>
      </c>
      <c r="F954" s="17">
        <v>31630</v>
      </c>
      <c r="G954" s="18">
        <v>1.7119384172143692</v>
      </c>
      <c r="H954" s="10" t="str">
        <f t="shared" si="14"/>
        <v>COSTOS</v>
      </c>
      <c r="I954" s="19">
        <v>2025</v>
      </c>
    </row>
    <row r="955" spans="1:9" hidden="1" x14ac:dyDescent="0.3">
      <c r="A955" s="16" t="s">
        <v>103</v>
      </c>
      <c r="B955" s="16" t="s">
        <v>94</v>
      </c>
      <c r="C955" s="15">
        <v>7</v>
      </c>
      <c r="D955" s="17">
        <v>49981</v>
      </c>
      <c r="E955" s="17">
        <v>73581</v>
      </c>
      <c r="F955" s="17">
        <v>23600</v>
      </c>
      <c r="G955" s="18">
        <v>1.4721794281827094</v>
      </c>
      <c r="H955" s="10" t="str">
        <f t="shared" si="14"/>
        <v>COSTOS</v>
      </c>
      <c r="I955" s="19">
        <v>2025</v>
      </c>
    </row>
    <row r="956" spans="1:9" hidden="1" x14ac:dyDescent="0.3">
      <c r="A956" s="16" t="s">
        <v>103</v>
      </c>
      <c r="B956" s="16" t="s">
        <v>94</v>
      </c>
      <c r="C956" s="15">
        <v>8</v>
      </c>
      <c r="D956" s="17">
        <v>50958</v>
      </c>
      <c r="E956" s="17">
        <v>74289</v>
      </c>
      <c r="F956" s="17">
        <v>23331</v>
      </c>
      <c r="G956" s="18">
        <v>1.457847639232309</v>
      </c>
      <c r="H956" s="10" t="str">
        <f t="shared" si="14"/>
        <v>COSTOS</v>
      </c>
      <c r="I956" s="19">
        <v>2025</v>
      </c>
    </row>
    <row r="957" spans="1:9" hidden="1" x14ac:dyDescent="0.3">
      <c r="A957" s="16" t="s">
        <v>103</v>
      </c>
      <c r="B957" s="16" t="s">
        <v>94</v>
      </c>
      <c r="C957" s="15">
        <v>9</v>
      </c>
      <c r="D957" s="17">
        <v>51567</v>
      </c>
      <c r="E957" s="17">
        <v>71606</v>
      </c>
      <c r="F957" s="17">
        <v>20039</v>
      </c>
      <c r="G957" s="18">
        <v>1.3886012372253573</v>
      </c>
      <c r="H957" s="10" t="str">
        <f t="shared" si="14"/>
        <v>COSTOS</v>
      </c>
      <c r="I957" s="19">
        <v>2025</v>
      </c>
    </row>
    <row r="958" spans="1:9" hidden="1" x14ac:dyDescent="0.3">
      <c r="A958" s="16" t="s">
        <v>103</v>
      </c>
      <c r="B958" s="16" t="s">
        <v>94</v>
      </c>
      <c r="C958" s="15">
        <v>10</v>
      </c>
      <c r="D958" s="17">
        <v>51543</v>
      </c>
      <c r="E958" s="17">
        <v>71389</v>
      </c>
      <c r="F958" s="17">
        <v>19846</v>
      </c>
      <c r="G958" s="18">
        <v>1.3850377354829948</v>
      </c>
      <c r="H958" s="10" t="str">
        <f t="shared" si="14"/>
        <v>COSTOS</v>
      </c>
      <c r="I958" s="19">
        <v>2025</v>
      </c>
    </row>
    <row r="959" spans="1:9" hidden="1" x14ac:dyDescent="0.3">
      <c r="A959" s="16" t="s">
        <v>103</v>
      </c>
      <c r="B959" s="16" t="s">
        <v>94</v>
      </c>
      <c r="C959" s="15">
        <v>11</v>
      </c>
      <c r="D959" s="17">
        <v>79400</v>
      </c>
      <c r="E959" s="17">
        <v>69685</v>
      </c>
      <c r="F959" s="17">
        <v>-9715</v>
      </c>
      <c r="G959" s="18">
        <v>0.87764483627204037</v>
      </c>
      <c r="H959" s="10" t="str">
        <f t="shared" si="14"/>
        <v>COSTOS</v>
      </c>
      <c r="I959" s="19">
        <v>2025</v>
      </c>
    </row>
    <row r="960" spans="1:9" hidden="1" x14ac:dyDescent="0.3">
      <c r="A960" s="16" t="s">
        <v>103</v>
      </c>
      <c r="B960" s="16" t="s">
        <v>94</v>
      </c>
      <c r="C960" s="15">
        <v>12</v>
      </c>
      <c r="D960" s="17">
        <v>53419</v>
      </c>
      <c r="E960" s="17">
        <v>70325</v>
      </c>
      <c r="F960" s="17">
        <v>16906</v>
      </c>
      <c r="G960" s="18">
        <v>1.3164791553567083</v>
      </c>
      <c r="H960" s="10" t="str">
        <f t="shared" si="14"/>
        <v>COSTOS</v>
      </c>
      <c r="I960" s="19">
        <v>2025</v>
      </c>
    </row>
    <row r="961" spans="1:9" hidden="1" x14ac:dyDescent="0.3">
      <c r="A961" s="16" t="s">
        <v>104</v>
      </c>
      <c r="B961" s="16" t="s">
        <v>14</v>
      </c>
      <c r="C961" s="15">
        <v>2</v>
      </c>
      <c r="D961" s="17">
        <v>0</v>
      </c>
      <c r="E961" s="17">
        <v>6000</v>
      </c>
      <c r="F961" s="17">
        <v>6000</v>
      </c>
      <c r="G961" s="18">
        <v>0</v>
      </c>
      <c r="H961" s="10" t="str">
        <f t="shared" si="14"/>
        <v>COSTOS</v>
      </c>
      <c r="I961" s="19">
        <v>2025</v>
      </c>
    </row>
    <row r="962" spans="1:9" hidden="1" x14ac:dyDescent="0.3">
      <c r="A962" s="16" t="s">
        <v>104</v>
      </c>
      <c r="B962" s="16" t="s">
        <v>14</v>
      </c>
      <c r="C962" s="15">
        <v>3</v>
      </c>
      <c r="D962" s="17">
        <v>34844.9</v>
      </c>
      <c r="E962" s="17">
        <v>0</v>
      </c>
      <c r="F962" s="17">
        <v>-34844.9</v>
      </c>
      <c r="G962" s="18">
        <v>0</v>
      </c>
      <c r="H962" s="10" t="str">
        <f t="shared" si="14"/>
        <v>COSTOS</v>
      </c>
      <c r="I962" s="19">
        <v>2025</v>
      </c>
    </row>
    <row r="963" spans="1:9" hidden="1" x14ac:dyDescent="0.3">
      <c r="A963" s="16" t="s">
        <v>104</v>
      </c>
      <c r="B963" s="16" t="s">
        <v>14</v>
      </c>
      <c r="C963" s="15">
        <v>4</v>
      </c>
      <c r="D963" s="17">
        <v>22844.9</v>
      </c>
      <c r="E963" s="17">
        <v>0</v>
      </c>
      <c r="F963" s="17">
        <v>-22844.9</v>
      </c>
      <c r="G963" s="18">
        <v>0</v>
      </c>
      <c r="H963" s="10" t="str">
        <f t="shared" ref="H963:H1026" si="15">+IF(OR(A963="ADMINISTRACION",A963="COMERCIAL",A963="COMERCIAL-EXPORTACIONES",A963="LEASING DE LA BODEGA",A963="LOGISTICA-SALIDA",A963="OTROS GASTOS",A963="BODEGA ALQUILADA", A963="BODEGA CARTOPLAST", A963="BODEGA CARTOPLAS", A963= "GESTION HUMANA-OTROS GASTOS"),"GASTOS","COSTOS")</f>
        <v>COSTOS</v>
      </c>
      <c r="I963" s="19">
        <v>2025</v>
      </c>
    </row>
    <row r="964" spans="1:9" hidden="1" x14ac:dyDescent="0.3">
      <c r="A964" s="16" t="s">
        <v>104</v>
      </c>
      <c r="B964" s="16" t="s">
        <v>14</v>
      </c>
      <c r="C964" s="15">
        <v>5</v>
      </c>
      <c r="D964" s="17">
        <v>22844.9</v>
      </c>
      <c r="E964" s="17">
        <v>0</v>
      </c>
      <c r="F964" s="17">
        <v>-22844.9</v>
      </c>
      <c r="G964" s="18">
        <v>0</v>
      </c>
      <c r="H964" s="10" t="str">
        <f t="shared" si="15"/>
        <v>COSTOS</v>
      </c>
      <c r="I964" s="19">
        <v>2025</v>
      </c>
    </row>
    <row r="965" spans="1:9" hidden="1" x14ac:dyDescent="0.3">
      <c r="A965" s="16" t="s">
        <v>104</v>
      </c>
      <c r="B965" s="16" t="s">
        <v>14</v>
      </c>
      <c r="C965" s="15">
        <v>6</v>
      </c>
      <c r="D965" s="17">
        <v>34844.9</v>
      </c>
      <c r="E965" s="17">
        <v>0</v>
      </c>
      <c r="F965" s="17">
        <v>-34844.9</v>
      </c>
      <c r="G965" s="18">
        <v>0</v>
      </c>
      <c r="H965" s="10" t="str">
        <f t="shared" si="15"/>
        <v>COSTOS</v>
      </c>
      <c r="I965" s="19">
        <v>2025</v>
      </c>
    </row>
    <row r="966" spans="1:9" hidden="1" x14ac:dyDescent="0.3">
      <c r="A966" s="16" t="s">
        <v>104</v>
      </c>
      <c r="B966" s="16" t="s">
        <v>14</v>
      </c>
      <c r="C966" s="15">
        <v>7</v>
      </c>
      <c r="D966" s="17">
        <v>34844.9</v>
      </c>
      <c r="E966" s="17">
        <v>0</v>
      </c>
      <c r="F966" s="17">
        <v>-34844.9</v>
      </c>
      <c r="G966" s="18">
        <v>0</v>
      </c>
      <c r="H966" s="10" t="str">
        <f t="shared" si="15"/>
        <v>COSTOS</v>
      </c>
      <c r="I966" s="19">
        <v>2025</v>
      </c>
    </row>
    <row r="967" spans="1:9" hidden="1" x14ac:dyDescent="0.3">
      <c r="A967" s="16" t="s">
        <v>104</v>
      </c>
      <c r="B967" s="16" t="s">
        <v>14</v>
      </c>
      <c r="C967" s="15">
        <v>8</v>
      </c>
      <c r="D967" s="17">
        <v>22844.9</v>
      </c>
      <c r="E967" s="17">
        <v>0</v>
      </c>
      <c r="F967" s="17">
        <v>-22844.9</v>
      </c>
      <c r="G967" s="18">
        <v>0</v>
      </c>
      <c r="H967" s="10" t="str">
        <f t="shared" si="15"/>
        <v>COSTOS</v>
      </c>
      <c r="I967" s="19">
        <v>2025</v>
      </c>
    </row>
    <row r="968" spans="1:9" hidden="1" x14ac:dyDescent="0.3">
      <c r="A968" s="16" t="s">
        <v>104</v>
      </c>
      <c r="B968" s="16" t="s">
        <v>14</v>
      </c>
      <c r="C968" s="15">
        <v>9</v>
      </c>
      <c r="D968" s="17">
        <v>34844.9</v>
      </c>
      <c r="E968" s="17">
        <v>0</v>
      </c>
      <c r="F968" s="17">
        <v>-34844.9</v>
      </c>
      <c r="G968" s="18">
        <v>0</v>
      </c>
      <c r="H968" s="10" t="str">
        <f t="shared" si="15"/>
        <v>COSTOS</v>
      </c>
      <c r="I968" s="19">
        <v>2025</v>
      </c>
    </row>
    <row r="969" spans="1:9" hidden="1" x14ac:dyDescent="0.3">
      <c r="A969" s="16" t="s">
        <v>104</v>
      </c>
      <c r="B969" s="16" t="s">
        <v>14</v>
      </c>
      <c r="C969" s="15">
        <v>10</v>
      </c>
      <c r="D969" s="17">
        <v>34844.9</v>
      </c>
      <c r="E969" s="17">
        <v>0</v>
      </c>
      <c r="F969" s="17">
        <v>-34844.9</v>
      </c>
      <c r="G969" s="18">
        <v>0</v>
      </c>
      <c r="H969" s="10" t="str">
        <f t="shared" si="15"/>
        <v>COSTOS</v>
      </c>
      <c r="I969" s="19">
        <v>2025</v>
      </c>
    </row>
    <row r="970" spans="1:9" hidden="1" x14ac:dyDescent="0.3">
      <c r="A970" s="16" t="s">
        <v>104</v>
      </c>
      <c r="B970" s="16" t="s">
        <v>16</v>
      </c>
      <c r="C970" s="15">
        <v>3</v>
      </c>
      <c r="D970" s="17">
        <v>0</v>
      </c>
      <c r="E970" s="17">
        <v>112600</v>
      </c>
      <c r="F970" s="17">
        <v>112600</v>
      </c>
      <c r="G970" s="18">
        <v>0</v>
      </c>
      <c r="H970" s="10" t="str">
        <f t="shared" si="15"/>
        <v>COSTOS</v>
      </c>
      <c r="I970" s="19">
        <v>2025</v>
      </c>
    </row>
    <row r="971" spans="1:9" hidden="1" x14ac:dyDescent="0.3">
      <c r="A971" s="16" t="s">
        <v>104</v>
      </c>
      <c r="B971" s="16" t="s">
        <v>62</v>
      </c>
      <c r="C971" s="15">
        <v>1</v>
      </c>
      <c r="D971" s="17">
        <v>278780</v>
      </c>
      <c r="E971" s="17">
        <v>0</v>
      </c>
      <c r="F971" s="17">
        <v>-278780</v>
      </c>
      <c r="G971" s="18">
        <v>0</v>
      </c>
      <c r="H971" s="10" t="str">
        <f t="shared" si="15"/>
        <v>COSTOS</v>
      </c>
      <c r="I971" s="19">
        <v>2025</v>
      </c>
    </row>
    <row r="972" spans="1:9" hidden="1" x14ac:dyDescent="0.3">
      <c r="A972" s="16" t="s">
        <v>104</v>
      </c>
      <c r="B972" s="16" t="s">
        <v>62</v>
      </c>
      <c r="C972" s="15">
        <v>2</v>
      </c>
      <c r="D972" s="17">
        <v>278780</v>
      </c>
      <c r="E972" s="17">
        <v>0</v>
      </c>
      <c r="F972" s="17">
        <v>-278780</v>
      </c>
      <c r="G972" s="18">
        <v>0</v>
      </c>
      <c r="H972" s="10" t="str">
        <f t="shared" si="15"/>
        <v>COSTOS</v>
      </c>
      <c r="I972" s="19">
        <v>2025</v>
      </c>
    </row>
    <row r="973" spans="1:9" hidden="1" x14ac:dyDescent="0.3">
      <c r="A973" s="16" t="s">
        <v>104</v>
      </c>
      <c r="B973" s="16" t="s">
        <v>62</v>
      </c>
      <c r="C973" s="15">
        <v>3</v>
      </c>
      <c r="D973" s="17">
        <v>278780</v>
      </c>
      <c r="E973" s="17">
        <v>0</v>
      </c>
      <c r="F973" s="17">
        <v>-278780</v>
      </c>
      <c r="G973" s="18">
        <v>0</v>
      </c>
      <c r="H973" s="10" t="str">
        <f t="shared" si="15"/>
        <v>COSTOS</v>
      </c>
      <c r="I973" s="19">
        <v>2025</v>
      </c>
    </row>
    <row r="974" spans="1:9" hidden="1" x14ac:dyDescent="0.3">
      <c r="A974" s="16" t="s">
        <v>104</v>
      </c>
      <c r="B974" s="16" t="s">
        <v>62</v>
      </c>
      <c r="C974" s="15">
        <v>4</v>
      </c>
      <c r="D974" s="17">
        <v>278780</v>
      </c>
      <c r="E974" s="17">
        <v>0</v>
      </c>
      <c r="F974" s="17">
        <v>-278780</v>
      </c>
      <c r="G974" s="18">
        <v>0</v>
      </c>
      <c r="H974" s="10" t="str">
        <f t="shared" si="15"/>
        <v>COSTOS</v>
      </c>
      <c r="I974" s="19">
        <v>2025</v>
      </c>
    </row>
    <row r="975" spans="1:9" hidden="1" x14ac:dyDescent="0.3">
      <c r="A975" s="16" t="s">
        <v>104</v>
      </c>
      <c r="B975" s="16" t="s">
        <v>62</v>
      </c>
      <c r="C975" s="15">
        <v>5</v>
      </c>
      <c r="D975" s="17">
        <v>278780</v>
      </c>
      <c r="E975" s="17">
        <v>0</v>
      </c>
      <c r="F975" s="17">
        <v>-278780</v>
      </c>
      <c r="G975" s="18">
        <v>0</v>
      </c>
      <c r="H975" s="10" t="str">
        <f t="shared" si="15"/>
        <v>COSTOS</v>
      </c>
      <c r="I975" s="19">
        <v>2025</v>
      </c>
    </row>
    <row r="976" spans="1:9" hidden="1" x14ac:dyDescent="0.3">
      <c r="A976" s="16" t="s">
        <v>104</v>
      </c>
      <c r="B976" s="16" t="s">
        <v>62</v>
      </c>
      <c r="C976" s="15">
        <v>6</v>
      </c>
      <c r="D976" s="17">
        <v>278780</v>
      </c>
      <c r="E976" s="17">
        <v>0</v>
      </c>
      <c r="F976" s="17">
        <v>-278780</v>
      </c>
      <c r="G976" s="18">
        <v>0</v>
      </c>
      <c r="H976" s="10" t="str">
        <f t="shared" si="15"/>
        <v>COSTOS</v>
      </c>
      <c r="I976" s="19">
        <v>2025</v>
      </c>
    </row>
    <row r="977" spans="1:9" hidden="1" x14ac:dyDescent="0.3">
      <c r="A977" s="16" t="s">
        <v>104</v>
      </c>
      <c r="B977" s="16" t="s">
        <v>62</v>
      </c>
      <c r="C977" s="15">
        <v>7</v>
      </c>
      <c r="D977" s="17">
        <v>278780</v>
      </c>
      <c r="E977" s="17">
        <v>0</v>
      </c>
      <c r="F977" s="17">
        <v>-278780</v>
      </c>
      <c r="G977" s="18">
        <v>0</v>
      </c>
      <c r="H977" s="10" t="str">
        <f t="shared" si="15"/>
        <v>COSTOS</v>
      </c>
      <c r="I977" s="19">
        <v>2025</v>
      </c>
    </row>
    <row r="978" spans="1:9" hidden="1" x14ac:dyDescent="0.3">
      <c r="A978" s="16" t="s">
        <v>104</v>
      </c>
      <c r="B978" s="16" t="s">
        <v>62</v>
      </c>
      <c r="C978" s="15">
        <v>8</v>
      </c>
      <c r="D978" s="17">
        <v>278780</v>
      </c>
      <c r="E978" s="17">
        <v>0</v>
      </c>
      <c r="F978" s="17">
        <v>-278780</v>
      </c>
      <c r="G978" s="18">
        <v>0</v>
      </c>
      <c r="H978" s="10" t="str">
        <f t="shared" si="15"/>
        <v>COSTOS</v>
      </c>
      <c r="I978" s="19">
        <v>2025</v>
      </c>
    </row>
    <row r="979" spans="1:9" hidden="1" x14ac:dyDescent="0.3">
      <c r="A979" s="16" t="s">
        <v>104</v>
      </c>
      <c r="B979" s="16" t="s">
        <v>62</v>
      </c>
      <c r="C979" s="15">
        <v>9</v>
      </c>
      <c r="D979" s="17">
        <v>278780</v>
      </c>
      <c r="E979" s="17">
        <v>0</v>
      </c>
      <c r="F979" s="17">
        <v>-278780</v>
      </c>
      <c r="G979" s="18">
        <v>0</v>
      </c>
      <c r="H979" s="10" t="str">
        <f t="shared" si="15"/>
        <v>COSTOS</v>
      </c>
      <c r="I979" s="19">
        <v>2025</v>
      </c>
    </row>
    <row r="980" spans="1:9" hidden="1" x14ac:dyDescent="0.3">
      <c r="A980" s="16" t="s">
        <v>104</v>
      </c>
      <c r="B980" s="16" t="s">
        <v>62</v>
      </c>
      <c r="C980" s="15">
        <v>10</v>
      </c>
      <c r="D980" s="17">
        <v>278780</v>
      </c>
      <c r="E980" s="17">
        <v>0</v>
      </c>
      <c r="F980" s="17">
        <v>-278780</v>
      </c>
      <c r="G980" s="18">
        <v>0</v>
      </c>
      <c r="H980" s="10" t="str">
        <f t="shared" si="15"/>
        <v>COSTOS</v>
      </c>
      <c r="I980" s="19">
        <v>2025</v>
      </c>
    </row>
    <row r="981" spans="1:9" hidden="1" x14ac:dyDescent="0.3">
      <c r="A981" s="16" t="s">
        <v>104</v>
      </c>
      <c r="B981" s="16" t="s">
        <v>24</v>
      </c>
      <c r="C981" s="15">
        <v>3</v>
      </c>
      <c r="D981" s="17">
        <v>0</v>
      </c>
      <c r="E981" s="17">
        <v>1675520</v>
      </c>
      <c r="F981" s="17">
        <v>1675520</v>
      </c>
      <c r="G981" s="18">
        <v>0</v>
      </c>
      <c r="H981" s="10" t="str">
        <f t="shared" si="15"/>
        <v>COSTOS</v>
      </c>
      <c r="I981" s="19">
        <v>2025</v>
      </c>
    </row>
    <row r="982" spans="1:9" hidden="1" x14ac:dyDescent="0.3">
      <c r="A982" s="16" t="s">
        <v>104</v>
      </c>
      <c r="B982" s="16" t="s">
        <v>24</v>
      </c>
      <c r="C982" s="15">
        <v>9</v>
      </c>
      <c r="D982" s="17">
        <v>0</v>
      </c>
      <c r="E982" s="17">
        <v>50783</v>
      </c>
      <c r="F982" s="17">
        <v>50783</v>
      </c>
      <c r="G982" s="18">
        <v>0</v>
      </c>
      <c r="H982" s="10" t="str">
        <f t="shared" si="15"/>
        <v>COSTOS</v>
      </c>
      <c r="I982" s="19">
        <v>2025</v>
      </c>
    </row>
    <row r="983" spans="1:9" hidden="1" x14ac:dyDescent="0.3">
      <c r="A983" s="16" t="s">
        <v>104</v>
      </c>
      <c r="B983" s="16" t="s">
        <v>24</v>
      </c>
      <c r="C983" s="15">
        <v>10</v>
      </c>
      <c r="D983" s="17">
        <v>0</v>
      </c>
      <c r="E983" s="17">
        <v>50783</v>
      </c>
      <c r="F983" s="17">
        <v>50783</v>
      </c>
      <c r="G983" s="18">
        <v>0</v>
      </c>
      <c r="H983" s="10" t="str">
        <f t="shared" si="15"/>
        <v>COSTOS</v>
      </c>
      <c r="I983" s="19">
        <v>2025</v>
      </c>
    </row>
    <row r="984" spans="1:9" hidden="1" x14ac:dyDescent="0.3">
      <c r="A984" s="16" t="s">
        <v>104</v>
      </c>
      <c r="B984" s="16" t="s">
        <v>27</v>
      </c>
      <c r="C984" s="15">
        <v>1</v>
      </c>
      <c r="D984" s="17">
        <v>126240</v>
      </c>
      <c r="E984" s="17">
        <v>0</v>
      </c>
      <c r="F984" s="17">
        <v>-126240</v>
      </c>
      <c r="G984" s="18">
        <v>0</v>
      </c>
      <c r="H984" s="10" t="str">
        <f t="shared" si="15"/>
        <v>COSTOS</v>
      </c>
      <c r="I984" s="19">
        <v>2025</v>
      </c>
    </row>
    <row r="985" spans="1:9" hidden="1" x14ac:dyDescent="0.3">
      <c r="A985" s="16" t="s">
        <v>104</v>
      </c>
      <c r="B985" s="16" t="s">
        <v>27</v>
      </c>
      <c r="C985" s="15">
        <v>2</v>
      </c>
      <c r="D985" s="17">
        <v>126240</v>
      </c>
      <c r="E985" s="17">
        <v>0</v>
      </c>
      <c r="F985" s="17">
        <v>-126240</v>
      </c>
      <c r="G985" s="18">
        <v>0</v>
      </c>
      <c r="H985" s="10" t="str">
        <f t="shared" si="15"/>
        <v>COSTOS</v>
      </c>
      <c r="I985" s="19">
        <v>2025</v>
      </c>
    </row>
    <row r="986" spans="1:9" hidden="1" x14ac:dyDescent="0.3">
      <c r="A986" s="16" t="s">
        <v>104</v>
      </c>
      <c r="B986" s="16" t="s">
        <v>27</v>
      </c>
      <c r="C986" s="15">
        <v>3</v>
      </c>
      <c r="D986" s="17">
        <v>126240</v>
      </c>
      <c r="E986" s="17">
        <v>103291</v>
      </c>
      <c r="F986" s="17">
        <v>-22949</v>
      </c>
      <c r="G986" s="18">
        <v>0.81821134347275037</v>
      </c>
      <c r="H986" s="10" t="str">
        <f t="shared" si="15"/>
        <v>COSTOS</v>
      </c>
      <c r="I986" s="19">
        <v>2025</v>
      </c>
    </row>
    <row r="987" spans="1:9" hidden="1" x14ac:dyDescent="0.3">
      <c r="A987" s="16" t="s">
        <v>104</v>
      </c>
      <c r="B987" s="16" t="s">
        <v>27</v>
      </c>
      <c r="C987" s="15">
        <v>4</v>
      </c>
      <c r="D987" s="17">
        <v>126240</v>
      </c>
      <c r="E987" s="17">
        <v>116631</v>
      </c>
      <c r="F987" s="17">
        <v>-9609</v>
      </c>
      <c r="G987" s="18">
        <v>0.92388307984790874</v>
      </c>
      <c r="H987" s="10" t="str">
        <f t="shared" si="15"/>
        <v>COSTOS</v>
      </c>
      <c r="I987" s="19">
        <v>2025</v>
      </c>
    </row>
    <row r="988" spans="1:9" hidden="1" x14ac:dyDescent="0.3">
      <c r="A988" s="16" t="s">
        <v>104</v>
      </c>
      <c r="B988" s="16" t="s">
        <v>27</v>
      </c>
      <c r="C988" s="15">
        <v>5</v>
      </c>
      <c r="D988" s="17">
        <v>126240</v>
      </c>
      <c r="E988" s="17">
        <v>133629</v>
      </c>
      <c r="F988" s="17">
        <v>7389</v>
      </c>
      <c r="G988" s="18">
        <v>1.0585313688212927</v>
      </c>
      <c r="H988" s="10" t="str">
        <f t="shared" si="15"/>
        <v>COSTOS</v>
      </c>
      <c r="I988" s="19">
        <v>2025</v>
      </c>
    </row>
    <row r="989" spans="1:9" hidden="1" x14ac:dyDescent="0.3">
      <c r="A989" s="16" t="s">
        <v>104</v>
      </c>
      <c r="B989" s="16" t="s">
        <v>27</v>
      </c>
      <c r="C989" s="15">
        <v>6</v>
      </c>
      <c r="D989" s="17">
        <v>126240</v>
      </c>
      <c r="E989" s="17">
        <v>137275</v>
      </c>
      <c r="F989" s="17">
        <v>11035</v>
      </c>
      <c r="G989" s="18">
        <v>1.0874128643852978</v>
      </c>
      <c r="H989" s="10" t="str">
        <f t="shared" si="15"/>
        <v>COSTOS</v>
      </c>
      <c r="I989" s="19">
        <v>2025</v>
      </c>
    </row>
    <row r="990" spans="1:9" hidden="1" x14ac:dyDescent="0.3">
      <c r="A990" s="16" t="s">
        <v>104</v>
      </c>
      <c r="B990" s="16" t="s">
        <v>27</v>
      </c>
      <c r="C990" s="15">
        <v>7</v>
      </c>
      <c r="D990" s="17">
        <v>126240</v>
      </c>
      <c r="E990" s="17">
        <v>145546</v>
      </c>
      <c r="F990" s="17">
        <v>19306</v>
      </c>
      <c r="G990" s="18">
        <v>1.1529309252217999</v>
      </c>
      <c r="H990" s="10" t="str">
        <f t="shared" si="15"/>
        <v>COSTOS</v>
      </c>
      <c r="I990" s="19">
        <v>2025</v>
      </c>
    </row>
    <row r="991" spans="1:9" hidden="1" x14ac:dyDescent="0.3">
      <c r="A991" s="16" t="s">
        <v>104</v>
      </c>
      <c r="B991" s="16" t="s">
        <v>27</v>
      </c>
      <c r="C991" s="15">
        <v>8</v>
      </c>
      <c r="D991" s="17">
        <v>126240</v>
      </c>
      <c r="E991" s="17">
        <v>131605</v>
      </c>
      <c r="F991" s="17">
        <v>5365</v>
      </c>
      <c r="G991" s="18">
        <v>1.0424984157160964</v>
      </c>
      <c r="H991" s="10" t="str">
        <f t="shared" si="15"/>
        <v>COSTOS</v>
      </c>
      <c r="I991" s="19">
        <v>2025</v>
      </c>
    </row>
    <row r="992" spans="1:9" hidden="1" x14ac:dyDescent="0.3">
      <c r="A992" s="16" t="s">
        <v>104</v>
      </c>
      <c r="B992" s="16" t="s">
        <v>27</v>
      </c>
      <c r="C992" s="15">
        <v>9</v>
      </c>
      <c r="D992" s="17">
        <v>126240</v>
      </c>
      <c r="E992" s="17">
        <v>166388</v>
      </c>
      <c r="F992" s="17">
        <v>40148</v>
      </c>
      <c r="G992" s="18">
        <v>1.3180291508238278</v>
      </c>
      <c r="H992" s="10" t="str">
        <f t="shared" si="15"/>
        <v>COSTOS</v>
      </c>
      <c r="I992" s="19">
        <v>2025</v>
      </c>
    </row>
    <row r="993" spans="1:9" hidden="1" x14ac:dyDescent="0.3">
      <c r="A993" s="16" t="s">
        <v>104</v>
      </c>
      <c r="B993" s="16" t="s">
        <v>27</v>
      </c>
      <c r="C993" s="15">
        <v>10</v>
      </c>
      <c r="D993" s="17">
        <v>126240</v>
      </c>
      <c r="E993" s="17">
        <v>177367</v>
      </c>
      <c r="F993" s="17">
        <v>51127</v>
      </c>
      <c r="G993" s="18">
        <v>1.4049984157160964</v>
      </c>
      <c r="H993" s="10" t="str">
        <f t="shared" si="15"/>
        <v>COSTOS</v>
      </c>
      <c r="I993" s="19">
        <v>2025</v>
      </c>
    </row>
    <row r="994" spans="1:9" hidden="1" x14ac:dyDescent="0.3">
      <c r="A994" s="16" t="s">
        <v>104</v>
      </c>
      <c r="B994" s="16" t="s">
        <v>28</v>
      </c>
      <c r="C994" s="15">
        <v>1</v>
      </c>
      <c r="D994" s="17">
        <v>31560</v>
      </c>
      <c r="E994" s="17">
        <v>0</v>
      </c>
      <c r="F994" s="17">
        <v>-31560</v>
      </c>
      <c r="G994" s="18">
        <v>0</v>
      </c>
      <c r="H994" s="10" t="str">
        <f t="shared" si="15"/>
        <v>COSTOS</v>
      </c>
      <c r="I994" s="19">
        <v>2025</v>
      </c>
    </row>
    <row r="995" spans="1:9" hidden="1" x14ac:dyDescent="0.3">
      <c r="A995" s="16" t="s">
        <v>104</v>
      </c>
      <c r="B995" s="16" t="s">
        <v>28</v>
      </c>
      <c r="C995" s="15">
        <v>2</v>
      </c>
      <c r="D995" s="17">
        <v>31560</v>
      </c>
      <c r="E995" s="17">
        <v>34343</v>
      </c>
      <c r="F995" s="17">
        <v>2783</v>
      </c>
      <c r="G995" s="18">
        <v>1.0881812420785806</v>
      </c>
      <c r="H995" s="10" t="str">
        <f t="shared" si="15"/>
        <v>COSTOS</v>
      </c>
      <c r="I995" s="19">
        <v>2025</v>
      </c>
    </row>
    <row r="996" spans="1:9" hidden="1" x14ac:dyDescent="0.3">
      <c r="A996" s="16" t="s">
        <v>104</v>
      </c>
      <c r="B996" s="16" t="s">
        <v>28</v>
      </c>
      <c r="C996" s="15">
        <v>3</v>
      </c>
      <c r="D996" s="17">
        <v>31560</v>
      </c>
      <c r="E996" s="17">
        <v>34343</v>
      </c>
      <c r="F996" s="17">
        <v>2783</v>
      </c>
      <c r="G996" s="18">
        <v>1.0881812420785806</v>
      </c>
      <c r="H996" s="10" t="str">
        <f t="shared" si="15"/>
        <v>COSTOS</v>
      </c>
      <c r="I996" s="19">
        <v>2025</v>
      </c>
    </row>
    <row r="997" spans="1:9" hidden="1" x14ac:dyDescent="0.3">
      <c r="A997" s="16" t="s">
        <v>104</v>
      </c>
      <c r="B997" s="16" t="s">
        <v>28</v>
      </c>
      <c r="C997" s="15">
        <v>4</v>
      </c>
      <c r="D997" s="17">
        <v>31560</v>
      </c>
      <c r="E997" s="17">
        <v>48825</v>
      </c>
      <c r="F997" s="17">
        <v>17265</v>
      </c>
      <c r="G997" s="18">
        <v>1.5470532319391637</v>
      </c>
      <c r="H997" s="10" t="str">
        <f t="shared" si="15"/>
        <v>COSTOS</v>
      </c>
      <c r="I997" s="19">
        <v>2025</v>
      </c>
    </row>
    <row r="998" spans="1:9" hidden="1" x14ac:dyDescent="0.3">
      <c r="A998" s="16" t="s">
        <v>104</v>
      </c>
      <c r="B998" s="16" t="s">
        <v>28</v>
      </c>
      <c r="C998" s="15">
        <v>5</v>
      </c>
      <c r="D998" s="17">
        <v>31560</v>
      </c>
      <c r="E998" s="17">
        <v>60177</v>
      </c>
      <c r="F998" s="17">
        <v>28617</v>
      </c>
      <c r="G998" s="18">
        <v>1.9067490494296579</v>
      </c>
      <c r="H998" s="10" t="str">
        <f t="shared" si="15"/>
        <v>COSTOS</v>
      </c>
      <c r="I998" s="19">
        <v>2025</v>
      </c>
    </row>
    <row r="999" spans="1:9" hidden="1" x14ac:dyDescent="0.3">
      <c r="A999" s="16" t="s">
        <v>104</v>
      </c>
      <c r="B999" s="16" t="s">
        <v>28</v>
      </c>
      <c r="C999" s="15">
        <v>6</v>
      </c>
      <c r="D999" s="17">
        <v>31560</v>
      </c>
      <c r="E999" s="17">
        <v>34735</v>
      </c>
      <c r="F999" s="17">
        <v>3175</v>
      </c>
      <c r="G999" s="18">
        <v>1.1006020278833968</v>
      </c>
      <c r="H999" s="10" t="str">
        <f t="shared" si="15"/>
        <v>COSTOS</v>
      </c>
      <c r="I999" s="19">
        <v>2025</v>
      </c>
    </row>
    <row r="1000" spans="1:9" hidden="1" x14ac:dyDescent="0.3">
      <c r="A1000" s="16" t="s">
        <v>104</v>
      </c>
      <c r="B1000" s="16" t="s">
        <v>28</v>
      </c>
      <c r="C1000" s="15">
        <v>7</v>
      </c>
      <c r="D1000" s="17">
        <v>31560</v>
      </c>
      <c r="E1000" s="17">
        <v>34483</v>
      </c>
      <c r="F1000" s="17">
        <v>2923</v>
      </c>
      <c r="G1000" s="18">
        <v>1.092617237008872</v>
      </c>
      <c r="H1000" s="10" t="str">
        <f t="shared" si="15"/>
        <v>COSTOS</v>
      </c>
      <c r="I1000" s="19">
        <v>2025</v>
      </c>
    </row>
    <row r="1001" spans="1:9" hidden="1" x14ac:dyDescent="0.3">
      <c r="A1001" s="16" t="s">
        <v>104</v>
      </c>
      <c r="B1001" s="16" t="s">
        <v>28</v>
      </c>
      <c r="C1001" s="15">
        <v>8</v>
      </c>
      <c r="D1001" s="17">
        <v>31560</v>
      </c>
      <c r="E1001" s="17">
        <v>27840</v>
      </c>
      <c r="F1001" s="17">
        <v>-3720</v>
      </c>
      <c r="G1001" s="18">
        <v>0.88212927756653992</v>
      </c>
      <c r="H1001" s="10" t="str">
        <f t="shared" si="15"/>
        <v>COSTOS</v>
      </c>
      <c r="I1001" s="19">
        <v>2025</v>
      </c>
    </row>
    <row r="1002" spans="1:9" hidden="1" x14ac:dyDescent="0.3">
      <c r="A1002" s="16" t="s">
        <v>104</v>
      </c>
      <c r="B1002" s="16" t="s">
        <v>28</v>
      </c>
      <c r="C1002" s="15">
        <v>9</v>
      </c>
      <c r="D1002" s="17">
        <v>31560</v>
      </c>
      <c r="E1002" s="17">
        <v>33144</v>
      </c>
      <c r="F1002" s="17">
        <v>1584</v>
      </c>
      <c r="G1002" s="18">
        <v>1.0501901140684411</v>
      </c>
      <c r="H1002" s="10" t="str">
        <f t="shared" si="15"/>
        <v>COSTOS</v>
      </c>
      <c r="I1002" s="19">
        <v>2025</v>
      </c>
    </row>
    <row r="1003" spans="1:9" hidden="1" x14ac:dyDescent="0.3">
      <c r="A1003" s="16" t="s">
        <v>104</v>
      </c>
      <c r="B1003" s="16" t="s">
        <v>28</v>
      </c>
      <c r="C1003" s="15">
        <v>10</v>
      </c>
      <c r="D1003" s="17">
        <v>31560</v>
      </c>
      <c r="E1003" s="17">
        <v>45736</v>
      </c>
      <c r="F1003" s="17">
        <v>14176</v>
      </c>
      <c r="G1003" s="18">
        <v>1.4491761723700889</v>
      </c>
      <c r="H1003" s="10" t="str">
        <f t="shared" si="15"/>
        <v>COSTOS</v>
      </c>
      <c r="I1003" s="19">
        <v>2025</v>
      </c>
    </row>
    <row r="1004" spans="1:9" hidden="1" x14ac:dyDescent="0.3">
      <c r="A1004" s="16" t="s">
        <v>104</v>
      </c>
      <c r="B1004" s="16" t="s">
        <v>29</v>
      </c>
      <c r="C1004" s="15">
        <v>1</v>
      </c>
      <c r="D1004" s="17">
        <v>315600</v>
      </c>
      <c r="E1004" s="17">
        <v>0</v>
      </c>
      <c r="F1004" s="17">
        <v>-315600</v>
      </c>
      <c r="G1004" s="18">
        <v>0</v>
      </c>
      <c r="H1004" s="10" t="str">
        <f t="shared" si="15"/>
        <v>COSTOS</v>
      </c>
      <c r="I1004" s="19">
        <v>2025</v>
      </c>
    </row>
    <row r="1005" spans="1:9" hidden="1" x14ac:dyDescent="0.3">
      <c r="A1005" s="16" t="s">
        <v>104</v>
      </c>
      <c r="B1005" s="16" t="s">
        <v>29</v>
      </c>
      <c r="C1005" s="15">
        <v>2</v>
      </c>
      <c r="D1005" s="17">
        <v>315600</v>
      </c>
      <c r="E1005" s="17">
        <v>0</v>
      </c>
      <c r="F1005" s="17">
        <v>-315600</v>
      </c>
      <c r="G1005" s="18">
        <v>0</v>
      </c>
      <c r="H1005" s="10" t="str">
        <f t="shared" si="15"/>
        <v>COSTOS</v>
      </c>
      <c r="I1005" s="19">
        <v>2025</v>
      </c>
    </row>
    <row r="1006" spans="1:9" hidden="1" x14ac:dyDescent="0.3">
      <c r="A1006" s="16" t="s">
        <v>104</v>
      </c>
      <c r="B1006" s="16" t="s">
        <v>29</v>
      </c>
      <c r="C1006" s="15">
        <v>3</v>
      </c>
      <c r="D1006" s="17">
        <v>315600</v>
      </c>
      <c r="E1006" s="17">
        <v>0</v>
      </c>
      <c r="F1006" s="17">
        <v>-315600</v>
      </c>
      <c r="G1006" s="18">
        <v>0</v>
      </c>
      <c r="H1006" s="10" t="str">
        <f t="shared" si="15"/>
        <v>COSTOS</v>
      </c>
      <c r="I1006" s="19">
        <v>2025</v>
      </c>
    </row>
    <row r="1007" spans="1:9" hidden="1" x14ac:dyDescent="0.3">
      <c r="A1007" s="16" t="s">
        <v>104</v>
      </c>
      <c r="B1007" s="16" t="s">
        <v>29</v>
      </c>
      <c r="C1007" s="15">
        <v>4</v>
      </c>
      <c r="D1007" s="17">
        <v>315600</v>
      </c>
      <c r="E1007" s="17">
        <v>0</v>
      </c>
      <c r="F1007" s="17">
        <v>-315600</v>
      </c>
      <c r="G1007" s="18">
        <v>0</v>
      </c>
      <c r="H1007" s="10" t="str">
        <f t="shared" si="15"/>
        <v>COSTOS</v>
      </c>
      <c r="I1007" s="19">
        <v>2025</v>
      </c>
    </row>
    <row r="1008" spans="1:9" hidden="1" x14ac:dyDescent="0.3">
      <c r="A1008" s="16" t="s">
        <v>104</v>
      </c>
      <c r="B1008" s="16" t="s">
        <v>29</v>
      </c>
      <c r="C1008" s="15">
        <v>5</v>
      </c>
      <c r="D1008" s="17">
        <v>315600</v>
      </c>
      <c r="E1008" s="17">
        <v>0</v>
      </c>
      <c r="F1008" s="17">
        <v>-315600</v>
      </c>
      <c r="G1008" s="18">
        <v>0</v>
      </c>
      <c r="H1008" s="10" t="str">
        <f t="shared" si="15"/>
        <v>COSTOS</v>
      </c>
      <c r="I1008" s="19">
        <v>2025</v>
      </c>
    </row>
    <row r="1009" spans="1:9" hidden="1" x14ac:dyDescent="0.3">
      <c r="A1009" s="16" t="s">
        <v>104</v>
      </c>
      <c r="B1009" s="16" t="s">
        <v>29</v>
      </c>
      <c r="C1009" s="15">
        <v>6</v>
      </c>
      <c r="D1009" s="17">
        <v>315600</v>
      </c>
      <c r="E1009" s="17">
        <v>0</v>
      </c>
      <c r="F1009" s="17">
        <v>-315600</v>
      </c>
      <c r="G1009" s="18">
        <v>0</v>
      </c>
      <c r="H1009" s="10" t="str">
        <f t="shared" si="15"/>
        <v>COSTOS</v>
      </c>
      <c r="I1009" s="19">
        <v>2025</v>
      </c>
    </row>
    <row r="1010" spans="1:9" hidden="1" x14ac:dyDescent="0.3">
      <c r="A1010" s="16" t="s">
        <v>104</v>
      </c>
      <c r="B1010" s="16" t="s">
        <v>29</v>
      </c>
      <c r="C1010" s="15">
        <v>7</v>
      </c>
      <c r="D1010" s="17">
        <v>315600</v>
      </c>
      <c r="E1010" s="17">
        <v>0</v>
      </c>
      <c r="F1010" s="17">
        <v>-315600</v>
      </c>
      <c r="G1010" s="18">
        <v>0</v>
      </c>
      <c r="H1010" s="10" t="str">
        <f t="shared" si="15"/>
        <v>COSTOS</v>
      </c>
      <c r="I1010" s="19">
        <v>2025</v>
      </c>
    </row>
    <row r="1011" spans="1:9" hidden="1" x14ac:dyDescent="0.3">
      <c r="A1011" s="16" t="s">
        <v>104</v>
      </c>
      <c r="B1011" s="16" t="s">
        <v>29</v>
      </c>
      <c r="C1011" s="15">
        <v>8</v>
      </c>
      <c r="D1011" s="17">
        <v>315600</v>
      </c>
      <c r="E1011" s="17">
        <v>0</v>
      </c>
      <c r="F1011" s="17">
        <v>-315600</v>
      </c>
      <c r="G1011" s="18">
        <v>0</v>
      </c>
      <c r="H1011" s="10" t="str">
        <f t="shared" si="15"/>
        <v>COSTOS</v>
      </c>
      <c r="I1011" s="19">
        <v>2025</v>
      </c>
    </row>
    <row r="1012" spans="1:9" hidden="1" x14ac:dyDescent="0.3">
      <c r="A1012" s="16" t="s">
        <v>104</v>
      </c>
      <c r="B1012" s="16" t="s">
        <v>29</v>
      </c>
      <c r="C1012" s="15">
        <v>9</v>
      </c>
      <c r="D1012" s="17">
        <v>315600</v>
      </c>
      <c r="E1012" s="17">
        <v>0</v>
      </c>
      <c r="F1012" s="17">
        <v>-315600</v>
      </c>
      <c r="G1012" s="18">
        <v>0</v>
      </c>
      <c r="H1012" s="10" t="str">
        <f t="shared" si="15"/>
        <v>COSTOS</v>
      </c>
      <c r="I1012" s="19">
        <v>2025</v>
      </c>
    </row>
    <row r="1013" spans="1:9" hidden="1" x14ac:dyDescent="0.3">
      <c r="A1013" s="16" t="s">
        <v>104</v>
      </c>
      <c r="B1013" s="16" t="s">
        <v>29</v>
      </c>
      <c r="C1013" s="15">
        <v>10</v>
      </c>
      <c r="D1013" s="17">
        <v>315600</v>
      </c>
      <c r="E1013" s="17">
        <v>38217</v>
      </c>
      <c r="F1013" s="17">
        <v>-277383</v>
      </c>
      <c r="G1013" s="18">
        <v>0.12109315589353613</v>
      </c>
      <c r="H1013" s="10" t="str">
        <f t="shared" si="15"/>
        <v>COSTOS</v>
      </c>
      <c r="I1013" s="19">
        <v>2025</v>
      </c>
    </row>
    <row r="1014" spans="1:9" hidden="1" x14ac:dyDescent="0.3">
      <c r="A1014" s="16" t="s">
        <v>104</v>
      </c>
      <c r="B1014" s="16" t="s">
        <v>14</v>
      </c>
      <c r="C1014" s="15">
        <v>11</v>
      </c>
      <c r="D1014" s="17">
        <v>22844.9</v>
      </c>
      <c r="E1014" s="17">
        <v>0</v>
      </c>
      <c r="F1014" s="17">
        <v>-22844.9</v>
      </c>
      <c r="G1014" s="18">
        <v>0</v>
      </c>
      <c r="H1014" s="10" t="str">
        <f t="shared" si="15"/>
        <v>COSTOS</v>
      </c>
      <c r="I1014" s="19">
        <v>2025</v>
      </c>
    </row>
    <row r="1015" spans="1:9" hidden="1" x14ac:dyDescent="0.3">
      <c r="A1015" s="16" t="s">
        <v>104</v>
      </c>
      <c r="B1015" s="16" t="s">
        <v>16</v>
      </c>
      <c r="C1015" s="15">
        <v>11</v>
      </c>
      <c r="D1015" s="17">
        <v>0</v>
      </c>
      <c r="E1015" s="17">
        <v>152400</v>
      </c>
      <c r="F1015" s="17">
        <v>152400</v>
      </c>
      <c r="G1015" s="18">
        <v>0</v>
      </c>
      <c r="H1015" s="10" t="str">
        <f t="shared" si="15"/>
        <v>COSTOS</v>
      </c>
      <c r="I1015" s="19">
        <v>2025</v>
      </c>
    </row>
    <row r="1016" spans="1:9" hidden="1" x14ac:dyDescent="0.3">
      <c r="A1016" s="16" t="s">
        <v>104</v>
      </c>
      <c r="B1016" s="16" t="s">
        <v>62</v>
      </c>
      <c r="C1016" s="15">
        <v>11</v>
      </c>
      <c r="D1016" s="17">
        <v>278780</v>
      </c>
      <c r="E1016" s="17">
        <v>0</v>
      </c>
      <c r="F1016" s="17">
        <v>-278780</v>
      </c>
      <c r="G1016" s="18">
        <v>0</v>
      </c>
      <c r="H1016" s="10" t="str">
        <f t="shared" si="15"/>
        <v>COSTOS</v>
      </c>
      <c r="I1016" s="19">
        <v>2025</v>
      </c>
    </row>
    <row r="1017" spans="1:9" hidden="1" x14ac:dyDescent="0.3">
      <c r="A1017" s="16" t="s">
        <v>104</v>
      </c>
      <c r="B1017" s="16" t="s">
        <v>24</v>
      </c>
      <c r="C1017" s="15">
        <v>11</v>
      </c>
      <c r="D1017" s="17">
        <v>0</v>
      </c>
      <c r="E1017" s="17">
        <v>50783</v>
      </c>
      <c r="F1017" s="17">
        <v>50783</v>
      </c>
      <c r="G1017" s="18">
        <v>0</v>
      </c>
      <c r="H1017" s="10" t="str">
        <f t="shared" si="15"/>
        <v>COSTOS</v>
      </c>
      <c r="I1017" s="19">
        <v>2025</v>
      </c>
    </row>
    <row r="1018" spans="1:9" hidden="1" x14ac:dyDescent="0.3">
      <c r="A1018" s="16" t="s">
        <v>104</v>
      </c>
      <c r="B1018" s="16" t="s">
        <v>27</v>
      </c>
      <c r="C1018" s="15">
        <v>11</v>
      </c>
      <c r="D1018" s="17">
        <v>126240</v>
      </c>
      <c r="E1018" s="17">
        <v>179559</v>
      </c>
      <c r="F1018" s="17">
        <v>53319</v>
      </c>
      <c r="G1018" s="18">
        <v>1.4223621673003803</v>
      </c>
      <c r="H1018" s="10" t="str">
        <f t="shared" si="15"/>
        <v>COSTOS</v>
      </c>
      <c r="I1018" s="19">
        <v>2025</v>
      </c>
    </row>
    <row r="1019" spans="1:9" hidden="1" x14ac:dyDescent="0.3">
      <c r="A1019" s="16" t="s">
        <v>104</v>
      </c>
      <c r="B1019" s="16" t="s">
        <v>28</v>
      </c>
      <c r="C1019" s="15">
        <v>11</v>
      </c>
      <c r="D1019" s="17">
        <v>31560</v>
      </c>
      <c r="E1019" s="17">
        <v>39880</v>
      </c>
      <c r="F1019" s="17">
        <v>8320</v>
      </c>
      <c r="G1019" s="18">
        <v>1.2636248415716096</v>
      </c>
      <c r="H1019" s="10" t="str">
        <f t="shared" si="15"/>
        <v>COSTOS</v>
      </c>
      <c r="I1019" s="19">
        <v>2025</v>
      </c>
    </row>
    <row r="1020" spans="1:9" hidden="1" x14ac:dyDescent="0.3">
      <c r="A1020" s="16" t="s">
        <v>104</v>
      </c>
      <c r="B1020" s="16" t="s">
        <v>29</v>
      </c>
      <c r="C1020" s="15">
        <v>11</v>
      </c>
      <c r="D1020" s="17">
        <v>315600</v>
      </c>
      <c r="E1020" s="17">
        <v>340700</v>
      </c>
      <c r="F1020" s="17">
        <v>25100</v>
      </c>
      <c r="G1020" s="18">
        <v>1.079531051964512</v>
      </c>
      <c r="H1020" s="10" t="str">
        <f t="shared" si="15"/>
        <v>COSTOS</v>
      </c>
      <c r="I1020" s="19">
        <v>2025</v>
      </c>
    </row>
    <row r="1021" spans="1:9" hidden="1" x14ac:dyDescent="0.3">
      <c r="A1021" s="16" t="s">
        <v>104</v>
      </c>
      <c r="B1021" s="16" t="s">
        <v>14</v>
      </c>
      <c r="C1021" s="15">
        <v>12</v>
      </c>
      <c r="D1021" s="17">
        <v>34844.9</v>
      </c>
      <c r="E1021" s="17">
        <v>0</v>
      </c>
      <c r="F1021" s="17">
        <v>-34844.9</v>
      </c>
      <c r="G1021" s="18">
        <v>0</v>
      </c>
      <c r="H1021" s="10" t="str">
        <f t="shared" si="15"/>
        <v>COSTOS</v>
      </c>
      <c r="I1021" s="19">
        <v>2025</v>
      </c>
    </row>
    <row r="1022" spans="1:9" hidden="1" x14ac:dyDescent="0.3">
      <c r="A1022" s="16" t="s">
        <v>104</v>
      </c>
      <c r="B1022" s="16" t="s">
        <v>62</v>
      </c>
      <c r="C1022" s="15">
        <v>12</v>
      </c>
      <c r="D1022" s="17">
        <v>278780</v>
      </c>
      <c r="E1022" s="17">
        <v>0</v>
      </c>
      <c r="F1022" s="17">
        <v>-278780</v>
      </c>
      <c r="G1022" s="18">
        <v>0</v>
      </c>
      <c r="H1022" s="10" t="str">
        <f t="shared" si="15"/>
        <v>COSTOS</v>
      </c>
      <c r="I1022" s="19">
        <v>2025</v>
      </c>
    </row>
    <row r="1023" spans="1:9" hidden="1" x14ac:dyDescent="0.3">
      <c r="A1023" s="16" t="s">
        <v>104</v>
      </c>
      <c r="B1023" s="16" t="s">
        <v>24</v>
      </c>
      <c r="C1023" s="15">
        <v>12</v>
      </c>
      <c r="D1023" s="17">
        <v>0</v>
      </c>
      <c r="E1023" s="17">
        <v>50783</v>
      </c>
      <c r="F1023" s="17">
        <v>50783</v>
      </c>
      <c r="G1023" s="18">
        <v>0</v>
      </c>
      <c r="H1023" s="10" t="str">
        <f t="shared" si="15"/>
        <v>COSTOS</v>
      </c>
      <c r="I1023" s="19">
        <v>2025</v>
      </c>
    </row>
    <row r="1024" spans="1:9" hidden="1" x14ac:dyDescent="0.3">
      <c r="A1024" s="16" t="s">
        <v>104</v>
      </c>
      <c r="B1024" s="16" t="s">
        <v>27</v>
      </c>
      <c r="C1024" s="15">
        <v>12</v>
      </c>
      <c r="D1024" s="17">
        <v>126240</v>
      </c>
      <c r="E1024" s="17">
        <v>343103</v>
      </c>
      <c r="F1024" s="17">
        <v>216863</v>
      </c>
      <c r="G1024" s="18">
        <v>2.7178628010139416</v>
      </c>
      <c r="H1024" s="10" t="str">
        <f t="shared" si="15"/>
        <v>COSTOS</v>
      </c>
      <c r="I1024" s="19">
        <v>2025</v>
      </c>
    </row>
    <row r="1025" spans="1:9" hidden="1" x14ac:dyDescent="0.3">
      <c r="A1025" s="16" t="s">
        <v>104</v>
      </c>
      <c r="B1025" s="16" t="s">
        <v>28</v>
      </c>
      <c r="C1025" s="15">
        <v>12</v>
      </c>
      <c r="D1025" s="17">
        <v>31560</v>
      </c>
      <c r="E1025" s="17">
        <v>36750</v>
      </c>
      <c r="F1025" s="17">
        <v>5190</v>
      </c>
      <c r="G1025" s="18">
        <v>1.164448669201521</v>
      </c>
      <c r="H1025" s="10" t="str">
        <f t="shared" si="15"/>
        <v>COSTOS</v>
      </c>
      <c r="I1025" s="19">
        <v>2025</v>
      </c>
    </row>
    <row r="1026" spans="1:9" hidden="1" x14ac:dyDescent="0.3">
      <c r="A1026" s="16" t="s">
        <v>104</v>
      </c>
      <c r="B1026" s="16" t="s">
        <v>29</v>
      </c>
      <c r="C1026" s="15">
        <v>12</v>
      </c>
      <c r="D1026" s="17">
        <v>315600</v>
      </c>
      <c r="E1026" s="17">
        <v>0</v>
      </c>
      <c r="F1026" s="17">
        <v>-315600</v>
      </c>
      <c r="G1026" s="18">
        <v>0</v>
      </c>
      <c r="H1026" s="10" t="str">
        <f t="shared" si="15"/>
        <v>COSTOS</v>
      </c>
      <c r="I1026" s="19">
        <v>2025</v>
      </c>
    </row>
    <row r="1027" spans="1:9" hidden="1" x14ac:dyDescent="0.3">
      <c r="A1027" s="16" t="s">
        <v>105</v>
      </c>
      <c r="B1027" s="16" t="s">
        <v>16</v>
      </c>
      <c r="C1027" s="15">
        <v>6</v>
      </c>
      <c r="D1027" s="17">
        <v>0</v>
      </c>
      <c r="E1027" s="17">
        <v>80500</v>
      </c>
      <c r="F1027" s="17">
        <v>80500</v>
      </c>
      <c r="G1027" s="18">
        <v>0</v>
      </c>
      <c r="H1027" s="10" t="str">
        <f t="shared" ref="H1027:H1090" si="16">+IF(OR(A1027="ADMINISTRACION",A1027="COMERCIAL",A1027="COMERCIAL-EXPORTACIONES",A1027="LEASING DE LA BODEGA",A1027="LOGISTICA-SALIDA",A1027="OTROS GASTOS",A1027="BODEGA ALQUILADA", A1027="BODEGA CARTOPLAST", A1027="BODEGA CARTOPLAS", A1027= "GESTION HUMANA-OTROS GASTOS"),"GASTOS","COSTOS")</f>
        <v>COSTOS</v>
      </c>
      <c r="I1027" s="19">
        <v>2025</v>
      </c>
    </row>
    <row r="1028" spans="1:9" hidden="1" x14ac:dyDescent="0.3">
      <c r="A1028" s="16" t="s">
        <v>105</v>
      </c>
      <c r="B1028" s="16" t="s">
        <v>16</v>
      </c>
      <c r="C1028" s="15">
        <v>9</v>
      </c>
      <c r="D1028" s="17">
        <v>0</v>
      </c>
      <c r="E1028" s="17">
        <v>63000</v>
      </c>
      <c r="F1028" s="17">
        <v>63000</v>
      </c>
      <c r="G1028" s="18">
        <v>0</v>
      </c>
      <c r="H1028" s="10" t="str">
        <f t="shared" si="16"/>
        <v>COSTOS</v>
      </c>
      <c r="I1028" s="19">
        <v>2025</v>
      </c>
    </row>
    <row r="1029" spans="1:9" hidden="1" x14ac:dyDescent="0.3">
      <c r="A1029" s="16" t="s">
        <v>105</v>
      </c>
      <c r="B1029" s="16" t="s">
        <v>16</v>
      </c>
      <c r="C1029" s="15">
        <v>10</v>
      </c>
      <c r="D1029" s="17">
        <v>0</v>
      </c>
      <c r="E1029" s="17">
        <v>26000</v>
      </c>
      <c r="F1029" s="17">
        <v>26000</v>
      </c>
      <c r="G1029" s="18">
        <v>0</v>
      </c>
      <c r="H1029" s="10" t="str">
        <f t="shared" si="16"/>
        <v>COSTOS</v>
      </c>
      <c r="I1029" s="19">
        <v>2025</v>
      </c>
    </row>
    <row r="1030" spans="1:9" hidden="1" x14ac:dyDescent="0.3">
      <c r="A1030" s="16" t="s">
        <v>105</v>
      </c>
      <c r="B1030" s="16" t="s">
        <v>221</v>
      </c>
      <c r="C1030" s="15">
        <v>9</v>
      </c>
      <c r="D1030" s="17">
        <v>0</v>
      </c>
      <c r="E1030" s="17">
        <v>860000</v>
      </c>
      <c r="F1030" s="17">
        <v>860000</v>
      </c>
      <c r="G1030" s="18">
        <v>0</v>
      </c>
      <c r="H1030" s="10" t="str">
        <f t="shared" si="16"/>
        <v>COSTOS</v>
      </c>
      <c r="I1030" s="19">
        <v>2025</v>
      </c>
    </row>
    <row r="1031" spans="1:9" hidden="1" x14ac:dyDescent="0.3">
      <c r="A1031" s="16" t="s">
        <v>105</v>
      </c>
      <c r="B1031" s="16" t="s">
        <v>38</v>
      </c>
      <c r="C1031" s="15">
        <v>7</v>
      </c>
      <c r="D1031" s="17">
        <v>0</v>
      </c>
      <c r="E1031" s="17">
        <v>65000</v>
      </c>
      <c r="F1031" s="17">
        <v>65000</v>
      </c>
      <c r="G1031" s="18">
        <v>0</v>
      </c>
      <c r="H1031" s="10" t="str">
        <f t="shared" si="16"/>
        <v>COSTOS</v>
      </c>
      <c r="I1031" s="19">
        <v>2025</v>
      </c>
    </row>
    <row r="1032" spans="1:9" hidden="1" x14ac:dyDescent="0.3">
      <c r="A1032" s="16" t="s">
        <v>105</v>
      </c>
      <c r="B1032" s="16" t="s">
        <v>94</v>
      </c>
      <c r="C1032" s="15">
        <v>1</v>
      </c>
      <c r="D1032" s="17">
        <v>350000</v>
      </c>
      <c r="E1032" s="17">
        <v>99958</v>
      </c>
      <c r="F1032" s="17">
        <v>-250042</v>
      </c>
      <c r="G1032" s="18">
        <v>0.28559428571428574</v>
      </c>
      <c r="H1032" s="10" t="str">
        <f t="shared" si="16"/>
        <v>COSTOS</v>
      </c>
      <c r="I1032" s="19">
        <v>2025</v>
      </c>
    </row>
    <row r="1033" spans="1:9" hidden="1" x14ac:dyDescent="0.3">
      <c r="A1033" s="16" t="s">
        <v>105</v>
      </c>
      <c r="B1033" s="16" t="s">
        <v>94</v>
      </c>
      <c r="C1033" s="15">
        <v>2</v>
      </c>
      <c r="D1033" s="17">
        <v>350000</v>
      </c>
      <c r="E1033" s="17">
        <v>95263</v>
      </c>
      <c r="F1033" s="17">
        <v>-254737</v>
      </c>
      <c r="G1033" s="18">
        <v>0.27217999999999998</v>
      </c>
      <c r="H1033" s="10" t="str">
        <f t="shared" si="16"/>
        <v>COSTOS</v>
      </c>
      <c r="I1033" s="19">
        <v>2025</v>
      </c>
    </row>
    <row r="1034" spans="1:9" hidden="1" x14ac:dyDescent="0.3">
      <c r="A1034" s="16" t="s">
        <v>105</v>
      </c>
      <c r="B1034" s="16" t="s">
        <v>94</v>
      </c>
      <c r="C1034" s="15">
        <v>3</v>
      </c>
      <c r="D1034" s="17">
        <v>350000</v>
      </c>
      <c r="E1034" s="17">
        <v>144210</v>
      </c>
      <c r="F1034" s="17">
        <v>-205790</v>
      </c>
      <c r="G1034" s="18">
        <v>0.41202857142857147</v>
      </c>
      <c r="H1034" s="10" t="str">
        <f t="shared" si="16"/>
        <v>COSTOS</v>
      </c>
      <c r="I1034" s="19">
        <v>2025</v>
      </c>
    </row>
    <row r="1035" spans="1:9" hidden="1" x14ac:dyDescent="0.3">
      <c r="A1035" s="16" t="s">
        <v>105</v>
      </c>
      <c r="B1035" s="16" t="s">
        <v>94</v>
      </c>
      <c r="C1035" s="15">
        <v>4</v>
      </c>
      <c r="D1035" s="17">
        <v>1000000</v>
      </c>
      <c r="E1035" s="17">
        <v>1002024</v>
      </c>
      <c r="F1035" s="17">
        <v>2024</v>
      </c>
      <c r="G1035" s="18">
        <v>1.002024</v>
      </c>
      <c r="H1035" s="10" t="str">
        <f t="shared" si="16"/>
        <v>COSTOS</v>
      </c>
      <c r="I1035" s="19">
        <v>2025</v>
      </c>
    </row>
    <row r="1036" spans="1:9" hidden="1" x14ac:dyDescent="0.3">
      <c r="A1036" s="16" t="s">
        <v>105</v>
      </c>
      <c r="B1036" s="16" t="s">
        <v>94</v>
      </c>
      <c r="C1036" s="15">
        <v>5</v>
      </c>
      <c r="D1036" s="17">
        <v>1000000</v>
      </c>
      <c r="E1036" s="17">
        <v>99486</v>
      </c>
      <c r="F1036" s="17">
        <v>-900514</v>
      </c>
      <c r="G1036" s="18">
        <v>9.9486000000000005E-2</v>
      </c>
      <c r="H1036" s="10" t="str">
        <f t="shared" si="16"/>
        <v>COSTOS</v>
      </c>
      <c r="I1036" s="19">
        <v>2025</v>
      </c>
    </row>
    <row r="1037" spans="1:9" hidden="1" x14ac:dyDescent="0.3">
      <c r="A1037" s="16" t="s">
        <v>105</v>
      </c>
      <c r="B1037" s="16" t="s">
        <v>94</v>
      </c>
      <c r="C1037" s="15">
        <v>6</v>
      </c>
      <c r="D1037" s="17">
        <v>1000000</v>
      </c>
      <c r="E1037" s="17">
        <v>102752</v>
      </c>
      <c r="F1037" s="17">
        <v>-897248</v>
      </c>
      <c r="G1037" s="18">
        <v>0.102752</v>
      </c>
      <c r="H1037" s="10" t="str">
        <f t="shared" si="16"/>
        <v>COSTOS</v>
      </c>
      <c r="I1037" s="19">
        <v>2025</v>
      </c>
    </row>
    <row r="1038" spans="1:9" hidden="1" x14ac:dyDescent="0.3">
      <c r="A1038" s="16" t="s">
        <v>105</v>
      </c>
      <c r="B1038" s="16" t="s">
        <v>94</v>
      </c>
      <c r="C1038" s="15">
        <v>7</v>
      </c>
      <c r="D1038" s="17">
        <v>124290</v>
      </c>
      <c r="E1038" s="17">
        <v>99406</v>
      </c>
      <c r="F1038" s="17">
        <v>-24884</v>
      </c>
      <c r="G1038" s="18">
        <v>0.79979081181108702</v>
      </c>
      <c r="H1038" s="10" t="str">
        <f t="shared" si="16"/>
        <v>COSTOS</v>
      </c>
      <c r="I1038" s="19">
        <v>2025</v>
      </c>
    </row>
    <row r="1039" spans="1:9" hidden="1" x14ac:dyDescent="0.3">
      <c r="A1039" s="16" t="s">
        <v>105</v>
      </c>
      <c r="B1039" s="16" t="s">
        <v>94</v>
      </c>
      <c r="C1039" s="15">
        <v>8</v>
      </c>
      <c r="D1039" s="17">
        <v>124290</v>
      </c>
      <c r="E1039" s="17">
        <v>100362</v>
      </c>
      <c r="F1039" s="17">
        <v>-23928</v>
      </c>
      <c r="G1039" s="18">
        <v>0.80748250060342741</v>
      </c>
      <c r="H1039" s="10" t="str">
        <f t="shared" si="16"/>
        <v>COSTOS</v>
      </c>
      <c r="I1039" s="19">
        <v>2025</v>
      </c>
    </row>
    <row r="1040" spans="1:9" hidden="1" x14ac:dyDescent="0.3">
      <c r="A1040" s="16" t="s">
        <v>105</v>
      </c>
      <c r="B1040" s="16" t="s">
        <v>94</v>
      </c>
      <c r="C1040" s="15">
        <v>9</v>
      </c>
      <c r="D1040" s="17">
        <v>25424290</v>
      </c>
      <c r="E1040" s="17">
        <v>96738</v>
      </c>
      <c r="F1040" s="17">
        <v>-25327552</v>
      </c>
      <c r="G1040" s="18">
        <v>3.804944012202504E-3</v>
      </c>
      <c r="H1040" s="10" t="str">
        <f t="shared" si="16"/>
        <v>COSTOS</v>
      </c>
      <c r="I1040" s="19">
        <v>2025</v>
      </c>
    </row>
    <row r="1041" spans="1:9" hidden="1" x14ac:dyDescent="0.3">
      <c r="A1041" s="16" t="s">
        <v>105</v>
      </c>
      <c r="B1041" s="16" t="s">
        <v>94</v>
      </c>
      <c r="C1041" s="15">
        <v>10</v>
      </c>
      <c r="D1041" s="17">
        <v>7124290</v>
      </c>
      <c r="E1041" s="17">
        <v>96444</v>
      </c>
      <c r="F1041" s="17">
        <v>-7027846</v>
      </c>
      <c r="G1041" s="18">
        <v>1.3537348984951483E-2</v>
      </c>
      <c r="H1041" s="10" t="str">
        <f t="shared" si="16"/>
        <v>COSTOS</v>
      </c>
      <c r="I1041" s="19">
        <v>2025</v>
      </c>
    </row>
    <row r="1042" spans="1:9" hidden="1" x14ac:dyDescent="0.3">
      <c r="A1042" s="16" t="s">
        <v>105</v>
      </c>
      <c r="B1042" s="16" t="s">
        <v>46</v>
      </c>
      <c r="C1042" s="15">
        <v>10</v>
      </c>
      <c r="D1042" s="17">
        <v>0</v>
      </c>
      <c r="E1042" s="17">
        <v>2645900</v>
      </c>
      <c r="F1042" s="17">
        <v>2645900</v>
      </c>
      <c r="G1042" s="18">
        <v>0</v>
      </c>
      <c r="H1042" s="10" t="str">
        <f t="shared" si="16"/>
        <v>COSTOS</v>
      </c>
      <c r="I1042" s="19">
        <v>2025</v>
      </c>
    </row>
    <row r="1043" spans="1:9" hidden="1" x14ac:dyDescent="0.3">
      <c r="A1043" s="16" t="s">
        <v>105</v>
      </c>
      <c r="B1043" s="16" t="s">
        <v>161</v>
      </c>
      <c r="C1043" s="15">
        <v>10</v>
      </c>
      <c r="D1043" s="17">
        <v>0</v>
      </c>
      <c r="E1043" s="17">
        <v>968100</v>
      </c>
      <c r="F1043" s="17">
        <v>968100</v>
      </c>
      <c r="G1043" s="18">
        <v>0</v>
      </c>
      <c r="H1043" s="10" t="str">
        <f t="shared" si="16"/>
        <v>COSTOS</v>
      </c>
      <c r="I1043" s="19">
        <v>2025</v>
      </c>
    </row>
    <row r="1044" spans="1:9" hidden="1" x14ac:dyDescent="0.3">
      <c r="A1044" s="16" t="s">
        <v>105</v>
      </c>
      <c r="B1044" s="16" t="s">
        <v>42</v>
      </c>
      <c r="C1044" s="15">
        <v>1</v>
      </c>
      <c r="D1044" s="17">
        <v>0</v>
      </c>
      <c r="E1044" s="17">
        <v>147219</v>
      </c>
      <c r="F1044" s="17">
        <v>147219</v>
      </c>
      <c r="G1044" s="18">
        <v>0</v>
      </c>
      <c r="H1044" s="10" t="str">
        <f t="shared" si="16"/>
        <v>COSTOS</v>
      </c>
      <c r="I1044" s="19">
        <v>2025</v>
      </c>
    </row>
    <row r="1045" spans="1:9" hidden="1" x14ac:dyDescent="0.3">
      <c r="A1045" s="16" t="s">
        <v>105</v>
      </c>
      <c r="B1045" s="16" t="s">
        <v>42</v>
      </c>
      <c r="C1045" s="15">
        <v>2</v>
      </c>
      <c r="D1045" s="17">
        <v>0</v>
      </c>
      <c r="E1045" s="17">
        <v>147219</v>
      </c>
      <c r="F1045" s="17">
        <v>147219</v>
      </c>
      <c r="G1045" s="18">
        <v>0</v>
      </c>
      <c r="H1045" s="10" t="str">
        <f t="shared" si="16"/>
        <v>COSTOS</v>
      </c>
      <c r="I1045" s="19">
        <v>2025</v>
      </c>
    </row>
    <row r="1046" spans="1:9" hidden="1" x14ac:dyDescent="0.3">
      <c r="A1046" s="16" t="s">
        <v>105</v>
      </c>
      <c r="B1046" s="16" t="s">
        <v>42</v>
      </c>
      <c r="C1046" s="15">
        <v>3</v>
      </c>
      <c r="D1046" s="17">
        <v>0</v>
      </c>
      <c r="E1046" s="17">
        <v>147219</v>
      </c>
      <c r="F1046" s="17">
        <v>147219</v>
      </c>
      <c r="G1046" s="18">
        <v>0</v>
      </c>
      <c r="H1046" s="10" t="str">
        <f t="shared" si="16"/>
        <v>COSTOS</v>
      </c>
      <c r="I1046" s="19">
        <v>2025</v>
      </c>
    </row>
    <row r="1047" spans="1:9" hidden="1" x14ac:dyDescent="0.3">
      <c r="A1047" s="16" t="s">
        <v>105</v>
      </c>
      <c r="B1047" s="16" t="s">
        <v>42</v>
      </c>
      <c r="C1047" s="15">
        <v>4</v>
      </c>
      <c r="D1047" s="17">
        <v>0</v>
      </c>
      <c r="E1047" s="17">
        <v>147219</v>
      </c>
      <c r="F1047" s="17">
        <v>147219</v>
      </c>
      <c r="G1047" s="18">
        <v>0</v>
      </c>
      <c r="H1047" s="10" t="str">
        <f t="shared" si="16"/>
        <v>COSTOS</v>
      </c>
      <c r="I1047" s="19">
        <v>2025</v>
      </c>
    </row>
    <row r="1048" spans="1:9" hidden="1" x14ac:dyDescent="0.3">
      <c r="A1048" s="16" t="s">
        <v>105</v>
      </c>
      <c r="B1048" s="16" t="s">
        <v>42</v>
      </c>
      <c r="C1048" s="15">
        <v>5</v>
      </c>
      <c r="D1048" s="17">
        <v>0</v>
      </c>
      <c r="E1048" s="17">
        <v>147219</v>
      </c>
      <c r="F1048" s="17">
        <v>147219</v>
      </c>
      <c r="G1048" s="18">
        <v>0</v>
      </c>
      <c r="H1048" s="10" t="str">
        <f t="shared" si="16"/>
        <v>COSTOS</v>
      </c>
      <c r="I1048" s="19">
        <v>2025</v>
      </c>
    </row>
    <row r="1049" spans="1:9" hidden="1" x14ac:dyDescent="0.3">
      <c r="A1049" s="16" t="s">
        <v>105</v>
      </c>
      <c r="B1049" s="16" t="s">
        <v>42</v>
      </c>
      <c r="C1049" s="15">
        <v>6</v>
      </c>
      <c r="D1049" s="17">
        <v>0</v>
      </c>
      <c r="E1049" s="17">
        <v>147219</v>
      </c>
      <c r="F1049" s="17">
        <v>147219</v>
      </c>
      <c r="G1049" s="18">
        <v>0</v>
      </c>
      <c r="H1049" s="10" t="str">
        <f t="shared" si="16"/>
        <v>COSTOS</v>
      </c>
      <c r="I1049" s="19">
        <v>2025</v>
      </c>
    </row>
    <row r="1050" spans="1:9" hidden="1" x14ac:dyDescent="0.3">
      <c r="A1050" s="16" t="s">
        <v>105</v>
      </c>
      <c r="B1050" s="16" t="s">
        <v>42</v>
      </c>
      <c r="C1050" s="15">
        <v>7</v>
      </c>
      <c r="D1050" s="17">
        <v>0</v>
      </c>
      <c r="E1050" s="17">
        <v>147219</v>
      </c>
      <c r="F1050" s="17">
        <v>147219</v>
      </c>
      <c r="G1050" s="18">
        <v>0</v>
      </c>
      <c r="H1050" s="10" t="str">
        <f t="shared" si="16"/>
        <v>COSTOS</v>
      </c>
      <c r="I1050" s="19">
        <v>2025</v>
      </c>
    </row>
    <row r="1051" spans="1:9" hidden="1" x14ac:dyDescent="0.3">
      <c r="A1051" s="16" t="s">
        <v>105</v>
      </c>
      <c r="B1051" s="16" t="s">
        <v>42</v>
      </c>
      <c r="C1051" s="15">
        <v>8</v>
      </c>
      <c r="D1051" s="17">
        <v>0</v>
      </c>
      <c r="E1051" s="17">
        <v>147219</v>
      </c>
      <c r="F1051" s="17">
        <v>147219</v>
      </c>
      <c r="G1051" s="18">
        <v>0</v>
      </c>
      <c r="H1051" s="10" t="str">
        <f t="shared" si="16"/>
        <v>COSTOS</v>
      </c>
      <c r="I1051" s="19">
        <v>2025</v>
      </c>
    </row>
    <row r="1052" spans="1:9" hidden="1" x14ac:dyDescent="0.3">
      <c r="A1052" s="16" t="s">
        <v>105</v>
      </c>
      <c r="B1052" s="16" t="s">
        <v>42</v>
      </c>
      <c r="C1052" s="15">
        <v>9</v>
      </c>
      <c r="D1052" s="17">
        <v>0</v>
      </c>
      <c r="E1052" s="17">
        <v>147219</v>
      </c>
      <c r="F1052" s="17">
        <v>147219</v>
      </c>
      <c r="G1052" s="18">
        <v>0</v>
      </c>
      <c r="H1052" s="10" t="str">
        <f t="shared" si="16"/>
        <v>COSTOS</v>
      </c>
      <c r="I1052" s="19">
        <v>2025</v>
      </c>
    </row>
    <row r="1053" spans="1:9" hidden="1" x14ac:dyDescent="0.3">
      <c r="A1053" s="16" t="s">
        <v>105</v>
      </c>
      <c r="B1053" s="16" t="s">
        <v>42</v>
      </c>
      <c r="C1053" s="15">
        <v>10</v>
      </c>
      <c r="D1053" s="17">
        <v>0</v>
      </c>
      <c r="E1053" s="17">
        <v>147219</v>
      </c>
      <c r="F1053" s="17">
        <v>147219</v>
      </c>
      <c r="G1053" s="18">
        <v>0</v>
      </c>
      <c r="H1053" s="10" t="str">
        <f t="shared" si="16"/>
        <v>COSTOS</v>
      </c>
      <c r="I1053" s="19">
        <v>2025</v>
      </c>
    </row>
    <row r="1054" spans="1:9" hidden="1" x14ac:dyDescent="0.3">
      <c r="A1054" s="16" t="s">
        <v>105</v>
      </c>
      <c r="B1054" s="16" t="s">
        <v>27</v>
      </c>
      <c r="C1054" s="15">
        <v>2</v>
      </c>
      <c r="D1054" s="17">
        <v>0</v>
      </c>
      <c r="E1054" s="17">
        <v>42149</v>
      </c>
      <c r="F1054" s="17">
        <v>42149</v>
      </c>
      <c r="G1054" s="18">
        <v>0</v>
      </c>
      <c r="H1054" s="10" t="str">
        <f t="shared" si="16"/>
        <v>COSTOS</v>
      </c>
      <c r="I1054" s="19">
        <v>2025</v>
      </c>
    </row>
    <row r="1055" spans="1:9" hidden="1" x14ac:dyDescent="0.3">
      <c r="A1055" s="16" t="s">
        <v>105</v>
      </c>
      <c r="B1055" s="16" t="s">
        <v>28</v>
      </c>
      <c r="C1055" s="15">
        <v>1</v>
      </c>
      <c r="D1055" s="17">
        <v>0</v>
      </c>
      <c r="E1055" s="17">
        <v>536915</v>
      </c>
      <c r="F1055" s="17">
        <v>536915</v>
      </c>
      <c r="G1055" s="18">
        <v>0</v>
      </c>
      <c r="H1055" s="10" t="str">
        <f t="shared" si="16"/>
        <v>COSTOS</v>
      </c>
      <c r="I1055" s="19">
        <v>2025</v>
      </c>
    </row>
    <row r="1056" spans="1:9" hidden="1" x14ac:dyDescent="0.3">
      <c r="A1056" s="16" t="s">
        <v>105</v>
      </c>
      <c r="B1056" s="16" t="s">
        <v>28</v>
      </c>
      <c r="C1056" s="15">
        <v>2</v>
      </c>
      <c r="D1056" s="17">
        <v>0</v>
      </c>
      <c r="E1056" s="17">
        <v>215009</v>
      </c>
      <c r="F1056" s="17">
        <v>215009</v>
      </c>
      <c r="G1056" s="18">
        <v>0</v>
      </c>
      <c r="H1056" s="10" t="str">
        <f t="shared" si="16"/>
        <v>COSTOS</v>
      </c>
      <c r="I1056" s="19">
        <v>2025</v>
      </c>
    </row>
    <row r="1057" spans="1:9" hidden="1" x14ac:dyDescent="0.3">
      <c r="A1057" s="16" t="s">
        <v>105</v>
      </c>
      <c r="B1057" s="16" t="s">
        <v>28</v>
      </c>
      <c r="C1057" s="15">
        <v>3</v>
      </c>
      <c r="D1057" s="17">
        <v>0</v>
      </c>
      <c r="E1057" s="17">
        <v>2363132</v>
      </c>
      <c r="F1057" s="17">
        <v>2363132</v>
      </c>
      <c r="G1057" s="18">
        <v>0</v>
      </c>
      <c r="H1057" s="10" t="str">
        <f t="shared" si="16"/>
        <v>COSTOS</v>
      </c>
      <c r="I1057" s="19">
        <v>2025</v>
      </c>
    </row>
    <row r="1058" spans="1:9" hidden="1" x14ac:dyDescent="0.3">
      <c r="A1058" s="16" t="s">
        <v>105</v>
      </c>
      <c r="B1058" s="16" t="s">
        <v>28</v>
      </c>
      <c r="C1058" s="15">
        <v>5</v>
      </c>
      <c r="D1058" s="17">
        <v>0</v>
      </c>
      <c r="E1058" s="17">
        <v>960216</v>
      </c>
      <c r="F1058" s="17">
        <v>960216</v>
      </c>
      <c r="G1058" s="18">
        <v>0</v>
      </c>
      <c r="H1058" s="10" t="str">
        <f t="shared" si="16"/>
        <v>COSTOS</v>
      </c>
      <c r="I1058" s="19">
        <v>2025</v>
      </c>
    </row>
    <row r="1059" spans="1:9" hidden="1" x14ac:dyDescent="0.3">
      <c r="A1059" s="16" t="s">
        <v>105</v>
      </c>
      <c r="B1059" s="16" t="s">
        <v>28</v>
      </c>
      <c r="C1059" s="15">
        <v>9</v>
      </c>
      <c r="D1059" s="17">
        <v>0</v>
      </c>
      <c r="E1059" s="17">
        <v>82479</v>
      </c>
      <c r="F1059" s="17">
        <v>82479</v>
      </c>
      <c r="G1059" s="18">
        <v>0</v>
      </c>
      <c r="H1059" s="10" t="str">
        <f t="shared" si="16"/>
        <v>COSTOS</v>
      </c>
      <c r="I1059" s="19">
        <v>2025</v>
      </c>
    </row>
    <row r="1060" spans="1:9" hidden="1" x14ac:dyDescent="0.3">
      <c r="A1060" s="16" t="s">
        <v>105</v>
      </c>
      <c r="B1060" s="16" t="s">
        <v>28</v>
      </c>
      <c r="C1060" s="15">
        <v>10</v>
      </c>
      <c r="D1060" s="17">
        <v>0</v>
      </c>
      <c r="E1060" s="17">
        <v>505091</v>
      </c>
      <c r="F1060" s="17">
        <v>505091</v>
      </c>
      <c r="G1060" s="18">
        <v>0</v>
      </c>
      <c r="H1060" s="10" t="str">
        <f t="shared" si="16"/>
        <v>COSTOS</v>
      </c>
      <c r="I1060" s="19">
        <v>2025</v>
      </c>
    </row>
    <row r="1061" spans="1:9" hidden="1" x14ac:dyDescent="0.3">
      <c r="A1061" s="16" t="s">
        <v>105</v>
      </c>
      <c r="B1061" s="16" t="s">
        <v>58</v>
      </c>
      <c r="C1061" s="15">
        <v>2</v>
      </c>
      <c r="D1061" s="17">
        <v>500000</v>
      </c>
      <c r="E1061" s="17">
        <v>0</v>
      </c>
      <c r="F1061" s="17">
        <v>-500000</v>
      </c>
      <c r="G1061" s="18">
        <v>0</v>
      </c>
      <c r="H1061" s="10" t="str">
        <f t="shared" si="16"/>
        <v>COSTOS</v>
      </c>
      <c r="I1061" s="19">
        <v>2025</v>
      </c>
    </row>
    <row r="1062" spans="1:9" hidden="1" x14ac:dyDescent="0.3">
      <c r="A1062" s="16" t="s">
        <v>105</v>
      </c>
      <c r="B1062" s="16" t="s">
        <v>58</v>
      </c>
      <c r="C1062" s="15">
        <v>3</v>
      </c>
      <c r="D1062" s="17">
        <v>1500000</v>
      </c>
      <c r="E1062" s="17">
        <v>0</v>
      </c>
      <c r="F1062" s="17">
        <v>-1500000</v>
      </c>
      <c r="G1062" s="18">
        <v>0</v>
      </c>
      <c r="H1062" s="10" t="str">
        <f t="shared" si="16"/>
        <v>COSTOS</v>
      </c>
      <c r="I1062" s="19">
        <v>2025</v>
      </c>
    </row>
    <row r="1063" spans="1:9" hidden="1" x14ac:dyDescent="0.3">
      <c r="A1063" s="16" t="s">
        <v>105</v>
      </c>
      <c r="B1063" s="16" t="s">
        <v>58</v>
      </c>
      <c r="C1063" s="15">
        <v>5</v>
      </c>
      <c r="D1063" s="17">
        <v>500000</v>
      </c>
      <c r="E1063" s="17">
        <v>0</v>
      </c>
      <c r="F1063" s="17">
        <v>-500000</v>
      </c>
      <c r="G1063" s="18">
        <v>0</v>
      </c>
      <c r="H1063" s="10" t="str">
        <f t="shared" si="16"/>
        <v>COSTOS</v>
      </c>
      <c r="I1063" s="19">
        <v>2025</v>
      </c>
    </row>
    <row r="1064" spans="1:9" hidden="1" x14ac:dyDescent="0.3">
      <c r="A1064" s="16" t="s">
        <v>105</v>
      </c>
      <c r="B1064" s="16" t="s">
        <v>58</v>
      </c>
      <c r="C1064" s="15">
        <v>6</v>
      </c>
      <c r="D1064" s="17">
        <v>500000</v>
      </c>
      <c r="E1064" s="17">
        <v>0</v>
      </c>
      <c r="F1064" s="17">
        <v>-500000</v>
      </c>
      <c r="G1064" s="18">
        <v>0</v>
      </c>
      <c r="H1064" s="10" t="str">
        <f t="shared" si="16"/>
        <v>COSTOS</v>
      </c>
      <c r="I1064" s="19">
        <v>2025</v>
      </c>
    </row>
    <row r="1065" spans="1:9" hidden="1" x14ac:dyDescent="0.3">
      <c r="A1065" s="16" t="s">
        <v>105</v>
      </c>
      <c r="B1065" s="16" t="s">
        <v>58</v>
      </c>
      <c r="C1065" s="15">
        <v>7</v>
      </c>
      <c r="D1065" s="17">
        <v>500000</v>
      </c>
      <c r="E1065" s="17">
        <v>0</v>
      </c>
      <c r="F1065" s="17">
        <v>-500000</v>
      </c>
      <c r="G1065" s="18">
        <v>0</v>
      </c>
      <c r="H1065" s="10" t="str">
        <f t="shared" si="16"/>
        <v>COSTOS</v>
      </c>
      <c r="I1065" s="19">
        <v>2025</v>
      </c>
    </row>
    <row r="1066" spans="1:9" hidden="1" x14ac:dyDescent="0.3">
      <c r="A1066" s="16" t="s">
        <v>105</v>
      </c>
      <c r="B1066" s="16" t="s">
        <v>58</v>
      </c>
      <c r="C1066" s="15">
        <v>8</v>
      </c>
      <c r="D1066" s="17">
        <v>500000</v>
      </c>
      <c r="E1066" s="17">
        <v>0</v>
      </c>
      <c r="F1066" s="17">
        <v>-500000</v>
      </c>
      <c r="G1066" s="18">
        <v>0</v>
      </c>
      <c r="H1066" s="10" t="str">
        <f t="shared" si="16"/>
        <v>COSTOS</v>
      </c>
      <c r="I1066" s="19">
        <v>2025</v>
      </c>
    </row>
    <row r="1067" spans="1:9" hidden="1" x14ac:dyDescent="0.3">
      <c r="A1067" s="16" t="s">
        <v>105</v>
      </c>
      <c r="B1067" s="16" t="s">
        <v>58</v>
      </c>
      <c r="C1067" s="15">
        <v>9</v>
      </c>
      <c r="D1067" s="17">
        <v>500000</v>
      </c>
      <c r="E1067" s="17">
        <v>0</v>
      </c>
      <c r="F1067" s="17">
        <v>-500000</v>
      </c>
      <c r="G1067" s="18">
        <v>0</v>
      </c>
      <c r="H1067" s="10" t="str">
        <f t="shared" si="16"/>
        <v>COSTOS</v>
      </c>
      <c r="I1067" s="19">
        <v>2025</v>
      </c>
    </row>
    <row r="1068" spans="1:9" hidden="1" x14ac:dyDescent="0.3">
      <c r="A1068" s="16" t="s">
        <v>105</v>
      </c>
      <c r="B1068" s="16" t="s">
        <v>58</v>
      </c>
      <c r="C1068" s="15">
        <v>10</v>
      </c>
      <c r="D1068" s="17">
        <v>500000</v>
      </c>
      <c r="E1068" s="17">
        <v>0</v>
      </c>
      <c r="F1068" s="17">
        <v>-500000</v>
      </c>
      <c r="G1068" s="18">
        <v>0</v>
      </c>
      <c r="H1068" s="10" t="str">
        <f t="shared" si="16"/>
        <v>COSTOS</v>
      </c>
      <c r="I1068" s="19">
        <v>2025</v>
      </c>
    </row>
    <row r="1069" spans="1:9" hidden="1" x14ac:dyDescent="0.3">
      <c r="A1069" s="16" t="s">
        <v>105</v>
      </c>
      <c r="B1069" s="16" t="s">
        <v>106</v>
      </c>
      <c r="C1069" s="15">
        <v>1</v>
      </c>
      <c r="D1069" s="17">
        <v>500000</v>
      </c>
      <c r="E1069" s="17">
        <v>0</v>
      </c>
      <c r="F1069" s="17">
        <v>-500000</v>
      </c>
      <c r="G1069" s="18">
        <v>0</v>
      </c>
      <c r="H1069" s="10" t="str">
        <f t="shared" si="16"/>
        <v>COSTOS</v>
      </c>
      <c r="I1069" s="19">
        <v>2025</v>
      </c>
    </row>
    <row r="1070" spans="1:9" hidden="1" x14ac:dyDescent="0.3">
      <c r="A1070" s="16" t="s">
        <v>105</v>
      </c>
      <c r="B1070" s="16" t="s">
        <v>106</v>
      </c>
      <c r="C1070" s="15">
        <v>2</v>
      </c>
      <c r="D1070" s="17">
        <v>500000</v>
      </c>
      <c r="E1070" s="17">
        <v>0</v>
      </c>
      <c r="F1070" s="17">
        <v>-500000</v>
      </c>
      <c r="G1070" s="18">
        <v>0</v>
      </c>
      <c r="H1070" s="10" t="str">
        <f t="shared" si="16"/>
        <v>COSTOS</v>
      </c>
      <c r="I1070" s="19">
        <v>2025</v>
      </c>
    </row>
    <row r="1071" spans="1:9" hidden="1" x14ac:dyDescent="0.3">
      <c r="A1071" s="16" t="s">
        <v>105</v>
      </c>
      <c r="B1071" s="16" t="s">
        <v>106</v>
      </c>
      <c r="C1071" s="15">
        <v>3</v>
      </c>
      <c r="D1071" s="17">
        <v>2500000</v>
      </c>
      <c r="E1071" s="17">
        <v>0</v>
      </c>
      <c r="F1071" s="17">
        <v>-2500000</v>
      </c>
      <c r="G1071" s="18">
        <v>0</v>
      </c>
      <c r="H1071" s="10" t="str">
        <f t="shared" si="16"/>
        <v>COSTOS</v>
      </c>
      <c r="I1071" s="19">
        <v>2025</v>
      </c>
    </row>
    <row r="1072" spans="1:9" hidden="1" x14ac:dyDescent="0.3">
      <c r="A1072" s="16" t="s">
        <v>105</v>
      </c>
      <c r="B1072" s="16" t="s">
        <v>106</v>
      </c>
      <c r="C1072" s="15">
        <v>5</v>
      </c>
      <c r="D1072" s="17">
        <v>1000000</v>
      </c>
      <c r="E1072" s="17">
        <v>0</v>
      </c>
      <c r="F1072" s="17">
        <v>-1000000</v>
      </c>
      <c r="G1072" s="18">
        <v>0</v>
      </c>
      <c r="H1072" s="10" t="str">
        <f t="shared" si="16"/>
        <v>COSTOS</v>
      </c>
      <c r="I1072" s="19">
        <v>2025</v>
      </c>
    </row>
    <row r="1073" spans="1:9" hidden="1" x14ac:dyDescent="0.3">
      <c r="A1073" s="16" t="s">
        <v>105</v>
      </c>
      <c r="B1073" s="16" t="s">
        <v>106</v>
      </c>
      <c r="C1073" s="15">
        <v>6</v>
      </c>
      <c r="D1073" s="17">
        <v>250000</v>
      </c>
      <c r="E1073" s="17">
        <v>0</v>
      </c>
      <c r="F1073" s="17">
        <v>-250000</v>
      </c>
      <c r="G1073" s="18">
        <v>0</v>
      </c>
      <c r="H1073" s="10" t="str">
        <f t="shared" si="16"/>
        <v>COSTOS</v>
      </c>
      <c r="I1073" s="19">
        <v>2025</v>
      </c>
    </row>
    <row r="1074" spans="1:9" hidden="1" x14ac:dyDescent="0.3">
      <c r="A1074" s="16" t="s">
        <v>105</v>
      </c>
      <c r="B1074" s="16" t="s">
        <v>106</v>
      </c>
      <c r="C1074" s="15">
        <v>7</v>
      </c>
      <c r="D1074" s="17">
        <v>1500000</v>
      </c>
      <c r="E1074" s="17">
        <v>0</v>
      </c>
      <c r="F1074" s="17">
        <v>-1500000</v>
      </c>
      <c r="G1074" s="18">
        <v>0</v>
      </c>
      <c r="H1074" s="10" t="str">
        <f t="shared" si="16"/>
        <v>COSTOS</v>
      </c>
      <c r="I1074" s="19">
        <v>2025</v>
      </c>
    </row>
    <row r="1075" spans="1:9" hidden="1" x14ac:dyDescent="0.3">
      <c r="A1075" s="16" t="s">
        <v>105</v>
      </c>
      <c r="B1075" s="16" t="s">
        <v>106</v>
      </c>
      <c r="C1075" s="15">
        <v>8</v>
      </c>
      <c r="D1075" s="17">
        <v>2000000</v>
      </c>
      <c r="E1075" s="17">
        <v>0</v>
      </c>
      <c r="F1075" s="17">
        <v>-2000000</v>
      </c>
      <c r="G1075" s="18">
        <v>0</v>
      </c>
      <c r="H1075" s="10" t="str">
        <f t="shared" si="16"/>
        <v>COSTOS</v>
      </c>
      <c r="I1075" s="19">
        <v>2025</v>
      </c>
    </row>
    <row r="1076" spans="1:9" hidden="1" x14ac:dyDescent="0.3">
      <c r="A1076" s="16" t="s">
        <v>105</v>
      </c>
      <c r="B1076" s="16" t="s">
        <v>106</v>
      </c>
      <c r="C1076" s="15">
        <v>9</v>
      </c>
      <c r="D1076" s="17">
        <v>1800000</v>
      </c>
      <c r="E1076" s="17">
        <v>0</v>
      </c>
      <c r="F1076" s="17">
        <v>-1800000</v>
      </c>
      <c r="G1076" s="18">
        <v>0</v>
      </c>
      <c r="H1076" s="10" t="str">
        <f t="shared" si="16"/>
        <v>COSTOS</v>
      </c>
      <c r="I1076" s="19">
        <v>2025</v>
      </c>
    </row>
    <row r="1077" spans="1:9" hidden="1" x14ac:dyDescent="0.3">
      <c r="A1077" s="16" t="s">
        <v>105</v>
      </c>
      <c r="B1077" s="16" t="s">
        <v>106</v>
      </c>
      <c r="C1077" s="15">
        <v>10</v>
      </c>
      <c r="D1077" s="17">
        <v>2500000</v>
      </c>
      <c r="E1077" s="17">
        <v>0</v>
      </c>
      <c r="F1077" s="17">
        <v>-2500000</v>
      </c>
      <c r="G1077" s="18">
        <v>0</v>
      </c>
      <c r="H1077" s="10" t="str">
        <f t="shared" si="16"/>
        <v>COSTOS</v>
      </c>
      <c r="I1077" s="19">
        <v>2025</v>
      </c>
    </row>
    <row r="1078" spans="1:9" hidden="1" x14ac:dyDescent="0.3">
      <c r="A1078" s="16" t="s">
        <v>105</v>
      </c>
      <c r="B1078" s="16" t="s">
        <v>216</v>
      </c>
      <c r="C1078" s="15">
        <v>8</v>
      </c>
      <c r="D1078" s="17">
        <v>0</v>
      </c>
      <c r="E1078" s="17">
        <v>26890407</v>
      </c>
      <c r="F1078" s="17">
        <v>26890407</v>
      </c>
      <c r="G1078" s="18">
        <v>0</v>
      </c>
      <c r="H1078" s="10" t="str">
        <f t="shared" si="16"/>
        <v>COSTOS</v>
      </c>
      <c r="I1078" s="19">
        <v>2025</v>
      </c>
    </row>
    <row r="1079" spans="1:9" hidden="1" x14ac:dyDescent="0.3">
      <c r="A1079" s="16" t="s">
        <v>105</v>
      </c>
      <c r="B1079" s="16" t="s">
        <v>40</v>
      </c>
      <c r="C1079" s="15">
        <v>11</v>
      </c>
      <c r="D1079" s="17">
        <v>0</v>
      </c>
      <c r="E1079" s="17">
        <v>357963</v>
      </c>
      <c r="F1079" s="17">
        <v>357963</v>
      </c>
      <c r="G1079" s="18">
        <v>0</v>
      </c>
      <c r="H1079" s="10" t="str">
        <f t="shared" si="16"/>
        <v>COSTOS</v>
      </c>
      <c r="I1079" s="19">
        <v>2025</v>
      </c>
    </row>
    <row r="1080" spans="1:9" hidden="1" x14ac:dyDescent="0.3">
      <c r="A1080" s="16" t="s">
        <v>105</v>
      </c>
      <c r="B1080" s="16" t="s">
        <v>41</v>
      </c>
      <c r="C1080" s="15">
        <v>11</v>
      </c>
      <c r="D1080" s="17">
        <v>0</v>
      </c>
      <c r="E1080" s="17">
        <v>170000</v>
      </c>
      <c r="F1080" s="17">
        <v>170000</v>
      </c>
      <c r="G1080" s="18">
        <v>0</v>
      </c>
      <c r="H1080" s="10" t="str">
        <f t="shared" si="16"/>
        <v>COSTOS</v>
      </c>
      <c r="I1080" s="19">
        <v>2025</v>
      </c>
    </row>
    <row r="1081" spans="1:9" hidden="1" x14ac:dyDescent="0.3">
      <c r="A1081" s="16" t="s">
        <v>105</v>
      </c>
      <c r="B1081" s="16" t="s">
        <v>94</v>
      </c>
      <c r="C1081" s="15">
        <v>11</v>
      </c>
      <c r="D1081" s="17">
        <v>124290</v>
      </c>
      <c r="E1081" s="17">
        <v>419142</v>
      </c>
      <c r="F1081" s="17">
        <v>294852</v>
      </c>
      <c r="G1081" s="18">
        <v>3.3722906106685979</v>
      </c>
      <c r="H1081" s="10" t="str">
        <f t="shared" si="16"/>
        <v>COSTOS</v>
      </c>
      <c r="I1081" s="19">
        <v>2025</v>
      </c>
    </row>
    <row r="1082" spans="1:9" hidden="1" x14ac:dyDescent="0.3">
      <c r="A1082" s="16" t="s">
        <v>105</v>
      </c>
      <c r="B1082" s="16" t="s">
        <v>46</v>
      </c>
      <c r="C1082" s="15">
        <v>11</v>
      </c>
      <c r="D1082" s="17">
        <v>500000</v>
      </c>
      <c r="E1082" s="17">
        <v>0</v>
      </c>
      <c r="F1082" s="17">
        <v>-500000</v>
      </c>
      <c r="G1082" s="18">
        <v>0</v>
      </c>
      <c r="H1082" s="10" t="str">
        <f t="shared" si="16"/>
        <v>COSTOS</v>
      </c>
      <c r="I1082" s="19">
        <v>2025</v>
      </c>
    </row>
    <row r="1083" spans="1:9" hidden="1" x14ac:dyDescent="0.3">
      <c r="A1083" s="16" t="s">
        <v>105</v>
      </c>
      <c r="B1083" s="16" t="s">
        <v>47</v>
      </c>
      <c r="C1083" s="15">
        <v>11</v>
      </c>
      <c r="D1083" s="17">
        <v>500000</v>
      </c>
      <c r="E1083" s="17">
        <v>0</v>
      </c>
      <c r="F1083" s="17">
        <v>-500000</v>
      </c>
      <c r="G1083" s="18">
        <v>0</v>
      </c>
      <c r="H1083" s="10" t="str">
        <f t="shared" si="16"/>
        <v>COSTOS</v>
      </c>
      <c r="I1083" s="19">
        <v>2025</v>
      </c>
    </row>
    <row r="1084" spans="1:9" hidden="1" x14ac:dyDescent="0.3">
      <c r="A1084" s="16" t="s">
        <v>105</v>
      </c>
      <c r="B1084" s="16" t="s">
        <v>161</v>
      </c>
      <c r="C1084" s="15">
        <v>11</v>
      </c>
      <c r="D1084" s="17">
        <v>250000</v>
      </c>
      <c r="E1084" s="17">
        <v>0</v>
      </c>
      <c r="F1084" s="17">
        <v>-250000</v>
      </c>
      <c r="G1084" s="18">
        <v>0</v>
      </c>
      <c r="H1084" s="10" t="str">
        <f t="shared" si="16"/>
        <v>COSTOS</v>
      </c>
      <c r="I1084" s="19">
        <v>2025</v>
      </c>
    </row>
    <row r="1085" spans="1:9" hidden="1" x14ac:dyDescent="0.3">
      <c r="A1085" s="16" t="s">
        <v>105</v>
      </c>
      <c r="B1085" s="16" t="s">
        <v>42</v>
      </c>
      <c r="C1085" s="15">
        <v>11</v>
      </c>
      <c r="D1085" s="17">
        <v>0</v>
      </c>
      <c r="E1085" s="17">
        <v>147219</v>
      </c>
      <c r="F1085" s="17">
        <v>147219</v>
      </c>
      <c r="G1085" s="18">
        <v>0</v>
      </c>
      <c r="H1085" s="10" t="str">
        <f t="shared" si="16"/>
        <v>COSTOS</v>
      </c>
      <c r="I1085" s="19">
        <v>2025</v>
      </c>
    </row>
    <row r="1086" spans="1:9" hidden="1" x14ac:dyDescent="0.3">
      <c r="A1086" s="16" t="s">
        <v>105</v>
      </c>
      <c r="B1086" s="16" t="s">
        <v>26</v>
      </c>
      <c r="C1086" s="15">
        <v>11</v>
      </c>
      <c r="D1086" s="17">
        <v>0</v>
      </c>
      <c r="E1086" s="17">
        <v>99000</v>
      </c>
      <c r="F1086" s="17">
        <v>99000</v>
      </c>
      <c r="G1086" s="18">
        <v>0</v>
      </c>
      <c r="H1086" s="10" t="str">
        <f t="shared" si="16"/>
        <v>COSTOS</v>
      </c>
      <c r="I1086" s="19">
        <v>2025</v>
      </c>
    </row>
    <row r="1087" spans="1:9" hidden="1" x14ac:dyDescent="0.3">
      <c r="A1087" s="16" t="s">
        <v>105</v>
      </c>
      <c r="B1087" s="16" t="s">
        <v>28</v>
      </c>
      <c r="C1087" s="15">
        <v>11</v>
      </c>
      <c r="D1087" s="17">
        <v>0</v>
      </c>
      <c r="E1087" s="17">
        <v>290000</v>
      </c>
      <c r="F1087" s="17">
        <v>290000</v>
      </c>
      <c r="G1087" s="18">
        <v>0</v>
      </c>
      <c r="H1087" s="10" t="str">
        <f t="shared" si="16"/>
        <v>COSTOS</v>
      </c>
      <c r="I1087" s="19">
        <v>2025</v>
      </c>
    </row>
    <row r="1088" spans="1:9" hidden="1" x14ac:dyDescent="0.3">
      <c r="A1088" s="16" t="s">
        <v>105</v>
      </c>
      <c r="B1088" s="16" t="s">
        <v>58</v>
      </c>
      <c r="C1088" s="15">
        <v>11</v>
      </c>
      <c r="D1088" s="17">
        <v>500000</v>
      </c>
      <c r="E1088" s="17">
        <v>0</v>
      </c>
      <c r="F1088" s="17">
        <v>-500000</v>
      </c>
      <c r="G1088" s="18">
        <v>0</v>
      </c>
      <c r="H1088" s="10" t="str">
        <f t="shared" si="16"/>
        <v>COSTOS</v>
      </c>
      <c r="I1088" s="19">
        <v>2025</v>
      </c>
    </row>
    <row r="1089" spans="1:9" hidden="1" x14ac:dyDescent="0.3">
      <c r="A1089" s="16" t="s">
        <v>105</v>
      </c>
      <c r="B1089" s="16" t="s">
        <v>106</v>
      </c>
      <c r="C1089" s="15">
        <v>11</v>
      </c>
      <c r="D1089" s="17">
        <v>3000000</v>
      </c>
      <c r="E1089" s="17">
        <v>0</v>
      </c>
      <c r="F1089" s="17">
        <v>-3000000</v>
      </c>
      <c r="G1089" s="18">
        <v>0</v>
      </c>
      <c r="H1089" s="10" t="str">
        <f t="shared" si="16"/>
        <v>COSTOS</v>
      </c>
      <c r="I1089" s="19">
        <v>2025</v>
      </c>
    </row>
    <row r="1090" spans="1:9" hidden="1" x14ac:dyDescent="0.3">
      <c r="A1090" s="16" t="s">
        <v>105</v>
      </c>
      <c r="B1090" s="16" t="s">
        <v>94</v>
      </c>
      <c r="C1090" s="15">
        <v>12</v>
      </c>
      <c r="D1090" s="17">
        <v>124290</v>
      </c>
      <c r="E1090" s="17">
        <v>95006</v>
      </c>
      <c r="F1090" s="17">
        <v>-29284</v>
      </c>
      <c r="G1090" s="18">
        <v>0.7643897336873442</v>
      </c>
      <c r="H1090" s="10" t="str">
        <f t="shared" si="16"/>
        <v>COSTOS</v>
      </c>
      <c r="I1090" s="19">
        <v>2025</v>
      </c>
    </row>
    <row r="1091" spans="1:9" hidden="1" x14ac:dyDescent="0.3">
      <c r="A1091" s="16" t="s">
        <v>105</v>
      </c>
      <c r="B1091" s="16" t="s">
        <v>42</v>
      </c>
      <c r="C1091" s="15">
        <v>12</v>
      </c>
      <c r="D1091" s="17">
        <v>0</v>
      </c>
      <c r="E1091" s="17">
        <v>147219</v>
      </c>
      <c r="F1091" s="17">
        <v>147219</v>
      </c>
      <c r="G1091" s="18">
        <v>0</v>
      </c>
      <c r="H1091" s="10" t="str">
        <f t="shared" ref="H1091:H1154" si="17">+IF(OR(A1091="ADMINISTRACION",A1091="COMERCIAL",A1091="COMERCIAL-EXPORTACIONES",A1091="LEASING DE LA BODEGA",A1091="LOGISTICA-SALIDA",A1091="OTROS GASTOS",A1091="BODEGA ALQUILADA", A1091="BODEGA CARTOPLAST", A1091="BODEGA CARTOPLAS", A1091= "GESTION HUMANA-OTROS GASTOS"),"GASTOS","COSTOS")</f>
        <v>COSTOS</v>
      </c>
      <c r="I1091" s="19">
        <v>2025</v>
      </c>
    </row>
    <row r="1092" spans="1:9" hidden="1" x14ac:dyDescent="0.3">
      <c r="A1092" s="16" t="s">
        <v>105</v>
      </c>
      <c r="B1092" s="16" t="s">
        <v>58</v>
      </c>
      <c r="C1092" s="15">
        <v>12</v>
      </c>
      <c r="D1092" s="17">
        <v>500000</v>
      </c>
      <c r="E1092" s="17">
        <v>0</v>
      </c>
      <c r="F1092" s="17">
        <v>-500000</v>
      </c>
      <c r="G1092" s="18">
        <v>0</v>
      </c>
      <c r="H1092" s="10" t="str">
        <f t="shared" si="17"/>
        <v>COSTOS</v>
      </c>
      <c r="I1092" s="19">
        <v>2025</v>
      </c>
    </row>
    <row r="1093" spans="1:9" hidden="1" x14ac:dyDescent="0.3">
      <c r="A1093" s="16" t="s">
        <v>105</v>
      </c>
      <c r="B1093" s="16" t="s">
        <v>106</v>
      </c>
      <c r="C1093" s="15">
        <v>12</v>
      </c>
      <c r="D1093" s="17">
        <v>2200000</v>
      </c>
      <c r="E1093" s="17">
        <v>0</v>
      </c>
      <c r="F1093" s="17">
        <v>-2200000</v>
      </c>
      <c r="G1093" s="18">
        <v>0</v>
      </c>
      <c r="H1093" s="10" t="str">
        <f t="shared" si="17"/>
        <v>COSTOS</v>
      </c>
      <c r="I1093" s="19">
        <v>2025</v>
      </c>
    </row>
    <row r="1094" spans="1:9" hidden="1" x14ac:dyDescent="0.3">
      <c r="A1094" s="16" t="s">
        <v>107</v>
      </c>
      <c r="B1094" s="16" t="s">
        <v>60</v>
      </c>
      <c r="C1094" s="15">
        <v>1</v>
      </c>
      <c r="D1094" s="17">
        <v>0</v>
      </c>
      <c r="E1094" s="17">
        <v>2000000</v>
      </c>
      <c r="F1094" s="17">
        <v>2000000</v>
      </c>
      <c r="G1094" s="18">
        <v>0</v>
      </c>
      <c r="H1094" s="10" t="str">
        <f t="shared" si="17"/>
        <v>COSTOS</v>
      </c>
      <c r="I1094" s="19">
        <v>2025</v>
      </c>
    </row>
    <row r="1095" spans="1:9" hidden="1" x14ac:dyDescent="0.3">
      <c r="A1095" s="16" t="s">
        <v>107</v>
      </c>
      <c r="B1095" s="16" t="s">
        <v>60</v>
      </c>
      <c r="C1095" s="15">
        <v>3</v>
      </c>
      <c r="D1095" s="17">
        <v>0</v>
      </c>
      <c r="E1095" s="17">
        <v>1400000</v>
      </c>
      <c r="F1095" s="17">
        <v>1400000</v>
      </c>
      <c r="G1095" s="18">
        <v>0</v>
      </c>
      <c r="H1095" s="10" t="str">
        <f t="shared" si="17"/>
        <v>COSTOS</v>
      </c>
      <c r="I1095" s="19">
        <v>2025</v>
      </c>
    </row>
    <row r="1096" spans="1:9" hidden="1" x14ac:dyDescent="0.3">
      <c r="A1096" s="16" t="s">
        <v>107</v>
      </c>
      <c r="B1096" s="16" t="s">
        <v>16</v>
      </c>
      <c r="C1096" s="15">
        <v>2</v>
      </c>
      <c r="D1096" s="17">
        <v>0</v>
      </c>
      <c r="E1096" s="17">
        <v>22650</v>
      </c>
      <c r="F1096" s="17">
        <v>22650</v>
      </c>
      <c r="G1096" s="18">
        <v>0</v>
      </c>
      <c r="H1096" s="10" t="str">
        <f t="shared" si="17"/>
        <v>COSTOS</v>
      </c>
      <c r="I1096" s="19">
        <v>2025</v>
      </c>
    </row>
    <row r="1097" spans="1:9" hidden="1" x14ac:dyDescent="0.3">
      <c r="A1097" s="16" t="s">
        <v>107</v>
      </c>
      <c r="B1097" s="16" t="s">
        <v>16</v>
      </c>
      <c r="C1097" s="15">
        <v>3</v>
      </c>
      <c r="D1097" s="17">
        <v>0</v>
      </c>
      <c r="E1097" s="17">
        <v>10000</v>
      </c>
      <c r="F1097" s="17">
        <v>10000</v>
      </c>
      <c r="G1097" s="18">
        <v>0</v>
      </c>
      <c r="H1097" s="10" t="str">
        <f t="shared" si="17"/>
        <v>COSTOS</v>
      </c>
      <c r="I1097" s="19">
        <v>2025</v>
      </c>
    </row>
    <row r="1098" spans="1:9" hidden="1" x14ac:dyDescent="0.3">
      <c r="A1098" s="16" t="s">
        <v>107</v>
      </c>
      <c r="B1098" s="16" t="s">
        <v>16</v>
      </c>
      <c r="C1098" s="15">
        <v>4</v>
      </c>
      <c r="D1098" s="17">
        <v>0</v>
      </c>
      <c r="E1098" s="17">
        <v>31000</v>
      </c>
      <c r="F1098" s="17">
        <v>31000</v>
      </c>
      <c r="G1098" s="18">
        <v>0</v>
      </c>
      <c r="H1098" s="10" t="str">
        <f t="shared" si="17"/>
        <v>COSTOS</v>
      </c>
      <c r="I1098" s="19">
        <v>2025</v>
      </c>
    </row>
    <row r="1099" spans="1:9" hidden="1" x14ac:dyDescent="0.3">
      <c r="A1099" s="16" t="s">
        <v>107</v>
      </c>
      <c r="B1099" s="16" t="s">
        <v>16</v>
      </c>
      <c r="C1099" s="15">
        <v>7</v>
      </c>
      <c r="D1099" s="17">
        <v>0</v>
      </c>
      <c r="E1099" s="17">
        <v>9900</v>
      </c>
      <c r="F1099" s="17">
        <v>9900</v>
      </c>
      <c r="G1099" s="18">
        <v>0</v>
      </c>
      <c r="H1099" s="10" t="str">
        <f t="shared" si="17"/>
        <v>COSTOS</v>
      </c>
      <c r="I1099" s="19">
        <v>2025</v>
      </c>
    </row>
    <row r="1100" spans="1:9" hidden="1" x14ac:dyDescent="0.3">
      <c r="A1100" s="16" t="s">
        <v>107</v>
      </c>
      <c r="B1100" s="16" t="s">
        <v>94</v>
      </c>
      <c r="C1100" s="15">
        <v>1</v>
      </c>
      <c r="D1100" s="17">
        <v>0</v>
      </c>
      <c r="E1100" s="17">
        <v>100612</v>
      </c>
      <c r="F1100" s="17">
        <v>100612</v>
      </c>
      <c r="G1100" s="18">
        <v>0</v>
      </c>
      <c r="H1100" s="10" t="str">
        <f t="shared" si="17"/>
        <v>COSTOS</v>
      </c>
      <c r="I1100" s="19">
        <v>2025</v>
      </c>
    </row>
    <row r="1101" spans="1:9" hidden="1" x14ac:dyDescent="0.3">
      <c r="A1101" s="16" t="s">
        <v>107</v>
      </c>
      <c r="B1101" s="16" t="s">
        <v>94</v>
      </c>
      <c r="C1101" s="15">
        <v>2</v>
      </c>
      <c r="D1101" s="17">
        <v>0</v>
      </c>
      <c r="E1101" s="17">
        <v>95886</v>
      </c>
      <c r="F1101" s="17">
        <v>95886</v>
      </c>
      <c r="G1101" s="18">
        <v>0</v>
      </c>
      <c r="H1101" s="10" t="str">
        <f t="shared" si="17"/>
        <v>COSTOS</v>
      </c>
      <c r="I1101" s="19">
        <v>2025</v>
      </c>
    </row>
    <row r="1102" spans="1:9" hidden="1" x14ac:dyDescent="0.3">
      <c r="A1102" s="16" t="s">
        <v>107</v>
      </c>
      <c r="B1102" s="16" t="s">
        <v>94</v>
      </c>
      <c r="C1102" s="15">
        <v>3</v>
      </c>
      <c r="D1102" s="17">
        <v>0</v>
      </c>
      <c r="E1102" s="17">
        <v>96140</v>
      </c>
      <c r="F1102" s="17">
        <v>96140</v>
      </c>
      <c r="G1102" s="18">
        <v>0</v>
      </c>
      <c r="H1102" s="10" t="str">
        <f t="shared" si="17"/>
        <v>COSTOS</v>
      </c>
      <c r="I1102" s="19">
        <v>2025</v>
      </c>
    </row>
    <row r="1103" spans="1:9" hidden="1" x14ac:dyDescent="0.3">
      <c r="A1103" s="16" t="s">
        <v>107</v>
      </c>
      <c r="B1103" s="16" t="s">
        <v>94</v>
      </c>
      <c r="C1103" s="15">
        <v>4</v>
      </c>
      <c r="D1103" s="17">
        <v>0</v>
      </c>
      <c r="E1103" s="17">
        <v>153036</v>
      </c>
      <c r="F1103" s="17">
        <v>153036</v>
      </c>
      <c r="G1103" s="18">
        <v>0</v>
      </c>
      <c r="H1103" s="10" t="str">
        <f t="shared" si="17"/>
        <v>COSTOS</v>
      </c>
      <c r="I1103" s="19">
        <v>2025</v>
      </c>
    </row>
    <row r="1104" spans="1:9" hidden="1" x14ac:dyDescent="0.3">
      <c r="A1104" s="16" t="s">
        <v>107</v>
      </c>
      <c r="B1104" s="16" t="s">
        <v>94</v>
      </c>
      <c r="C1104" s="15">
        <v>5</v>
      </c>
      <c r="D1104" s="17">
        <v>0</v>
      </c>
      <c r="E1104" s="17">
        <v>149229</v>
      </c>
      <c r="F1104" s="17">
        <v>149229</v>
      </c>
      <c r="G1104" s="18">
        <v>0</v>
      </c>
      <c r="H1104" s="10" t="str">
        <f t="shared" si="17"/>
        <v>COSTOS</v>
      </c>
      <c r="I1104" s="19">
        <v>2025</v>
      </c>
    </row>
    <row r="1105" spans="1:9" hidden="1" x14ac:dyDescent="0.3">
      <c r="A1105" s="16" t="s">
        <v>107</v>
      </c>
      <c r="B1105" s="16" t="s">
        <v>94</v>
      </c>
      <c r="C1105" s="15">
        <v>6</v>
      </c>
      <c r="D1105" s="17">
        <v>0</v>
      </c>
      <c r="E1105" s="17">
        <v>180405</v>
      </c>
      <c r="F1105" s="17">
        <v>180405</v>
      </c>
      <c r="G1105" s="18">
        <v>0</v>
      </c>
      <c r="H1105" s="10" t="str">
        <f t="shared" si="17"/>
        <v>COSTOS</v>
      </c>
      <c r="I1105" s="19">
        <v>2025</v>
      </c>
    </row>
    <row r="1106" spans="1:9" hidden="1" x14ac:dyDescent="0.3">
      <c r="A1106" s="16" t="s">
        <v>107</v>
      </c>
      <c r="B1106" s="16" t="s">
        <v>94</v>
      </c>
      <c r="C1106" s="15">
        <v>7</v>
      </c>
      <c r="D1106" s="17">
        <v>0</v>
      </c>
      <c r="E1106" s="17">
        <v>329516</v>
      </c>
      <c r="F1106" s="17">
        <v>329516</v>
      </c>
      <c r="G1106" s="18">
        <v>0</v>
      </c>
      <c r="H1106" s="10" t="str">
        <f t="shared" si="17"/>
        <v>COSTOS</v>
      </c>
      <c r="I1106" s="19">
        <v>2025</v>
      </c>
    </row>
    <row r="1107" spans="1:9" hidden="1" x14ac:dyDescent="0.3">
      <c r="A1107" s="16" t="s">
        <v>107</v>
      </c>
      <c r="B1107" s="16" t="s">
        <v>94</v>
      </c>
      <c r="C1107" s="15">
        <v>8</v>
      </c>
      <c r="D1107" s="17">
        <v>0</v>
      </c>
      <c r="E1107" s="17">
        <v>253779</v>
      </c>
      <c r="F1107" s="17">
        <v>253779</v>
      </c>
      <c r="G1107" s="18">
        <v>0</v>
      </c>
      <c r="H1107" s="10" t="str">
        <f t="shared" si="17"/>
        <v>COSTOS</v>
      </c>
      <c r="I1107" s="19">
        <v>2025</v>
      </c>
    </row>
    <row r="1108" spans="1:9" hidden="1" x14ac:dyDescent="0.3">
      <c r="A1108" s="16" t="s">
        <v>107</v>
      </c>
      <c r="B1108" s="16" t="s">
        <v>94</v>
      </c>
      <c r="C1108" s="15">
        <v>9</v>
      </c>
      <c r="D1108" s="17">
        <v>0</v>
      </c>
      <c r="E1108" s="17">
        <v>342458</v>
      </c>
      <c r="F1108" s="17">
        <v>342458</v>
      </c>
      <c r="G1108" s="18">
        <v>0</v>
      </c>
      <c r="H1108" s="10" t="str">
        <f t="shared" si="17"/>
        <v>COSTOS</v>
      </c>
      <c r="I1108" s="19">
        <v>2025</v>
      </c>
    </row>
    <row r="1109" spans="1:9" hidden="1" x14ac:dyDescent="0.3">
      <c r="A1109" s="16" t="s">
        <v>107</v>
      </c>
      <c r="B1109" s="16" t="s">
        <v>94</v>
      </c>
      <c r="C1109" s="15">
        <v>10</v>
      </c>
      <c r="D1109" s="17">
        <v>0</v>
      </c>
      <c r="E1109" s="17">
        <v>463482</v>
      </c>
      <c r="F1109" s="17">
        <v>463482</v>
      </c>
      <c r="G1109" s="18">
        <v>0</v>
      </c>
      <c r="H1109" s="10" t="str">
        <f t="shared" si="17"/>
        <v>COSTOS</v>
      </c>
      <c r="I1109" s="19">
        <v>2025</v>
      </c>
    </row>
    <row r="1110" spans="1:9" hidden="1" x14ac:dyDescent="0.3">
      <c r="A1110" s="16" t="s">
        <v>107</v>
      </c>
      <c r="B1110" s="16" t="s">
        <v>46</v>
      </c>
      <c r="C1110" s="15">
        <v>5</v>
      </c>
      <c r="D1110" s="17">
        <v>1500000</v>
      </c>
      <c r="E1110" s="17">
        <v>0</v>
      </c>
      <c r="F1110" s="17">
        <v>-1500000</v>
      </c>
      <c r="G1110" s="18">
        <v>0</v>
      </c>
      <c r="H1110" s="10" t="str">
        <f t="shared" si="17"/>
        <v>COSTOS</v>
      </c>
      <c r="I1110" s="19">
        <v>2025</v>
      </c>
    </row>
    <row r="1111" spans="1:9" hidden="1" x14ac:dyDescent="0.3">
      <c r="A1111" s="16" t="s">
        <v>107</v>
      </c>
      <c r="B1111" s="16" t="s">
        <v>47</v>
      </c>
      <c r="C1111" s="15">
        <v>5</v>
      </c>
      <c r="D1111" s="17">
        <v>3000000</v>
      </c>
      <c r="E1111" s="17">
        <v>0</v>
      </c>
      <c r="F1111" s="17">
        <v>-3000000</v>
      </c>
      <c r="G1111" s="18">
        <v>0</v>
      </c>
      <c r="H1111" s="10" t="str">
        <f t="shared" si="17"/>
        <v>COSTOS</v>
      </c>
      <c r="I1111" s="19">
        <v>2025</v>
      </c>
    </row>
    <row r="1112" spans="1:9" hidden="1" x14ac:dyDescent="0.3">
      <c r="A1112" s="16" t="s">
        <v>107</v>
      </c>
      <c r="B1112" s="16" t="s">
        <v>161</v>
      </c>
      <c r="C1112" s="15">
        <v>5</v>
      </c>
      <c r="D1112" s="17">
        <v>1000000</v>
      </c>
      <c r="E1112" s="17">
        <v>0</v>
      </c>
      <c r="F1112" s="17">
        <v>-1000000</v>
      </c>
      <c r="G1112" s="18">
        <v>0</v>
      </c>
      <c r="H1112" s="10" t="str">
        <f t="shared" si="17"/>
        <v>COSTOS</v>
      </c>
      <c r="I1112" s="19">
        <v>2025</v>
      </c>
    </row>
    <row r="1113" spans="1:9" hidden="1" x14ac:dyDescent="0.3">
      <c r="A1113" s="16" t="s">
        <v>107</v>
      </c>
      <c r="B1113" s="16" t="s">
        <v>39</v>
      </c>
      <c r="C1113" s="15">
        <v>1</v>
      </c>
      <c r="D1113" s="17">
        <v>376833</v>
      </c>
      <c r="E1113" s="17">
        <v>376833</v>
      </c>
      <c r="F1113" s="17">
        <v>0</v>
      </c>
      <c r="G1113" s="18">
        <v>1</v>
      </c>
      <c r="H1113" s="10" t="str">
        <f t="shared" si="17"/>
        <v>COSTOS</v>
      </c>
      <c r="I1113" s="19">
        <v>2025</v>
      </c>
    </row>
    <row r="1114" spans="1:9" hidden="1" x14ac:dyDescent="0.3">
      <c r="A1114" s="16" t="s">
        <v>107</v>
      </c>
      <c r="B1114" s="16" t="s">
        <v>39</v>
      </c>
      <c r="C1114" s="15">
        <v>2</v>
      </c>
      <c r="D1114" s="17">
        <v>376833</v>
      </c>
      <c r="E1114" s="17">
        <v>376833</v>
      </c>
      <c r="F1114" s="17">
        <v>0</v>
      </c>
      <c r="G1114" s="18">
        <v>1</v>
      </c>
      <c r="H1114" s="10" t="str">
        <f t="shared" si="17"/>
        <v>COSTOS</v>
      </c>
      <c r="I1114" s="19">
        <v>2025</v>
      </c>
    </row>
    <row r="1115" spans="1:9" hidden="1" x14ac:dyDescent="0.3">
      <c r="A1115" s="16" t="s">
        <v>107</v>
      </c>
      <c r="B1115" s="16" t="s">
        <v>39</v>
      </c>
      <c r="C1115" s="15">
        <v>3</v>
      </c>
      <c r="D1115" s="17">
        <v>376833</v>
      </c>
      <c r="E1115" s="17">
        <v>376833</v>
      </c>
      <c r="F1115" s="17">
        <v>0</v>
      </c>
      <c r="G1115" s="18">
        <v>1</v>
      </c>
      <c r="H1115" s="10" t="str">
        <f t="shared" si="17"/>
        <v>COSTOS</v>
      </c>
      <c r="I1115" s="19">
        <v>2025</v>
      </c>
    </row>
    <row r="1116" spans="1:9" hidden="1" x14ac:dyDescent="0.3">
      <c r="A1116" s="16" t="s">
        <v>107</v>
      </c>
      <c r="B1116" s="16" t="s">
        <v>39</v>
      </c>
      <c r="C1116" s="15">
        <v>4</v>
      </c>
      <c r="D1116" s="17">
        <v>376833</v>
      </c>
      <c r="E1116" s="17">
        <v>376833</v>
      </c>
      <c r="F1116" s="17">
        <v>0</v>
      </c>
      <c r="G1116" s="18">
        <v>1</v>
      </c>
      <c r="H1116" s="10" t="str">
        <f t="shared" si="17"/>
        <v>COSTOS</v>
      </c>
      <c r="I1116" s="19">
        <v>2025</v>
      </c>
    </row>
    <row r="1117" spans="1:9" hidden="1" x14ac:dyDescent="0.3">
      <c r="A1117" s="16" t="s">
        <v>107</v>
      </c>
      <c r="B1117" s="16" t="s">
        <v>39</v>
      </c>
      <c r="C1117" s="15">
        <v>5</v>
      </c>
      <c r="D1117" s="17">
        <v>376833</v>
      </c>
      <c r="E1117" s="17">
        <v>376833</v>
      </c>
      <c r="F1117" s="17">
        <v>0</v>
      </c>
      <c r="G1117" s="18">
        <v>1</v>
      </c>
      <c r="H1117" s="10" t="str">
        <f t="shared" si="17"/>
        <v>COSTOS</v>
      </c>
      <c r="I1117" s="19">
        <v>2025</v>
      </c>
    </row>
    <row r="1118" spans="1:9" hidden="1" x14ac:dyDescent="0.3">
      <c r="A1118" s="16" t="s">
        <v>107</v>
      </c>
      <c r="B1118" s="16" t="s">
        <v>39</v>
      </c>
      <c r="C1118" s="15">
        <v>6</v>
      </c>
      <c r="D1118" s="17">
        <v>376833</v>
      </c>
      <c r="E1118" s="17">
        <v>376833</v>
      </c>
      <c r="F1118" s="17">
        <v>0</v>
      </c>
      <c r="G1118" s="18">
        <v>1</v>
      </c>
      <c r="H1118" s="10" t="str">
        <f t="shared" si="17"/>
        <v>COSTOS</v>
      </c>
      <c r="I1118" s="19">
        <v>2025</v>
      </c>
    </row>
    <row r="1119" spans="1:9" hidden="1" x14ac:dyDescent="0.3">
      <c r="A1119" s="16" t="s">
        <v>107</v>
      </c>
      <c r="B1119" s="16" t="s">
        <v>39</v>
      </c>
      <c r="C1119" s="15">
        <v>7</v>
      </c>
      <c r="D1119" s="17">
        <v>376833</v>
      </c>
      <c r="E1119" s="17">
        <v>376833</v>
      </c>
      <c r="F1119" s="17">
        <v>0</v>
      </c>
      <c r="G1119" s="18">
        <v>1</v>
      </c>
      <c r="H1119" s="10" t="str">
        <f t="shared" si="17"/>
        <v>COSTOS</v>
      </c>
      <c r="I1119" s="19">
        <v>2025</v>
      </c>
    </row>
    <row r="1120" spans="1:9" hidden="1" x14ac:dyDescent="0.3">
      <c r="A1120" s="16" t="s">
        <v>107</v>
      </c>
      <c r="B1120" s="16" t="s">
        <v>39</v>
      </c>
      <c r="C1120" s="15">
        <v>8</v>
      </c>
      <c r="D1120" s="17">
        <v>376833</v>
      </c>
      <c r="E1120" s="17">
        <v>376833</v>
      </c>
      <c r="F1120" s="17">
        <v>0</v>
      </c>
      <c r="G1120" s="18">
        <v>1</v>
      </c>
      <c r="H1120" s="10" t="str">
        <f t="shared" si="17"/>
        <v>COSTOS</v>
      </c>
      <c r="I1120" s="19">
        <v>2025</v>
      </c>
    </row>
    <row r="1121" spans="1:9" hidden="1" x14ac:dyDescent="0.3">
      <c r="A1121" s="16" t="s">
        <v>107</v>
      </c>
      <c r="B1121" s="16" t="s">
        <v>39</v>
      </c>
      <c r="C1121" s="15">
        <v>9</v>
      </c>
      <c r="D1121" s="17">
        <v>376833</v>
      </c>
      <c r="E1121" s="17">
        <v>376833</v>
      </c>
      <c r="F1121" s="17">
        <v>0</v>
      </c>
      <c r="G1121" s="18">
        <v>1</v>
      </c>
      <c r="H1121" s="10" t="str">
        <f t="shared" si="17"/>
        <v>COSTOS</v>
      </c>
      <c r="I1121" s="19">
        <v>2025</v>
      </c>
    </row>
    <row r="1122" spans="1:9" hidden="1" x14ac:dyDescent="0.3">
      <c r="A1122" s="16" t="s">
        <v>107</v>
      </c>
      <c r="B1122" s="16" t="s">
        <v>39</v>
      </c>
      <c r="C1122" s="15">
        <v>10</v>
      </c>
      <c r="D1122" s="17">
        <v>376833</v>
      </c>
      <c r="E1122" s="17">
        <v>376833</v>
      </c>
      <c r="F1122" s="17">
        <v>0</v>
      </c>
      <c r="G1122" s="18">
        <v>1</v>
      </c>
      <c r="H1122" s="10" t="str">
        <f t="shared" si="17"/>
        <v>COSTOS</v>
      </c>
      <c r="I1122" s="19">
        <v>2025</v>
      </c>
    </row>
    <row r="1123" spans="1:9" hidden="1" x14ac:dyDescent="0.3">
      <c r="A1123" s="16" t="s">
        <v>107</v>
      </c>
      <c r="B1123" s="16" t="s">
        <v>42</v>
      </c>
      <c r="C1123" s="15">
        <v>2</v>
      </c>
      <c r="D1123" s="17">
        <v>0</v>
      </c>
      <c r="E1123" s="17">
        <v>127775</v>
      </c>
      <c r="F1123" s="17">
        <v>127775</v>
      </c>
      <c r="G1123" s="18">
        <v>0</v>
      </c>
      <c r="H1123" s="10" t="str">
        <f t="shared" si="17"/>
        <v>COSTOS</v>
      </c>
      <c r="I1123" s="19">
        <v>2025</v>
      </c>
    </row>
    <row r="1124" spans="1:9" hidden="1" x14ac:dyDescent="0.3">
      <c r="A1124" s="16" t="s">
        <v>107</v>
      </c>
      <c r="B1124" s="16" t="s">
        <v>42</v>
      </c>
      <c r="C1124" s="15">
        <v>3</v>
      </c>
      <c r="D1124" s="17">
        <v>152778</v>
      </c>
      <c r="E1124" s="17">
        <v>127775</v>
      </c>
      <c r="F1124" s="17">
        <v>-25003</v>
      </c>
      <c r="G1124" s="18">
        <v>0.83634423804474467</v>
      </c>
      <c r="H1124" s="10" t="str">
        <f t="shared" si="17"/>
        <v>COSTOS</v>
      </c>
      <c r="I1124" s="19">
        <v>2025</v>
      </c>
    </row>
    <row r="1125" spans="1:9" hidden="1" x14ac:dyDescent="0.3">
      <c r="A1125" s="16" t="s">
        <v>107</v>
      </c>
      <c r="B1125" s="16" t="s">
        <v>42</v>
      </c>
      <c r="C1125" s="15">
        <v>4</v>
      </c>
      <c r="D1125" s="17">
        <v>152778</v>
      </c>
      <c r="E1125" s="17">
        <v>127775</v>
      </c>
      <c r="F1125" s="17">
        <v>-25003</v>
      </c>
      <c r="G1125" s="18">
        <v>0.83634423804474467</v>
      </c>
      <c r="H1125" s="10" t="str">
        <f t="shared" si="17"/>
        <v>COSTOS</v>
      </c>
      <c r="I1125" s="19">
        <v>2025</v>
      </c>
    </row>
    <row r="1126" spans="1:9" hidden="1" x14ac:dyDescent="0.3">
      <c r="A1126" s="16" t="s">
        <v>107</v>
      </c>
      <c r="B1126" s="16" t="s">
        <v>42</v>
      </c>
      <c r="C1126" s="15">
        <v>5</v>
      </c>
      <c r="D1126" s="17">
        <v>152778</v>
      </c>
      <c r="E1126" s="17">
        <v>127775</v>
      </c>
      <c r="F1126" s="17">
        <v>-25003</v>
      </c>
      <c r="G1126" s="18">
        <v>0.83634423804474467</v>
      </c>
      <c r="H1126" s="10" t="str">
        <f t="shared" si="17"/>
        <v>COSTOS</v>
      </c>
      <c r="I1126" s="19">
        <v>2025</v>
      </c>
    </row>
    <row r="1127" spans="1:9" hidden="1" x14ac:dyDescent="0.3">
      <c r="A1127" s="16" t="s">
        <v>107</v>
      </c>
      <c r="B1127" s="16" t="s">
        <v>42</v>
      </c>
      <c r="C1127" s="15">
        <v>6</v>
      </c>
      <c r="D1127" s="17">
        <v>152778</v>
      </c>
      <c r="E1127" s="17">
        <v>127775</v>
      </c>
      <c r="F1127" s="17">
        <v>-25003</v>
      </c>
      <c r="G1127" s="18">
        <v>0.83634423804474467</v>
      </c>
      <c r="H1127" s="10" t="str">
        <f t="shared" si="17"/>
        <v>COSTOS</v>
      </c>
      <c r="I1127" s="19">
        <v>2025</v>
      </c>
    </row>
    <row r="1128" spans="1:9" hidden="1" x14ac:dyDescent="0.3">
      <c r="A1128" s="16" t="s">
        <v>107</v>
      </c>
      <c r="B1128" s="16" t="s">
        <v>42</v>
      </c>
      <c r="C1128" s="15">
        <v>7</v>
      </c>
      <c r="D1128" s="17">
        <v>152778</v>
      </c>
      <c r="E1128" s="17">
        <v>127775</v>
      </c>
      <c r="F1128" s="17">
        <v>-25003</v>
      </c>
      <c r="G1128" s="18">
        <v>0.83634423804474467</v>
      </c>
      <c r="H1128" s="10" t="str">
        <f t="shared" si="17"/>
        <v>COSTOS</v>
      </c>
      <c r="I1128" s="19">
        <v>2025</v>
      </c>
    </row>
    <row r="1129" spans="1:9" hidden="1" x14ac:dyDescent="0.3">
      <c r="A1129" s="16" t="s">
        <v>107</v>
      </c>
      <c r="B1129" s="16" t="s">
        <v>42</v>
      </c>
      <c r="C1129" s="15">
        <v>8</v>
      </c>
      <c r="D1129" s="17">
        <v>152778</v>
      </c>
      <c r="E1129" s="17">
        <v>127775</v>
      </c>
      <c r="F1129" s="17">
        <v>-25003</v>
      </c>
      <c r="G1129" s="18">
        <v>0.83634423804474467</v>
      </c>
      <c r="H1129" s="10" t="str">
        <f t="shared" si="17"/>
        <v>COSTOS</v>
      </c>
      <c r="I1129" s="19">
        <v>2025</v>
      </c>
    </row>
    <row r="1130" spans="1:9" hidden="1" x14ac:dyDescent="0.3">
      <c r="A1130" s="16" t="s">
        <v>107</v>
      </c>
      <c r="B1130" s="16" t="s">
        <v>42</v>
      </c>
      <c r="C1130" s="15">
        <v>9</v>
      </c>
      <c r="D1130" s="17">
        <v>152778</v>
      </c>
      <c r="E1130" s="17">
        <v>127775</v>
      </c>
      <c r="F1130" s="17">
        <v>-25003</v>
      </c>
      <c r="G1130" s="18">
        <v>0.83634423804474467</v>
      </c>
      <c r="H1130" s="10" t="str">
        <f t="shared" si="17"/>
        <v>COSTOS</v>
      </c>
      <c r="I1130" s="19">
        <v>2025</v>
      </c>
    </row>
    <row r="1131" spans="1:9" hidden="1" x14ac:dyDescent="0.3">
      <c r="A1131" s="16" t="s">
        <v>107</v>
      </c>
      <c r="B1131" s="16" t="s">
        <v>42</v>
      </c>
      <c r="C1131" s="15">
        <v>10</v>
      </c>
      <c r="D1131" s="17">
        <v>152778</v>
      </c>
      <c r="E1131" s="17">
        <v>127775</v>
      </c>
      <c r="F1131" s="17">
        <v>-25003</v>
      </c>
      <c r="G1131" s="18">
        <v>0.83634423804474467</v>
      </c>
      <c r="H1131" s="10" t="str">
        <f t="shared" si="17"/>
        <v>COSTOS</v>
      </c>
      <c r="I1131" s="19">
        <v>2025</v>
      </c>
    </row>
    <row r="1132" spans="1:9" hidden="1" x14ac:dyDescent="0.3">
      <c r="A1132" s="16" t="s">
        <v>107</v>
      </c>
      <c r="B1132" s="16" t="s">
        <v>27</v>
      </c>
      <c r="C1132" s="15">
        <v>2</v>
      </c>
      <c r="D1132" s="17">
        <v>0</v>
      </c>
      <c r="E1132" s="17">
        <v>63224</v>
      </c>
      <c r="F1132" s="17">
        <v>63224</v>
      </c>
      <c r="G1132" s="18">
        <v>0</v>
      </c>
      <c r="H1132" s="10" t="str">
        <f t="shared" si="17"/>
        <v>COSTOS</v>
      </c>
      <c r="I1132" s="19">
        <v>2025</v>
      </c>
    </row>
    <row r="1133" spans="1:9" hidden="1" x14ac:dyDescent="0.3">
      <c r="A1133" s="16" t="s">
        <v>107</v>
      </c>
      <c r="B1133" s="16" t="s">
        <v>28</v>
      </c>
      <c r="C1133" s="15">
        <v>1</v>
      </c>
      <c r="D1133" s="17">
        <v>0</v>
      </c>
      <c r="E1133" s="17">
        <v>21418</v>
      </c>
      <c r="F1133" s="17">
        <v>21418</v>
      </c>
      <c r="G1133" s="18">
        <v>0</v>
      </c>
      <c r="H1133" s="10" t="str">
        <f t="shared" si="17"/>
        <v>COSTOS</v>
      </c>
      <c r="I1133" s="19">
        <v>2025</v>
      </c>
    </row>
    <row r="1134" spans="1:9" hidden="1" x14ac:dyDescent="0.3">
      <c r="A1134" s="16" t="s">
        <v>107</v>
      </c>
      <c r="B1134" s="16" t="s">
        <v>28</v>
      </c>
      <c r="C1134" s="15">
        <v>3</v>
      </c>
      <c r="D1134" s="17">
        <v>0</v>
      </c>
      <c r="E1134" s="17">
        <v>210925</v>
      </c>
      <c r="F1134" s="17">
        <v>210925</v>
      </c>
      <c r="G1134" s="18">
        <v>0</v>
      </c>
      <c r="H1134" s="10" t="str">
        <f t="shared" si="17"/>
        <v>COSTOS</v>
      </c>
      <c r="I1134" s="19">
        <v>2025</v>
      </c>
    </row>
    <row r="1135" spans="1:9" hidden="1" x14ac:dyDescent="0.3">
      <c r="A1135" s="16" t="s">
        <v>107</v>
      </c>
      <c r="B1135" s="16" t="s">
        <v>28</v>
      </c>
      <c r="C1135" s="15">
        <v>4</v>
      </c>
      <c r="D1135" s="17">
        <v>0</v>
      </c>
      <c r="E1135" s="17">
        <v>346218</v>
      </c>
      <c r="F1135" s="17">
        <v>346218</v>
      </c>
      <c r="G1135" s="18">
        <v>0</v>
      </c>
      <c r="H1135" s="10" t="str">
        <f t="shared" si="17"/>
        <v>COSTOS</v>
      </c>
      <c r="I1135" s="19">
        <v>2025</v>
      </c>
    </row>
    <row r="1136" spans="1:9" hidden="1" x14ac:dyDescent="0.3">
      <c r="A1136" s="16" t="s">
        <v>107</v>
      </c>
      <c r="B1136" s="16" t="s">
        <v>28</v>
      </c>
      <c r="C1136" s="15">
        <v>5</v>
      </c>
      <c r="D1136" s="17">
        <v>0</v>
      </c>
      <c r="E1136" s="17">
        <v>542996</v>
      </c>
      <c r="F1136" s="17">
        <v>542996</v>
      </c>
      <c r="G1136" s="18">
        <v>0</v>
      </c>
      <c r="H1136" s="10" t="str">
        <f t="shared" si="17"/>
        <v>COSTOS</v>
      </c>
      <c r="I1136" s="19">
        <v>2025</v>
      </c>
    </row>
    <row r="1137" spans="1:9" hidden="1" x14ac:dyDescent="0.3">
      <c r="A1137" s="16" t="s">
        <v>107</v>
      </c>
      <c r="B1137" s="16" t="s">
        <v>28</v>
      </c>
      <c r="C1137" s="15">
        <v>6</v>
      </c>
      <c r="D1137" s="17">
        <v>0</v>
      </c>
      <c r="E1137" s="17">
        <v>138151</v>
      </c>
      <c r="F1137" s="17">
        <v>138151</v>
      </c>
      <c r="G1137" s="18">
        <v>0</v>
      </c>
      <c r="H1137" s="10" t="str">
        <f t="shared" si="17"/>
        <v>COSTOS</v>
      </c>
      <c r="I1137" s="19">
        <v>2025</v>
      </c>
    </row>
    <row r="1138" spans="1:9" hidden="1" x14ac:dyDescent="0.3">
      <c r="A1138" s="16" t="s">
        <v>107</v>
      </c>
      <c r="B1138" s="16" t="s">
        <v>28</v>
      </c>
      <c r="C1138" s="15">
        <v>10</v>
      </c>
      <c r="D1138" s="17">
        <v>0</v>
      </c>
      <c r="E1138" s="17">
        <v>227563</v>
      </c>
      <c r="F1138" s="17">
        <v>227563</v>
      </c>
      <c r="G1138" s="18">
        <v>0</v>
      </c>
      <c r="H1138" s="10" t="str">
        <f t="shared" si="17"/>
        <v>COSTOS</v>
      </c>
      <c r="I1138" s="19">
        <v>2025</v>
      </c>
    </row>
    <row r="1139" spans="1:9" hidden="1" x14ac:dyDescent="0.3">
      <c r="A1139" s="16" t="s">
        <v>107</v>
      </c>
      <c r="B1139" s="16" t="s">
        <v>130</v>
      </c>
      <c r="C1139" s="15">
        <v>10</v>
      </c>
      <c r="D1139" s="17">
        <v>0</v>
      </c>
      <c r="E1139" s="17">
        <v>40000</v>
      </c>
      <c r="F1139" s="17">
        <v>40000</v>
      </c>
      <c r="G1139" s="18">
        <v>0</v>
      </c>
      <c r="H1139" s="10" t="str">
        <f t="shared" si="17"/>
        <v>COSTOS</v>
      </c>
      <c r="I1139" s="19">
        <v>2025</v>
      </c>
    </row>
    <row r="1140" spans="1:9" hidden="1" x14ac:dyDescent="0.3">
      <c r="A1140" s="16" t="s">
        <v>107</v>
      </c>
      <c r="B1140" s="16" t="s">
        <v>61</v>
      </c>
      <c r="C1140" s="15">
        <v>1</v>
      </c>
      <c r="D1140" s="17">
        <v>2200000</v>
      </c>
      <c r="E1140" s="17">
        <v>0</v>
      </c>
      <c r="F1140" s="17">
        <v>-2200000</v>
      </c>
      <c r="G1140" s="18">
        <v>0</v>
      </c>
      <c r="H1140" s="10" t="str">
        <f t="shared" si="17"/>
        <v>COSTOS</v>
      </c>
      <c r="I1140" s="19">
        <v>2025</v>
      </c>
    </row>
    <row r="1141" spans="1:9" hidden="1" x14ac:dyDescent="0.3">
      <c r="A1141" s="16" t="s">
        <v>107</v>
      </c>
      <c r="B1141" s="16" t="s">
        <v>61</v>
      </c>
      <c r="C1141" s="15">
        <v>3</v>
      </c>
      <c r="D1141" s="17">
        <v>2000000</v>
      </c>
      <c r="E1141" s="17">
        <v>0</v>
      </c>
      <c r="F1141" s="17">
        <v>-2000000</v>
      </c>
      <c r="G1141" s="18">
        <v>0</v>
      </c>
      <c r="H1141" s="10" t="str">
        <f t="shared" si="17"/>
        <v>COSTOS</v>
      </c>
      <c r="I1141" s="19">
        <v>2025</v>
      </c>
    </row>
    <row r="1142" spans="1:9" hidden="1" x14ac:dyDescent="0.3">
      <c r="A1142" s="16" t="s">
        <v>107</v>
      </c>
      <c r="B1142" s="16" t="s">
        <v>61</v>
      </c>
      <c r="C1142" s="15">
        <v>4</v>
      </c>
      <c r="D1142" s="17">
        <v>800000</v>
      </c>
      <c r="E1142" s="17">
        <v>0</v>
      </c>
      <c r="F1142" s="17">
        <v>-800000</v>
      </c>
      <c r="G1142" s="18">
        <v>0</v>
      </c>
      <c r="H1142" s="10" t="str">
        <f t="shared" si="17"/>
        <v>COSTOS</v>
      </c>
      <c r="I1142" s="19">
        <v>2025</v>
      </c>
    </row>
    <row r="1143" spans="1:9" hidden="1" x14ac:dyDescent="0.3">
      <c r="A1143" s="16" t="s">
        <v>107</v>
      </c>
      <c r="B1143" s="16" t="s">
        <v>61</v>
      </c>
      <c r="C1143" s="15">
        <v>7</v>
      </c>
      <c r="D1143" s="17">
        <v>1500000</v>
      </c>
      <c r="E1143" s="17">
        <v>0</v>
      </c>
      <c r="F1143" s="17">
        <v>-1500000</v>
      </c>
      <c r="G1143" s="18">
        <v>0</v>
      </c>
      <c r="H1143" s="10" t="str">
        <f t="shared" si="17"/>
        <v>COSTOS</v>
      </c>
      <c r="I1143" s="19">
        <v>2025</v>
      </c>
    </row>
    <row r="1144" spans="1:9" hidden="1" x14ac:dyDescent="0.3">
      <c r="A1144" s="16" t="s">
        <v>107</v>
      </c>
      <c r="B1144" s="16" t="s">
        <v>61</v>
      </c>
      <c r="C1144" s="15">
        <v>10</v>
      </c>
      <c r="D1144" s="17">
        <v>2500000</v>
      </c>
      <c r="E1144" s="17">
        <v>0</v>
      </c>
      <c r="F1144" s="17">
        <v>-2500000</v>
      </c>
      <c r="G1144" s="18">
        <v>0</v>
      </c>
      <c r="H1144" s="10" t="str">
        <f t="shared" si="17"/>
        <v>COSTOS</v>
      </c>
      <c r="I1144" s="19">
        <v>2025</v>
      </c>
    </row>
    <row r="1145" spans="1:9" hidden="1" x14ac:dyDescent="0.3">
      <c r="A1145" s="16" t="s">
        <v>107</v>
      </c>
      <c r="B1145" s="16" t="s">
        <v>16</v>
      </c>
      <c r="C1145" s="15">
        <v>11</v>
      </c>
      <c r="D1145" s="17">
        <v>0</v>
      </c>
      <c r="E1145" s="17">
        <v>20000</v>
      </c>
      <c r="F1145" s="17">
        <v>20000</v>
      </c>
      <c r="G1145" s="18">
        <v>0</v>
      </c>
      <c r="H1145" s="10" t="str">
        <f t="shared" si="17"/>
        <v>COSTOS</v>
      </c>
      <c r="I1145" s="19">
        <v>2025</v>
      </c>
    </row>
    <row r="1146" spans="1:9" hidden="1" x14ac:dyDescent="0.3">
      <c r="A1146" s="16" t="s">
        <v>107</v>
      </c>
      <c r="B1146" s="16" t="s">
        <v>94</v>
      </c>
      <c r="C1146" s="15">
        <v>11</v>
      </c>
      <c r="D1146" s="17">
        <v>0</v>
      </c>
      <c r="E1146" s="17">
        <v>502570</v>
      </c>
      <c r="F1146" s="17">
        <v>502570</v>
      </c>
      <c r="G1146" s="18">
        <v>0</v>
      </c>
      <c r="H1146" s="10" t="str">
        <f t="shared" si="17"/>
        <v>COSTOS</v>
      </c>
      <c r="I1146" s="19">
        <v>2025</v>
      </c>
    </row>
    <row r="1147" spans="1:9" hidden="1" x14ac:dyDescent="0.3">
      <c r="A1147" s="16" t="s">
        <v>107</v>
      </c>
      <c r="B1147" s="16" t="s">
        <v>39</v>
      </c>
      <c r="C1147" s="15">
        <v>11</v>
      </c>
      <c r="D1147" s="17">
        <v>376833</v>
      </c>
      <c r="E1147" s="17">
        <v>0</v>
      </c>
      <c r="F1147" s="17">
        <v>-376833</v>
      </c>
      <c r="G1147" s="18">
        <v>0</v>
      </c>
      <c r="H1147" s="10" t="str">
        <f t="shared" si="17"/>
        <v>COSTOS</v>
      </c>
      <c r="I1147" s="19">
        <v>2025</v>
      </c>
    </row>
    <row r="1148" spans="1:9" hidden="1" x14ac:dyDescent="0.3">
      <c r="A1148" s="16" t="s">
        <v>107</v>
      </c>
      <c r="B1148" s="16" t="s">
        <v>42</v>
      </c>
      <c r="C1148" s="15">
        <v>11</v>
      </c>
      <c r="D1148" s="17">
        <v>152778</v>
      </c>
      <c r="E1148" s="17">
        <v>127775</v>
      </c>
      <c r="F1148" s="17">
        <v>-25003</v>
      </c>
      <c r="G1148" s="18">
        <v>0.83634423804474467</v>
      </c>
      <c r="H1148" s="10" t="str">
        <f t="shared" si="17"/>
        <v>COSTOS</v>
      </c>
      <c r="I1148" s="19">
        <v>2025</v>
      </c>
    </row>
    <row r="1149" spans="1:9" hidden="1" x14ac:dyDescent="0.3">
      <c r="A1149" s="16" t="s">
        <v>107</v>
      </c>
      <c r="B1149" s="16" t="s">
        <v>28</v>
      </c>
      <c r="C1149" s="15">
        <v>11</v>
      </c>
      <c r="D1149" s="17">
        <v>0</v>
      </c>
      <c r="E1149" s="17">
        <v>438622</v>
      </c>
      <c r="F1149" s="17">
        <v>438622</v>
      </c>
      <c r="G1149" s="18">
        <v>0</v>
      </c>
      <c r="H1149" s="10" t="str">
        <f t="shared" si="17"/>
        <v>COSTOS</v>
      </c>
      <c r="I1149" s="19">
        <v>2025</v>
      </c>
    </row>
    <row r="1150" spans="1:9" hidden="1" x14ac:dyDescent="0.3">
      <c r="A1150" s="16" t="s">
        <v>107</v>
      </c>
      <c r="B1150" s="16" t="s">
        <v>94</v>
      </c>
      <c r="C1150" s="15">
        <v>12</v>
      </c>
      <c r="D1150" s="17">
        <v>0</v>
      </c>
      <c r="E1150" s="17">
        <v>888198</v>
      </c>
      <c r="F1150" s="17">
        <v>888198</v>
      </c>
      <c r="G1150" s="18">
        <v>0</v>
      </c>
      <c r="H1150" s="10" t="str">
        <f t="shared" si="17"/>
        <v>COSTOS</v>
      </c>
      <c r="I1150" s="19">
        <v>2025</v>
      </c>
    </row>
    <row r="1151" spans="1:9" hidden="1" x14ac:dyDescent="0.3">
      <c r="A1151" s="16" t="s">
        <v>107</v>
      </c>
      <c r="B1151" s="16" t="s">
        <v>39</v>
      </c>
      <c r="C1151" s="15">
        <v>12</v>
      </c>
      <c r="D1151" s="17">
        <v>376833</v>
      </c>
      <c r="E1151" s="17">
        <v>0</v>
      </c>
      <c r="F1151" s="17">
        <v>-376833</v>
      </c>
      <c r="G1151" s="18">
        <v>0</v>
      </c>
      <c r="H1151" s="10" t="str">
        <f t="shared" si="17"/>
        <v>COSTOS</v>
      </c>
      <c r="I1151" s="19">
        <v>2025</v>
      </c>
    </row>
    <row r="1152" spans="1:9" hidden="1" x14ac:dyDescent="0.3">
      <c r="A1152" s="16" t="s">
        <v>107</v>
      </c>
      <c r="B1152" s="16" t="s">
        <v>42</v>
      </c>
      <c r="C1152" s="15">
        <v>12</v>
      </c>
      <c r="D1152" s="17">
        <v>152778</v>
      </c>
      <c r="E1152" s="17">
        <v>127775</v>
      </c>
      <c r="F1152" s="17">
        <v>-25003</v>
      </c>
      <c r="G1152" s="18">
        <v>0.83634423804474467</v>
      </c>
      <c r="H1152" s="10" t="str">
        <f t="shared" si="17"/>
        <v>COSTOS</v>
      </c>
      <c r="I1152" s="19">
        <v>2025</v>
      </c>
    </row>
    <row r="1153" spans="1:9" hidden="1" x14ac:dyDescent="0.3">
      <c r="A1153" s="16" t="s">
        <v>108</v>
      </c>
      <c r="B1153" s="16" t="s">
        <v>16</v>
      </c>
      <c r="C1153" s="15">
        <v>2</v>
      </c>
      <c r="D1153" s="17">
        <v>0</v>
      </c>
      <c r="E1153" s="17">
        <v>20000</v>
      </c>
      <c r="F1153" s="17">
        <v>20000</v>
      </c>
      <c r="G1153" s="18">
        <v>0</v>
      </c>
      <c r="H1153" s="10" t="str">
        <f t="shared" si="17"/>
        <v>COSTOS</v>
      </c>
      <c r="I1153" s="19">
        <v>2025</v>
      </c>
    </row>
    <row r="1154" spans="1:9" hidden="1" x14ac:dyDescent="0.3">
      <c r="A1154" s="16" t="s">
        <v>108</v>
      </c>
      <c r="B1154" s="16" t="s">
        <v>94</v>
      </c>
      <c r="C1154" s="15">
        <v>1</v>
      </c>
      <c r="D1154" s="17">
        <v>0</v>
      </c>
      <c r="E1154" s="17">
        <v>50306</v>
      </c>
      <c r="F1154" s="17">
        <v>50306</v>
      </c>
      <c r="G1154" s="18">
        <v>0</v>
      </c>
      <c r="H1154" s="10" t="str">
        <f t="shared" si="17"/>
        <v>COSTOS</v>
      </c>
      <c r="I1154" s="19">
        <v>2025</v>
      </c>
    </row>
    <row r="1155" spans="1:9" hidden="1" x14ac:dyDescent="0.3">
      <c r="A1155" s="16" t="s">
        <v>108</v>
      </c>
      <c r="B1155" s="16" t="s">
        <v>94</v>
      </c>
      <c r="C1155" s="15">
        <v>2</v>
      </c>
      <c r="D1155" s="17">
        <v>0</v>
      </c>
      <c r="E1155" s="17">
        <v>47943</v>
      </c>
      <c r="F1155" s="17">
        <v>47943</v>
      </c>
      <c r="G1155" s="18">
        <v>0</v>
      </c>
      <c r="H1155" s="10" t="str">
        <f t="shared" ref="H1155:H1218" si="18">+IF(OR(A1155="ADMINISTRACION",A1155="COMERCIAL",A1155="COMERCIAL-EXPORTACIONES",A1155="LEASING DE LA BODEGA",A1155="LOGISTICA-SALIDA",A1155="OTROS GASTOS",A1155="BODEGA ALQUILADA", A1155="BODEGA CARTOPLAST", A1155="BODEGA CARTOPLAS", A1155= "GESTION HUMANA-OTROS GASTOS"),"GASTOS","COSTOS")</f>
        <v>COSTOS</v>
      </c>
      <c r="I1155" s="19">
        <v>2025</v>
      </c>
    </row>
    <row r="1156" spans="1:9" hidden="1" x14ac:dyDescent="0.3">
      <c r="A1156" s="16" t="s">
        <v>108</v>
      </c>
      <c r="B1156" s="16" t="s">
        <v>94</v>
      </c>
      <c r="C1156" s="15">
        <v>3</v>
      </c>
      <c r="D1156" s="17">
        <v>0</v>
      </c>
      <c r="E1156" s="17">
        <v>48070</v>
      </c>
      <c r="F1156" s="17">
        <v>48070</v>
      </c>
      <c r="G1156" s="18">
        <v>0</v>
      </c>
      <c r="H1156" s="10" t="str">
        <f t="shared" si="18"/>
        <v>COSTOS</v>
      </c>
      <c r="I1156" s="19">
        <v>2025</v>
      </c>
    </row>
    <row r="1157" spans="1:9" hidden="1" x14ac:dyDescent="0.3">
      <c r="A1157" s="16" t="s">
        <v>108</v>
      </c>
      <c r="B1157" s="16" t="s">
        <v>94</v>
      </c>
      <c r="C1157" s="15">
        <v>6</v>
      </c>
      <c r="D1157" s="17">
        <v>0</v>
      </c>
      <c r="E1157" s="17">
        <v>51376</v>
      </c>
      <c r="F1157" s="17">
        <v>51376</v>
      </c>
      <c r="G1157" s="18">
        <v>0</v>
      </c>
      <c r="H1157" s="10" t="str">
        <f t="shared" si="18"/>
        <v>COSTOS</v>
      </c>
      <c r="I1157" s="19">
        <v>2025</v>
      </c>
    </row>
    <row r="1158" spans="1:9" hidden="1" x14ac:dyDescent="0.3">
      <c r="A1158" s="16" t="s">
        <v>108</v>
      </c>
      <c r="B1158" s="16" t="s">
        <v>94</v>
      </c>
      <c r="C1158" s="15">
        <v>7</v>
      </c>
      <c r="D1158" s="17">
        <v>0</v>
      </c>
      <c r="E1158" s="17">
        <v>49703</v>
      </c>
      <c r="F1158" s="17">
        <v>49703</v>
      </c>
      <c r="G1158" s="18">
        <v>0</v>
      </c>
      <c r="H1158" s="10" t="str">
        <f t="shared" si="18"/>
        <v>COSTOS</v>
      </c>
      <c r="I1158" s="19">
        <v>2025</v>
      </c>
    </row>
    <row r="1159" spans="1:9" hidden="1" x14ac:dyDescent="0.3">
      <c r="A1159" s="16" t="s">
        <v>108</v>
      </c>
      <c r="B1159" s="16" t="s">
        <v>94</v>
      </c>
      <c r="C1159" s="15">
        <v>8</v>
      </c>
      <c r="D1159" s="17">
        <v>0</v>
      </c>
      <c r="E1159" s="17">
        <v>100362</v>
      </c>
      <c r="F1159" s="17">
        <v>100362</v>
      </c>
      <c r="G1159" s="18">
        <v>0</v>
      </c>
      <c r="H1159" s="10" t="str">
        <f t="shared" si="18"/>
        <v>COSTOS</v>
      </c>
      <c r="I1159" s="19">
        <v>2025</v>
      </c>
    </row>
    <row r="1160" spans="1:9" hidden="1" x14ac:dyDescent="0.3">
      <c r="A1160" s="16" t="s">
        <v>108</v>
      </c>
      <c r="B1160" s="16" t="s">
        <v>94</v>
      </c>
      <c r="C1160" s="15">
        <v>9</v>
      </c>
      <c r="D1160" s="17">
        <v>0</v>
      </c>
      <c r="E1160" s="17">
        <v>145107</v>
      </c>
      <c r="F1160" s="17">
        <v>145107</v>
      </c>
      <c r="G1160" s="18">
        <v>0</v>
      </c>
      <c r="H1160" s="10" t="str">
        <f t="shared" si="18"/>
        <v>COSTOS</v>
      </c>
      <c r="I1160" s="19">
        <v>2025</v>
      </c>
    </row>
    <row r="1161" spans="1:9" hidden="1" x14ac:dyDescent="0.3">
      <c r="A1161" s="16" t="s">
        <v>108</v>
      </c>
      <c r="B1161" s="16" t="s">
        <v>94</v>
      </c>
      <c r="C1161" s="15">
        <v>10</v>
      </c>
      <c r="D1161" s="17">
        <v>0</v>
      </c>
      <c r="E1161" s="17">
        <v>144666</v>
      </c>
      <c r="F1161" s="17">
        <v>144666</v>
      </c>
      <c r="G1161" s="18">
        <v>0</v>
      </c>
      <c r="H1161" s="10" t="str">
        <f t="shared" si="18"/>
        <v>COSTOS</v>
      </c>
      <c r="I1161" s="19">
        <v>2025</v>
      </c>
    </row>
    <row r="1162" spans="1:9" hidden="1" x14ac:dyDescent="0.3">
      <c r="A1162" s="16" t="s">
        <v>108</v>
      </c>
      <c r="B1162" s="16" t="s">
        <v>42</v>
      </c>
      <c r="C1162" s="15">
        <v>1</v>
      </c>
      <c r="D1162" s="17">
        <v>120436</v>
      </c>
      <c r="E1162" s="17">
        <v>120436</v>
      </c>
      <c r="F1162" s="17">
        <v>0</v>
      </c>
      <c r="G1162" s="18">
        <v>1</v>
      </c>
      <c r="H1162" s="10" t="str">
        <f t="shared" si="18"/>
        <v>COSTOS</v>
      </c>
      <c r="I1162" s="19">
        <v>2025</v>
      </c>
    </row>
    <row r="1163" spans="1:9" hidden="1" x14ac:dyDescent="0.3">
      <c r="A1163" s="16" t="s">
        <v>108</v>
      </c>
      <c r="B1163" s="16" t="s">
        <v>42</v>
      </c>
      <c r="C1163" s="15">
        <v>2</v>
      </c>
      <c r="D1163" s="17">
        <v>120436</v>
      </c>
      <c r="E1163" s="17">
        <v>120436</v>
      </c>
      <c r="F1163" s="17">
        <v>0</v>
      </c>
      <c r="G1163" s="18">
        <v>1</v>
      </c>
      <c r="H1163" s="10" t="str">
        <f t="shared" si="18"/>
        <v>COSTOS</v>
      </c>
      <c r="I1163" s="19">
        <v>2025</v>
      </c>
    </row>
    <row r="1164" spans="1:9" hidden="1" x14ac:dyDescent="0.3">
      <c r="A1164" s="16" t="s">
        <v>108</v>
      </c>
      <c r="B1164" s="16" t="s">
        <v>42</v>
      </c>
      <c r="C1164" s="15">
        <v>3</v>
      </c>
      <c r="D1164" s="17">
        <v>120436</v>
      </c>
      <c r="E1164" s="17">
        <v>120436</v>
      </c>
      <c r="F1164" s="17">
        <v>0</v>
      </c>
      <c r="G1164" s="18">
        <v>1</v>
      </c>
      <c r="H1164" s="10" t="str">
        <f t="shared" si="18"/>
        <v>COSTOS</v>
      </c>
      <c r="I1164" s="19">
        <v>2025</v>
      </c>
    </row>
    <row r="1165" spans="1:9" hidden="1" x14ac:dyDescent="0.3">
      <c r="A1165" s="16" t="s">
        <v>108</v>
      </c>
      <c r="B1165" s="16" t="s">
        <v>42</v>
      </c>
      <c r="C1165" s="15">
        <v>4</v>
      </c>
      <c r="D1165" s="17">
        <v>273214</v>
      </c>
      <c r="E1165" s="17">
        <v>120426</v>
      </c>
      <c r="F1165" s="17">
        <v>-152788</v>
      </c>
      <c r="G1165" s="18">
        <v>0.44077536290234032</v>
      </c>
      <c r="H1165" s="10" t="str">
        <f t="shared" si="18"/>
        <v>COSTOS</v>
      </c>
      <c r="I1165" s="19">
        <v>2025</v>
      </c>
    </row>
    <row r="1166" spans="1:9" hidden="1" x14ac:dyDescent="0.3">
      <c r="A1166" s="16" t="s">
        <v>108</v>
      </c>
      <c r="B1166" s="16" t="s">
        <v>42</v>
      </c>
      <c r="C1166" s="15">
        <v>5</v>
      </c>
      <c r="D1166" s="17">
        <v>152778</v>
      </c>
      <c r="E1166" s="17">
        <v>124997</v>
      </c>
      <c r="F1166" s="17">
        <v>-27781</v>
      </c>
      <c r="G1166" s="18">
        <v>0.81816099176583024</v>
      </c>
      <c r="H1166" s="10" t="str">
        <f t="shared" si="18"/>
        <v>COSTOS</v>
      </c>
      <c r="I1166" s="19">
        <v>2025</v>
      </c>
    </row>
    <row r="1167" spans="1:9" hidden="1" x14ac:dyDescent="0.3">
      <c r="A1167" s="16" t="s">
        <v>108</v>
      </c>
      <c r="B1167" s="16" t="s">
        <v>42</v>
      </c>
      <c r="C1167" s="15">
        <v>6</v>
      </c>
      <c r="D1167" s="17">
        <v>152778</v>
      </c>
      <c r="E1167" s="17">
        <v>124997</v>
      </c>
      <c r="F1167" s="17">
        <v>-27781</v>
      </c>
      <c r="G1167" s="18">
        <v>0.81816099176583024</v>
      </c>
      <c r="H1167" s="10" t="str">
        <f t="shared" si="18"/>
        <v>COSTOS</v>
      </c>
      <c r="I1167" s="19">
        <v>2025</v>
      </c>
    </row>
    <row r="1168" spans="1:9" hidden="1" x14ac:dyDescent="0.3">
      <c r="A1168" s="16" t="s">
        <v>108</v>
      </c>
      <c r="B1168" s="16" t="s">
        <v>42</v>
      </c>
      <c r="C1168" s="15">
        <v>7</v>
      </c>
      <c r="D1168" s="17">
        <v>152778</v>
      </c>
      <c r="E1168" s="17">
        <v>124997</v>
      </c>
      <c r="F1168" s="17">
        <v>-27781</v>
      </c>
      <c r="G1168" s="18">
        <v>0.81816099176583024</v>
      </c>
      <c r="H1168" s="10" t="str">
        <f t="shared" si="18"/>
        <v>COSTOS</v>
      </c>
      <c r="I1168" s="19">
        <v>2025</v>
      </c>
    </row>
    <row r="1169" spans="1:9" hidden="1" x14ac:dyDescent="0.3">
      <c r="A1169" s="16" t="s">
        <v>108</v>
      </c>
      <c r="B1169" s="16" t="s">
        <v>42</v>
      </c>
      <c r="C1169" s="15">
        <v>8</v>
      </c>
      <c r="D1169" s="17">
        <v>152778</v>
      </c>
      <c r="E1169" s="17">
        <v>124997</v>
      </c>
      <c r="F1169" s="17">
        <v>-27781</v>
      </c>
      <c r="G1169" s="18">
        <v>0.81816099176583024</v>
      </c>
      <c r="H1169" s="10" t="str">
        <f t="shared" si="18"/>
        <v>COSTOS</v>
      </c>
      <c r="I1169" s="19">
        <v>2025</v>
      </c>
    </row>
    <row r="1170" spans="1:9" hidden="1" x14ac:dyDescent="0.3">
      <c r="A1170" s="16" t="s">
        <v>108</v>
      </c>
      <c r="B1170" s="16" t="s">
        <v>42</v>
      </c>
      <c r="C1170" s="15">
        <v>9</v>
      </c>
      <c r="D1170" s="17">
        <v>152778</v>
      </c>
      <c r="E1170" s="17">
        <v>124997</v>
      </c>
      <c r="F1170" s="17">
        <v>-27781</v>
      </c>
      <c r="G1170" s="18">
        <v>0.81816099176583024</v>
      </c>
      <c r="H1170" s="10" t="str">
        <f t="shared" si="18"/>
        <v>COSTOS</v>
      </c>
      <c r="I1170" s="19">
        <v>2025</v>
      </c>
    </row>
    <row r="1171" spans="1:9" hidden="1" x14ac:dyDescent="0.3">
      <c r="A1171" s="16" t="s">
        <v>108</v>
      </c>
      <c r="B1171" s="16" t="s">
        <v>42</v>
      </c>
      <c r="C1171" s="15">
        <v>10</v>
      </c>
      <c r="D1171" s="17">
        <v>152778</v>
      </c>
      <c r="E1171" s="17">
        <v>124997</v>
      </c>
      <c r="F1171" s="17">
        <v>-27781</v>
      </c>
      <c r="G1171" s="18">
        <v>0.81816099176583024</v>
      </c>
      <c r="H1171" s="10" t="str">
        <f t="shared" si="18"/>
        <v>COSTOS</v>
      </c>
      <c r="I1171" s="19">
        <v>2025</v>
      </c>
    </row>
    <row r="1172" spans="1:9" hidden="1" x14ac:dyDescent="0.3">
      <c r="A1172" s="16" t="s">
        <v>108</v>
      </c>
      <c r="B1172" s="16" t="s">
        <v>28</v>
      </c>
      <c r="C1172" s="15">
        <v>2</v>
      </c>
      <c r="D1172" s="17">
        <v>0</v>
      </c>
      <c r="E1172" s="17">
        <v>168068</v>
      </c>
      <c r="F1172" s="17">
        <v>168068</v>
      </c>
      <c r="G1172" s="18">
        <v>0</v>
      </c>
      <c r="H1172" s="10" t="str">
        <f t="shared" si="18"/>
        <v>COSTOS</v>
      </c>
      <c r="I1172" s="19">
        <v>2025</v>
      </c>
    </row>
    <row r="1173" spans="1:9" hidden="1" x14ac:dyDescent="0.3">
      <c r="A1173" s="16" t="s">
        <v>108</v>
      </c>
      <c r="B1173" s="16" t="s">
        <v>94</v>
      </c>
      <c r="C1173" s="15">
        <v>11</v>
      </c>
      <c r="D1173" s="17">
        <v>0</v>
      </c>
      <c r="E1173" s="17">
        <v>141213</v>
      </c>
      <c r="F1173" s="17">
        <v>141213</v>
      </c>
      <c r="G1173" s="18">
        <v>0</v>
      </c>
      <c r="H1173" s="10" t="str">
        <f t="shared" si="18"/>
        <v>COSTOS</v>
      </c>
      <c r="I1173" s="19">
        <v>2025</v>
      </c>
    </row>
    <row r="1174" spans="1:9" hidden="1" x14ac:dyDescent="0.3">
      <c r="A1174" s="16" t="s">
        <v>108</v>
      </c>
      <c r="B1174" s="16" t="s">
        <v>42</v>
      </c>
      <c r="C1174" s="15">
        <v>11</v>
      </c>
      <c r="D1174" s="17">
        <v>152778</v>
      </c>
      <c r="E1174" s="17">
        <v>124997</v>
      </c>
      <c r="F1174" s="17">
        <v>-27781</v>
      </c>
      <c r="G1174" s="18">
        <v>0.81816099176583024</v>
      </c>
      <c r="H1174" s="10" t="str">
        <f t="shared" si="18"/>
        <v>COSTOS</v>
      </c>
      <c r="I1174" s="19">
        <v>2025</v>
      </c>
    </row>
    <row r="1175" spans="1:9" hidden="1" x14ac:dyDescent="0.3">
      <c r="A1175" s="16" t="s">
        <v>237</v>
      </c>
      <c r="B1175" s="16" t="s">
        <v>40</v>
      </c>
      <c r="C1175" s="15">
        <v>12</v>
      </c>
      <c r="D1175" s="17">
        <v>0</v>
      </c>
      <c r="E1175" s="17">
        <v>3300000</v>
      </c>
      <c r="F1175" s="17">
        <v>3300000</v>
      </c>
      <c r="G1175" s="18">
        <v>0</v>
      </c>
      <c r="H1175" s="10" t="str">
        <f t="shared" si="18"/>
        <v>COSTOS</v>
      </c>
      <c r="I1175" s="19">
        <v>2025</v>
      </c>
    </row>
    <row r="1176" spans="1:9" hidden="1" x14ac:dyDescent="0.3">
      <c r="A1176" s="16" t="s">
        <v>237</v>
      </c>
      <c r="B1176" s="16" t="s">
        <v>94</v>
      </c>
      <c r="C1176" s="15">
        <v>12</v>
      </c>
      <c r="D1176" s="17">
        <v>0</v>
      </c>
      <c r="E1176" s="17">
        <v>142509</v>
      </c>
      <c r="F1176" s="17">
        <v>142509</v>
      </c>
      <c r="G1176" s="18">
        <v>0</v>
      </c>
      <c r="H1176" s="10" t="str">
        <f t="shared" si="18"/>
        <v>COSTOS</v>
      </c>
      <c r="I1176" s="19">
        <v>2025</v>
      </c>
    </row>
    <row r="1177" spans="1:9" hidden="1" x14ac:dyDescent="0.3">
      <c r="A1177" s="16" t="s">
        <v>237</v>
      </c>
      <c r="B1177" s="16" t="s">
        <v>42</v>
      </c>
      <c r="C1177" s="15">
        <v>12</v>
      </c>
      <c r="D1177" s="17">
        <v>152778</v>
      </c>
      <c r="E1177" s="17">
        <v>124997</v>
      </c>
      <c r="F1177" s="17">
        <v>-27781</v>
      </c>
      <c r="G1177" s="18">
        <v>0.81816099176583024</v>
      </c>
      <c r="H1177" s="10" t="str">
        <f t="shared" si="18"/>
        <v>COSTOS</v>
      </c>
      <c r="I1177" s="19">
        <v>2025</v>
      </c>
    </row>
    <row r="1178" spans="1:9" hidden="1" x14ac:dyDescent="0.3">
      <c r="A1178" s="16" t="s">
        <v>64</v>
      </c>
      <c r="B1178" s="16" t="s">
        <v>14</v>
      </c>
      <c r="C1178" s="15">
        <v>3</v>
      </c>
      <c r="D1178" s="17">
        <v>22844.9</v>
      </c>
      <c r="E1178" s="17">
        <v>0</v>
      </c>
      <c r="F1178" s="17">
        <v>-22844.9</v>
      </c>
      <c r="G1178" s="18">
        <v>0</v>
      </c>
      <c r="H1178" s="10" t="str">
        <f t="shared" si="18"/>
        <v>COSTOS</v>
      </c>
      <c r="I1178" s="19">
        <v>2025</v>
      </c>
    </row>
    <row r="1179" spans="1:9" hidden="1" x14ac:dyDescent="0.3">
      <c r="A1179" s="16" t="s">
        <v>64</v>
      </c>
      <c r="B1179" s="16" t="s">
        <v>14</v>
      </c>
      <c r="C1179" s="15">
        <v>4</v>
      </c>
      <c r="D1179" s="17">
        <v>22844.9</v>
      </c>
      <c r="E1179" s="17">
        <v>0</v>
      </c>
      <c r="F1179" s="17">
        <v>-22844.9</v>
      </c>
      <c r="G1179" s="18">
        <v>0</v>
      </c>
      <c r="H1179" s="10" t="str">
        <f t="shared" si="18"/>
        <v>COSTOS</v>
      </c>
      <c r="I1179" s="19">
        <v>2025</v>
      </c>
    </row>
    <row r="1180" spans="1:9" hidden="1" x14ac:dyDescent="0.3">
      <c r="A1180" s="16" t="s">
        <v>64</v>
      </c>
      <c r="B1180" s="16" t="s">
        <v>14</v>
      </c>
      <c r="C1180" s="15">
        <v>5</v>
      </c>
      <c r="D1180" s="17">
        <v>22844.9</v>
      </c>
      <c r="E1180" s="17">
        <v>0</v>
      </c>
      <c r="F1180" s="17">
        <v>-22844.9</v>
      </c>
      <c r="G1180" s="18">
        <v>0</v>
      </c>
      <c r="H1180" s="10" t="str">
        <f t="shared" si="18"/>
        <v>COSTOS</v>
      </c>
      <c r="I1180" s="19">
        <v>2025</v>
      </c>
    </row>
    <row r="1181" spans="1:9" hidden="1" x14ac:dyDescent="0.3">
      <c r="A1181" s="16" t="s">
        <v>64</v>
      </c>
      <c r="B1181" s="16" t="s">
        <v>14</v>
      </c>
      <c r="C1181" s="15">
        <v>6</v>
      </c>
      <c r="D1181" s="17">
        <v>22844.9</v>
      </c>
      <c r="E1181" s="17">
        <v>0</v>
      </c>
      <c r="F1181" s="17">
        <v>-22844.9</v>
      </c>
      <c r="G1181" s="18">
        <v>0</v>
      </c>
      <c r="H1181" s="10" t="str">
        <f t="shared" si="18"/>
        <v>COSTOS</v>
      </c>
      <c r="I1181" s="19">
        <v>2025</v>
      </c>
    </row>
    <row r="1182" spans="1:9" hidden="1" x14ac:dyDescent="0.3">
      <c r="A1182" s="16" t="s">
        <v>64</v>
      </c>
      <c r="B1182" s="16" t="s">
        <v>14</v>
      </c>
      <c r="C1182" s="15">
        <v>7</v>
      </c>
      <c r="D1182" s="17">
        <v>22844.9</v>
      </c>
      <c r="E1182" s="17">
        <v>0</v>
      </c>
      <c r="F1182" s="17">
        <v>-22844.9</v>
      </c>
      <c r="G1182" s="18">
        <v>0</v>
      </c>
      <c r="H1182" s="10" t="str">
        <f t="shared" si="18"/>
        <v>COSTOS</v>
      </c>
      <c r="I1182" s="19">
        <v>2025</v>
      </c>
    </row>
    <row r="1183" spans="1:9" hidden="1" x14ac:dyDescent="0.3">
      <c r="A1183" s="16" t="s">
        <v>64</v>
      </c>
      <c r="B1183" s="16" t="s">
        <v>14</v>
      </c>
      <c r="C1183" s="15">
        <v>8</v>
      </c>
      <c r="D1183" s="17">
        <v>22844.9</v>
      </c>
      <c r="E1183" s="17">
        <v>0</v>
      </c>
      <c r="F1183" s="17">
        <v>-22844.9</v>
      </c>
      <c r="G1183" s="18">
        <v>0</v>
      </c>
      <c r="H1183" s="10" t="str">
        <f t="shared" si="18"/>
        <v>COSTOS</v>
      </c>
      <c r="I1183" s="19">
        <v>2025</v>
      </c>
    </row>
    <row r="1184" spans="1:9" hidden="1" x14ac:dyDescent="0.3">
      <c r="A1184" s="16" t="s">
        <v>64</v>
      </c>
      <c r="B1184" s="16" t="s">
        <v>14</v>
      </c>
      <c r="C1184" s="15">
        <v>9</v>
      </c>
      <c r="D1184" s="17">
        <v>22844.9</v>
      </c>
      <c r="E1184" s="17">
        <v>0</v>
      </c>
      <c r="F1184" s="17">
        <v>-22844.9</v>
      </c>
      <c r="G1184" s="18">
        <v>0</v>
      </c>
      <c r="H1184" s="10" t="str">
        <f t="shared" si="18"/>
        <v>COSTOS</v>
      </c>
      <c r="I1184" s="19">
        <v>2025</v>
      </c>
    </row>
    <row r="1185" spans="1:9" hidden="1" x14ac:dyDescent="0.3">
      <c r="A1185" s="16" t="s">
        <v>64</v>
      </c>
      <c r="B1185" s="16" t="s">
        <v>14</v>
      </c>
      <c r="C1185" s="15">
        <v>10</v>
      </c>
      <c r="D1185" s="17">
        <v>22844.9</v>
      </c>
      <c r="E1185" s="17">
        <v>0</v>
      </c>
      <c r="F1185" s="17">
        <v>-22844.9</v>
      </c>
      <c r="G1185" s="18">
        <v>0</v>
      </c>
      <c r="H1185" s="10" t="str">
        <f t="shared" si="18"/>
        <v>COSTOS</v>
      </c>
      <c r="I1185" s="19">
        <v>2025</v>
      </c>
    </row>
    <row r="1186" spans="1:9" hidden="1" x14ac:dyDescent="0.3">
      <c r="A1186" s="16" t="s">
        <v>64</v>
      </c>
      <c r="B1186" s="16" t="s">
        <v>94</v>
      </c>
      <c r="C1186" s="15">
        <v>1</v>
      </c>
      <c r="D1186" s="17">
        <v>0</v>
      </c>
      <c r="E1186" s="17">
        <v>24826</v>
      </c>
      <c r="F1186" s="17">
        <v>24826</v>
      </c>
      <c r="G1186" s="18">
        <v>0</v>
      </c>
      <c r="H1186" s="10" t="str">
        <f t="shared" si="18"/>
        <v>COSTOS</v>
      </c>
      <c r="I1186" s="19">
        <v>2025</v>
      </c>
    </row>
    <row r="1187" spans="1:9" hidden="1" x14ac:dyDescent="0.3">
      <c r="A1187" s="16" t="s">
        <v>64</v>
      </c>
      <c r="B1187" s="16" t="s">
        <v>94</v>
      </c>
      <c r="C1187" s="15">
        <v>2</v>
      </c>
      <c r="D1187" s="17">
        <v>0</v>
      </c>
      <c r="E1187" s="17">
        <v>23660</v>
      </c>
      <c r="F1187" s="17">
        <v>23660</v>
      </c>
      <c r="G1187" s="18">
        <v>0</v>
      </c>
      <c r="H1187" s="10" t="str">
        <f t="shared" si="18"/>
        <v>COSTOS</v>
      </c>
      <c r="I1187" s="19">
        <v>2025</v>
      </c>
    </row>
    <row r="1188" spans="1:9" hidden="1" x14ac:dyDescent="0.3">
      <c r="A1188" s="16" t="s">
        <v>64</v>
      </c>
      <c r="B1188" s="16" t="s">
        <v>94</v>
      </c>
      <c r="C1188" s="15">
        <v>3</v>
      </c>
      <c r="D1188" s="17">
        <v>0</v>
      </c>
      <c r="E1188" s="17">
        <v>23723</v>
      </c>
      <c r="F1188" s="17">
        <v>23723</v>
      </c>
      <c r="G1188" s="18">
        <v>0</v>
      </c>
      <c r="H1188" s="10" t="str">
        <f t="shared" si="18"/>
        <v>COSTOS</v>
      </c>
      <c r="I1188" s="19">
        <v>2025</v>
      </c>
    </row>
    <row r="1189" spans="1:9" hidden="1" x14ac:dyDescent="0.3">
      <c r="A1189" s="16" t="s">
        <v>64</v>
      </c>
      <c r="B1189" s="16" t="s">
        <v>94</v>
      </c>
      <c r="C1189" s="15">
        <v>5</v>
      </c>
      <c r="D1189" s="17">
        <v>0</v>
      </c>
      <c r="E1189" s="17">
        <v>24548</v>
      </c>
      <c r="F1189" s="17">
        <v>24548</v>
      </c>
      <c r="G1189" s="18">
        <v>0</v>
      </c>
      <c r="H1189" s="10" t="str">
        <f t="shared" si="18"/>
        <v>COSTOS</v>
      </c>
      <c r="I1189" s="19">
        <v>2025</v>
      </c>
    </row>
    <row r="1190" spans="1:9" hidden="1" x14ac:dyDescent="0.3">
      <c r="A1190" s="16" t="s">
        <v>64</v>
      </c>
      <c r="B1190" s="16" t="s">
        <v>94</v>
      </c>
      <c r="C1190" s="15">
        <v>6</v>
      </c>
      <c r="D1190" s="17">
        <v>0</v>
      </c>
      <c r="E1190" s="17">
        <v>24682</v>
      </c>
      <c r="F1190" s="17">
        <v>24682</v>
      </c>
      <c r="G1190" s="18">
        <v>0</v>
      </c>
      <c r="H1190" s="10" t="str">
        <f t="shared" si="18"/>
        <v>COSTOS</v>
      </c>
      <c r="I1190" s="19">
        <v>2025</v>
      </c>
    </row>
    <row r="1191" spans="1:9" hidden="1" x14ac:dyDescent="0.3">
      <c r="A1191" s="16" t="s">
        <v>64</v>
      </c>
      <c r="B1191" s="16" t="s">
        <v>94</v>
      </c>
      <c r="C1191" s="15">
        <v>7</v>
      </c>
      <c r="D1191" s="17">
        <v>0</v>
      </c>
      <c r="E1191" s="17">
        <v>23878</v>
      </c>
      <c r="F1191" s="17">
        <v>23878</v>
      </c>
      <c r="G1191" s="18">
        <v>0</v>
      </c>
      <c r="H1191" s="10" t="str">
        <f t="shared" si="18"/>
        <v>COSTOS</v>
      </c>
      <c r="I1191" s="19">
        <v>2025</v>
      </c>
    </row>
    <row r="1192" spans="1:9" hidden="1" x14ac:dyDescent="0.3">
      <c r="A1192" s="16" t="s">
        <v>64</v>
      </c>
      <c r="B1192" s="16" t="s">
        <v>94</v>
      </c>
      <c r="C1192" s="15">
        <v>8</v>
      </c>
      <c r="D1192" s="17">
        <v>0</v>
      </c>
      <c r="E1192" s="17">
        <v>24108</v>
      </c>
      <c r="F1192" s="17">
        <v>24108</v>
      </c>
      <c r="G1192" s="18">
        <v>0</v>
      </c>
      <c r="H1192" s="10" t="str">
        <f t="shared" si="18"/>
        <v>COSTOS</v>
      </c>
      <c r="I1192" s="19">
        <v>2025</v>
      </c>
    </row>
    <row r="1193" spans="1:9" hidden="1" x14ac:dyDescent="0.3">
      <c r="A1193" s="16" t="s">
        <v>64</v>
      </c>
      <c r="B1193" s="16" t="s">
        <v>94</v>
      </c>
      <c r="C1193" s="15">
        <v>9</v>
      </c>
      <c r="D1193" s="17">
        <v>0</v>
      </c>
      <c r="E1193" s="17">
        <v>23237</v>
      </c>
      <c r="F1193" s="17">
        <v>23237</v>
      </c>
      <c r="G1193" s="18">
        <v>0</v>
      </c>
      <c r="H1193" s="10" t="str">
        <f t="shared" si="18"/>
        <v>COSTOS</v>
      </c>
      <c r="I1193" s="19">
        <v>2025</v>
      </c>
    </row>
    <row r="1194" spans="1:9" hidden="1" x14ac:dyDescent="0.3">
      <c r="A1194" s="16" t="s">
        <v>64</v>
      </c>
      <c r="B1194" s="16" t="s">
        <v>94</v>
      </c>
      <c r="C1194" s="15">
        <v>10</v>
      </c>
      <c r="D1194" s="17">
        <v>0</v>
      </c>
      <c r="E1194" s="17">
        <v>23167</v>
      </c>
      <c r="F1194" s="17">
        <v>23167</v>
      </c>
      <c r="G1194" s="18">
        <v>0</v>
      </c>
      <c r="H1194" s="10" t="str">
        <f t="shared" si="18"/>
        <v>COSTOS</v>
      </c>
      <c r="I1194" s="19">
        <v>2025</v>
      </c>
    </row>
    <row r="1195" spans="1:9" hidden="1" x14ac:dyDescent="0.3">
      <c r="A1195" s="16" t="s">
        <v>64</v>
      </c>
      <c r="B1195" s="16" t="s">
        <v>27</v>
      </c>
      <c r="C1195" s="15">
        <v>1</v>
      </c>
      <c r="D1195" s="17">
        <v>104836</v>
      </c>
      <c r="E1195" s="17">
        <v>0</v>
      </c>
      <c r="F1195" s="17">
        <v>-104836</v>
      </c>
      <c r="G1195" s="18">
        <v>0</v>
      </c>
      <c r="H1195" s="10" t="str">
        <f t="shared" si="18"/>
        <v>COSTOS</v>
      </c>
      <c r="I1195" s="19">
        <v>2025</v>
      </c>
    </row>
    <row r="1196" spans="1:9" hidden="1" x14ac:dyDescent="0.3">
      <c r="A1196" s="16" t="s">
        <v>64</v>
      </c>
      <c r="B1196" s="16" t="s">
        <v>27</v>
      </c>
      <c r="C1196" s="15">
        <v>2</v>
      </c>
      <c r="D1196" s="17">
        <v>107208</v>
      </c>
      <c r="E1196" s="17">
        <v>105373</v>
      </c>
      <c r="F1196" s="17">
        <v>-1835</v>
      </c>
      <c r="G1196" s="18">
        <v>0.9828837400194016</v>
      </c>
      <c r="H1196" s="10" t="str">
        <f t="shared" si="18"/>
        <v>COSTOS</v>
      </c>
      <c r="I1196" s="19">
        <v>2025</v>
      </c>
    </row>
    <row r="1197" spans="1:9" hidden="1" x14ac:dyDescent="0.3">
      <c r="A1197" s="16" t="s">
        <v>64</v>
      </c>
      <c r="B1197" s="16" t="s">
        <v>27</v>
      </c>
      <c r="C1197" s="15">
        <v>3</v>
      </c>
      <c r="D1197" s="17">
        <v>112852</v>
      </c>
      <c r="E1197" s="17">
        <v>103291</v>
      </c>
      <c r="F1197" s="17">
        <v>-9561</v>
      </c>
      <c r="G1197" s="18">
        <v>0.9152784177506823</v>
      </c>
      <c r="H1197" s="10" t="str">
        <f t="shared" si="18"/>
        <v>COSTOS</v>
      </c>
      <c r="I1197" s="19">
        <v>2025</v>
      </c>
    </row>
    <row r="1198" spans="1:9" hidden="1" x14ac:dyDescent="0.3">
      <c r="A1198" s="16" t="s">
        <v>64</v>
      </c>
      <c r="B1198" s="16" t="s">
        <v>27</v>
      </c>
      <c r="C1198" s="15">
        <v>4</v>
      </c>
      <c r="D1198" s="17">
        <v>119871</v>
      </c>
      <c r="E1198" s="17">
        <v>116631</v>
      </c>
      <c r="F1198" s="17">
        <v>-3240</v>
      </c>
      <c r="G1198" s="18">
        <v>0.97297094376454696</v>
      </c>
      <c r="H1198" s="10" t="str">
        <f t="shared" si="18"/>
        <v>COSTOS</v>
      </c>
      <c r="I1198" s="19">
        <v>2025</v>
      </c>
    </row>
    <row r="1199" spans="1:9" hidden="1" x14ac:dyDescent="0.3">
      <c r="A1199" s="16" t="s">
        <v>64</v>
      </c>
      <c r="B1199" s="16" t="s">
        <v>27</v>
      </c>
      <c r="C1199" s="15">
        <v>5</v>
      </c>
      <c r="D1199" s="17">
        <v>116843</v>
      </c>
      <c r="E1199" s="17">
        <v>133629</v>
      </c>
      <c r="F1199" s="17">
        <v>16786</v>
      </c>
      <c r="G1199" s="18">
        <v>1.1436628638429345</v>
      </c>
      <c r="H1199" s="10" t="str">
        <f t="shared" si="18"/>
        <v>COSTOS</v>
      </c>
      <c r="I1199" s="19">
        <v>2025</v>
      </c>
    </row>
    <row r="1200" spans="1:9" hidden="1" x14ac:dyDescent="0.3">
      <c r="A1200" s="16" t="s">
        <v>64</v>
      </c>
      <c r="B1200" s="16" t="s">
        <v>27</v>
      </c>
      <c r="C1200" s="15">
        <v>6</v>
      </c>
      <c r="D1200" s="17">
        <v>123860</v>
      </c>
      <c r="E1200" s="17">
        <v>137275</v>
      </c>
      <c r="F1200" s="17">
        <v>13415</v>
      </c>
      <c r="G1200" s="18">
        <v>1.1083077668335217</v>
      </c>
      <c r="H1200" s="10" t="str">
        <f t="shared" si="18"/>
        <v>COSTOS</v>
      </c>
      <c r="I1200" s="19">
        <v>2025</v>
      </c>
    </row>
    <row r="1201" spans="1:9" hidden="1" x14ac:dyDescent="0.3">
      <c r="A1201" s="16" t="s">
        <v>64</v>
      </c>
      <c r="B1201" s="16" t="s">
        <v>27</v>
      </c>
      <c r="C1201" s="15">
        <v>7</v>
      </c>
      <c r="D1201" s="17">
        <v>110964</v>
      </c>
      <c r="E1201" s="17">
        <v>145546</v>
      </c>
      <c r="F1201" s="17">
        <v>34582</v>
      </c>
      <c r="G1201" s="18">
        <v>1.3116506254280669</v>
      </c>
      <c r="H1201" s="10" t="str">
        <f t="shared" si="18"/>
        <v>COSTOS</v>
      </c>
      <c r="I1201" s="19">
        <v>2025</v>
      </c>
    </row>
    <row r="1202" spans="1:9" hidden="1" x14ac:dyDescent="0.3">
      <c r="A1202" s="16" t="s">
        <v>64</v>
      </c>
      <c r="B1202" s="16" t="s">
        <v>27</v>
      </c>
      <c r="C1202" s="15">
        <v>8</v>
      </c>
      <c r="D1202" s="17">
        <v>98427</v>
      </c>
      <c r="E1202" s="17">
        <v>128748</v>
      </c>
      <c r="F1202" s="17">
        <v>30321</v>
      </c>
      <c r="G1202" s="18">
        <v>1.3080557164192752</v>
      </c>
      <c r="H1202" s="10" t="str">
        <f t="shared" si="18"/>
        <v>COSTOS</v>
      </c>
      <c r="I1202" s="19">
        <v>2025</v>
      </c>
    </row>
    <row r="1203" spans="1:9" hidden="1" x14ac:dyDescent="0.3">
      <c r="A1203" s="16" t="s">
        <v>64</v>
      </c>
      <c r="B1203" s="16" t="s">
        <v>27</v>
      </c>
      <c r="C1203" s="15">
        <v>9</v>
      </c>
      <c r="D1203" s="17">
        <v>126679</v>
      </c>
      <c r="E1203" s="17">
        <v>166388</v>
      </c>
      <c r="F1203" s="17">
        <v>39709</v>
      </c>
      <c r="G1203" s="18">
        <v>1.3134615840036628</v>
      </c>
      <c r="H1203" s="10" t="str">
        <f t="shared" si="18"/>
        <v>COSTOS</v>
      </c>
      <c r="I1203" s="19">
        <v>2025</v>
      </c>
    </row>
    <row r="1204" spans="1:9" hidden="1" x14ac:dyDescent="0.3">
      <c r="A1204" s="16" t="s">
        <v>64</v>
      </c>
      <c r="B1204" s="16" t="s">
        <v>27</v>
      </c>
      <c r="C1204" s="15">
        <v>10</v>
      </c>
      <c r="D1204" s="17">
        <v>131353</v>
      </c>
      <c r="E1204" s="17">
        <v>177367</v>
      </c>
      <c r="F1204" s="17">
        <v>46014</v>
      </c>
      <c r="G1204" s="18">
        <v>1.3503079488096961</v>
      </c>
      <c r="H1204" s="10" t="str">
        <f t="shared" si="18"/>
        <v>COSTOS</v>
      </c>
      <c r="I1204" s="19">
        <v>2025</v>
      </c>
    </row>
    <row r="1205" spans="1:9" hidden="1" x14ac:dyDescent="0.3">
      <c r="A1205" s="16" t="s">
        <v>64</v>
      </c>
      <c r="B1205" s="16" t="s">
        <v>28</v>
      </c>
      <c r="C1205" s="15">
        <v>1</v>
      </c>
      <c r="D1205" s="17">
        <v>0</v>
      </c>
      <c r="E1205" s="17">
        <v>35697</v>
      </c>
      <c r="F1205" s="17">
        <v>35697</v>
      </c>
      <c r="G1205" s="18">
        <v>0</v>
      </c>
      <c r="H1205" s="10" t="str">
        <f t="shared" si="18"/>
        <v>COSTOS</v>
      </c>
      <c r="I1205" s="19">
        <v>2025</v>
      </c>
    </row>
    <row r="1206" spans="1:9" hidden="1" x14ac:dyDescent="0.3">
      <c r="A1206" s="16" t="s">
        <v>64</v>
      </c>
      <c r="B1206" s="16" t="s">
        <v>28</v>
      </c>
      <c r="C1206" s="15">
        <v>2</v>
      </c>
      <c r="D1206" s="17">
        <v>0</v>
      </c>
      <c r="E1206" s="17">
        <v>34343</v>
      </c>
      <c r="F1206" s="17">
        <v>34343</v>
      </c>
      <c r="G1206" s="18">
        <v>0</v>
      </c>
      <c r="H1206" s="10" t="str">
        <f t="shared" si="18"/>
        <v>COSTOS</v>
      </c>
      <c r="I1206" s="19">
        <v>2025</v>
      </c>
    </row>
    <row r="1207" spans="1:9" hidden="1" x14ac:dyDescent="0.3">
      <c r="A1207" s="16" t="s">
        <v>64</v>
      </c>
      <c r="B1207" s="16" t="s">
        <v>28</v>
      </c>
      <c r="C1207" s="15">
        <v>3</v>
      </c>
      <c r="D1207" s="17">
        <v>0</v>
      </c>
      <c r="E1207" s="17">
        <v>54822</v>
      </c>
      <c r="F1207" s="17">
        <v>54822</v>
      </c>
      <c r="G1207" s="18">
        <v>0</v>
      </c>
      <c r="H1207" s="10" t="str">
        <f t="shared" si="18"/>
        <v>COSTOS</v>
      </c>
      <c r="I1207" s="19">
        <v>2025</v>
      </c>
    </row>
    <row r="1208" spans="1:9" hidden="1" x14ac:dyDescent="0.3">
      <c r="A1208" s="16" t="s">
        <v>64</v>
      </c>
      <c r="B1208" s="16" t="s">
        <v>28</v>
      </c>
      <c r="C1208" s="15">
        <v>4</v>
      </c>
      <c r="D1208" s="17">
        <v>0</v>
      </c>
      <c r="E1208" s="17">
        <v>48825</v>
      </c>
      <c r="F1208" s="17">
        <v>48825</v>
      </c>
      <c r="G1208" s="18">
        <v>0</v>
      </c>
      <c r="H1208" s="10" t="str">
        <f t="shared" si="18"/>
        <v>COSTOS</v>
      </c>
      <c r="I1208" s="19">
        <v>2025</v>
      </c>
    </row>
    <row r="1209" spans="1:9" hidden="1" x14ac:dyDescent="0.3">
      <c r="A1209" s="16" t="s">
        <v>64</v>
      </c>
      <c r="B1209" s="16" t="s">
        <v>28</v>
      </c>
      <c r="C1209" s="15">
        <v>5</v>
      </c>
      <c r="D1209" s="17">
        <v>0</v>
      </c>
      <c r="E1209" s="17">
        <v>50977</v>
      </c>
      <c r="F1209" s="17">
        <v>50977</v>
      </c>
      <c r="G1209" s="18">
        <v>0</v>
      </c>
      <c r="H1209" s="10" t="str">
        <f t="shared" si="18"/>
        <v>COSTOS</v>
      </c>
      <c r="I1209" s="19">
        <v>2025</v>
      </c>
    </row>
    <row r="1210" spans="1:9" hidden="1" x14ac:dyDescent="0.3">
      <c r="A1210" s="16" t="s">
        <v>64</v>
      </c>
      <c r="B1210" s="16" t="s">
        <v>28</v>
      </c>
      <c r="C1210" s="15">
        <v>6</v>
      </c>
      <c r="D1210" s="17">
        <v>0</v>
      </c>
      <c r="E1210" s="17">
        <v>34735</v>
      </c>
      <c r="F1210" s="17">
        <v>34735</v>
      </c>
      <c r="G1210" s="18">
        <v>0</v>
      </c>
      <c r="H1210" s="10" t="str">
        <f t="shared" si="18"/>
        <v>COSTOS</v>
      </c>
      <c r="I1210" s="19">
        <v>2025</v>
      </c>
    </row>
    <row r="1211" spans="1:9" hidden="1" x14ac:dyDescent="0.3">
      <c r="A1211" s="16" t="s">
        <v>64</v>
      </c>
      <c r="B1211" s="16" t="s">
        <v>28</v>
      </c>
      <c r="C1211" s="15">
        <v>7</v>
      </c>
      <c r="D1211" s="17">
        <v>0</v>
      </c>
      <c r="E1211" s="17">
        <v>34483</v>
      </c>
      <c r="F1211" s="17">
        <v>34483</v>
      </c>
      <c r="G1211" s="18">
        <v>0</v>
      </c>
      <c r="H1211" s="10" t="str">
        <f t="shared" si="18"/>
        <v>COSTOS</v>
      </c>
      <c r="I1211" s="19">
        <v>2025</v>
      </c>
    </row>
    <row r="1212" spans="1:9" hidden="1" x14ac:dyDescent="0.3">
      <c r="A1212" s="16" t="s">
        <v>64</v>
      </c>
      <c r="B1212" s="16" t="s">
        <v>28</v>
      </c>
      <c r="C1212" s="15">
        <v>8</v>
      </c>
      <c r="D1212" s="17">
        <v>0</v>
      </c>
      <c r="E1212" s="17">
        <v>27840</v>
      </c>
      <c r="F1212" s="17">
        <v>27840</v>
      </c>
      <c r="G1212" s="18">
        <v>0</v>
      </c>
      <c r="H1212" s="10" t="str">
        <f t="shared" si="18"/>
        <v>COSTOS</v>
      </c>
      <c r="I1212" s="19">
        <v>2025</v>
      </c>
    </row>
    <row r="1213" spans="1:9" hidden="1" x14ac:dyDescent="0.3">
      <c r="A1213" s="16" t="s">
        <v>64</v>
      </c>
      <c r="B1213" s="16" t="s">
        <v>28</v>
      </c>
      <c r="C1213" s="15">
        <v>9</v>
      </c>
      <c r="D1213" s="17">
        <v>0</v>
      </c>
      <c r="E1213" s="17">
        <v>33144</v>
      </c>
      <c r="F1213" s="17">
        <v>33144</v>
      </c>
      <c r="G1213" s="18">
        <v>0</v>
      </c>
      <c r="H1213" s="10" t="str">
        <f t="shared" si="18"/>
        <v>COSTOS</v>
      </c>
      <c r="I1213" s="19">
        <v>2025</v>
      </c>
    </row>
    <row r="1214" spans="1:9" hidden="1" x14ac:dyDescent="0.3">
      <c r="A1214" s="16" t="s">
        <v>64</v>
      </c>
      <c r="B1214" s="16" t="s">
        <v>28</v>
      </c>
      <c r="C1214" s="15">
        <v>10</v>
      </c>
      <c r="D1214" s="17">
        <v>0</v>
      </c>
      <c r="E1214" s="17">
        <v>45736</v>
      </c>
      <c r="F1214" s="17">
        <v>45736</v>
      </c>
      <c r="G1214" s="18">
        <v>0</v>
      </c>
      <c r="H1214" s="10" t="str">
        <f t="shared" si="18"/>
        <v>COSTOS</v>
      </c>
      <c r="I1214" s="19">
        <v>2025</v>
      </c>
    </row>
    <row r="1215" spans="1:9" hidden="1" x14ac:dyDescent="0.3">
      <c r="A1215" s="16" t="s">
        <v>64</v>
      </c>
      <c r="B1215" s="16" t="s">
        <v>14</v>
      </c>
      <c r="C1215" s="15">
        <v>11</v>
      </c>
      <c r="D1215" s="17">
        <v>22844.9</v>
      </c>
      <c r="E1215" s="17">
        <v>0</v>
      </c>
      <c r="F1215" s="17">
        <v>-22844.9</v>
      </c>
      <c r="G1215" s="18">
        <v>0</v>
      </c>
      <c r="H1215" s="10" t="str">
        <f t="shared" si="18"/>
        <v>COSTOS</v>
      </c>
      <c r="I1215" s="19">
        <v>2025</v>
      </c>
    </row>
    <row r="1216" spans="1:9" hidden="1" x14ac:dyDescent="0.3">
      <c r="A1216" s="16" t="s">
        <v>64</v>
      </c>
      <c r="B1216" s="16" t="s">
        <v>94</v>
      </c>
      <c r="C1216" s="15">
        <v>11</v>
      </c>
      <c r="D1216" s="17">
        <v>0</v>
      </c>
      <c r="E1216" s="17">
        <v>22614</v>
      </c>
      <c r="F1216" s="17">
        <v>22614</v>
      </c>
      <c r="G1216" s="18">
        <v>0</v>
      </c>
      <c r="H1216" s="10" t="str">
        <f t="shared" si="18"/>
        <v>COSTOS</v>
      </c>
      <c r="I1216" s="19">
        <v>2025</v>
      </c>
    </row>
    <row r="1217" spans="1:9" hidden="1" x14ac:dyDescent="0.3">
      <c r="A1217" s="16" t="s">
        <v>64</v>
      </c>
      <c r="B1217" s="16" t="s">
        <v>27</v>
      </c>
      <c r="C1217" s="15">
        <v>11</v>
      </c>
      <c r="D1217" s="17">
        <v>124409</v>
      </c>
      <c r="E1217" s="17">
        <v>179559</v>
      </c>
      <c r="F1217" s="17">
        <v>55150</v>
      </c>
      <c r="G1217" s="18">
        <v>1.4432959030295236</v>
      </c>
      <c r="H1217" s="10" t="str">
        <f t="shared" si="18"/>
        <v>COSTOS</v>
      </c>
      <c r="I1217" s="19">
        <v>2025</v>
      </c>
    </row>
    <row r="1218" spans="1:9" hidden="1" x14ac:dyDescent="0.3">
      <c r="A1218" s="16" t="s">
        <v>64</v>
      </c>
      <c r="B1218" s="16" t="s">
        <v>28</v>
      </c>
      <c r="C1218" s="15">
        <v>11</v>
      </c>
      <c r="D1218" s="17">
        <v>0</v>
      </c>
      <c r="E1218" s="17">
        <v>39880</v>
      </c>
      <c r="F1218" s="17">
        <v>39880</v>
      </c>
      <c r="G1218" s="18">
        <v>0</v>
      </c>
      <c r="H1218" s="10" t="str">
        <f t="shared" si="18"/>
        <v>COSTOS</v>
      </c>
      <c r="I1218" s="19">
        <v>2025</v>
      </c>
    </row>
    <row r="1219" spans="1:9" hidden="1" x14ac:dyDescent="0.3">
      <c r="A1219" s="16" t="s">
        <v>64</v>
      </c>
      <c r="B1219" s="16" t="s">
        <v>14</v>
      </c>
      <c r="C1219" s="15">
        <v>12</v>
      </c>
      <c r="D1219" s="17">
        <v>22844.9</v>
      </c>
      <c r="E1219" s="17">
        <v>0</v>
      </c>
      <c r="F1219" s="17">
        <v>-22844.9</v>
      </c>
      <c r="G1219" s="18">
        <v>0</v>
      </c>
      <c r="H1219" s="10" t="str">
        <f t="shared" ref="H1219:H1282" si="19">+IF(OR(A1219="ADMINISTRACION",A1219="COMERCIAL",A1219="COMERCIAL-EXPORTACIONES",A1219="LEASING DE LA BODEGA",A1219="LOGISTICA-SALIDA",A1219="OTROS GASTOS",A1219="BODEGA ALQUILADA", A1219="BODEGA CARTOPLAST", A1219="BODEGA CARTOPLAS", A1219= "GESTION HUMANA-OTROS GASTOS"),"GASTOS","COSTOS")</f>
        <v>COSTOS</v>
      </c>
      <c r="I1219" s="19">
        <v>2025</v>
      </c>
    </row>
    <row r="1220" spans="1:9" hidden="1" x14ac:dyDescent="0.3">
      <c r="A1220" s="16" t="s">
        <v>64</v>
      </c>
      <c r="B1220" s="16" t="s">
        <v>27</v>
      </c>
      <c r="C1220" s="15">
        <v>12</v>
      </c>
      <c r="D1220" s="17">
        <v>238827</v>
      </c>
      <c r="E1220" s="17">
        <v>343103</v>
      </c>
      <c r="F1220" s="17">
        <v>104276</v>
      </c>
      <c r="G1220" s="18">
        <v>1.4366173003889846</v>
      </c>
      <c r="H1220" s="10" t="str">
        <f t="shared" si="19"/>
        <v>COSTOS</v>
      </c>
      <c r="I1220" s="19">
        <v>2025</v>
      </c>
    </row>
    <row r="1221" spans="1:9" hidden="1" x14ac:dyDescent="0.3">
      <c r="A1221" s="16" t="s">
        <v>64</v>
      </c>
      <c r="B1221" s="16" t="s">
        <v>28</v>
      </c>
      <c r="C1221" s="15">
        <v>12</v>
      </c>
      <c r="D1221" s="17">
        <v>0</v>
      </c>
      <c r="E1221" s="17">
        <v>36750</v>
      </c>
      <c r="F1221" s="17">
        <v>36750</v>
      </c>
      <c r="G1221" s="18">
        <v>0</v>
      </c>
      <c r="H1221" s="10" t="str">
        <f t="shared" si="19"/>
        <v>COSTOS</v>
      </c>
      <c r="I1221" s="19">
        <v>2025</v>
      </c>
    </row>
    <row r="1222" spans="1:9" hidden="1" x14ac:dyDescent="0.3">
      <c r="A1222" s="16" t="s">
        <v>67</v>
      </c>
      <c r="B1222" s="16" t="s">
        <v>60</v>
      </c>
      <c r="C1222" s="15">
        <v>8</v>
      </c>
      <c r="D1222" s="17">
        <v>5090000</v>
      </c>
      <c r="E1222" s="17">
        <v>0</v>
      </c>
      <c r="F1222" s="17">
        <v>-5090000</v>
      </c>
      <c r="G1222" s="18">
        <v>0</v>
      </c>
      <c r="H1222" s="10" t="str">
        <f t="shared" si="19"/>
        <v>COSTOS</v>
      </c>
      <c r="I1222" s="19">
        <v>2025</v>
      </c>
    </row>
    <row r="1223" spans="1:9" hidden="1" x14ac:dyDescent="0.3">
      <c r="A1223" s="16" t="s">
        <v>67</v>
      </c>
      <c r="B1223" s="16" t="s">
        <v>168</v>
      </c>
      <c r="C1223" s="15">
        <v>6</v>
      </c>
      <c r="D1223" s="17">
        <v>0</v>
      </c>
      <c r="E1223" s="17">
        <v>1300000</v>
      </c>
      <c r="F1223" s="17">
        <v>1300000</v>
      </c>
      <c r="G1223" s="18">
        <v>0</v>
      </c>
      <c r="H1223" s="10" t="str">
        <f t="shared" si="19"/>
        <v>COSTOS</v>
      </c>
      <c r="I1223" s="19">
        <v>2025</v>
      </c>
    </row>
    <row r="1224" spans="1:9" hidden="1" x14ac:dyDescent="0.3">
      <c r="A1224" s="16" t="s">
        <v>67</v>
      </c>
      <c r="B1224" s="16" t="s">
        <v>14</v>
      </c>
      <c r="C1224" s="15">
        <v>2</v>
      </c>
      <c r="D1224" s="17">
        <v>0</v>
      </c>
      <c r="E1224" s="17">
        <v>16000</v>
      </c>
      <c r="F1224" s="17">
        <v>16000</v>
      </c>
      <c r="G1224" s="18">
        <v>0</v>
      </c>
      <c r="H1224" s="10" t="str">
        <f t="shared" si="19"/>
        <v>COSTOS</v>
      </c>
      <c r="I1224" s="19">
        <v>2025</v>
      </c>
    </row>
    <row r="1225" spans="1:9" hidden="1" x14ac:dyDescent="0.3">
      <c r="A1225" s="16" t="s">
        <v>67</v>
      </c>
      <c r="B1225" s="16" t="s">
        <v>14</v>
      </c>
      <c r="C1225" s="15">
        <v>3</v>
      </c>
      <c r="D1225" s="17">
        <v>85754</v>
      </c>
      <c r="E1225" s="17">
        <v>0</v>
      </c>
      <c r="F1225" s="17">
        <v>-85754</v>
      </c>
      <c r="G1225" s="18">
        <v>0</v>
      </c>
      <c r="H1225" s="10" t="str">
        <f t="shared" si="19"/>
        <v>COSTOS</v>
      </c>
      <c r="I1225" s="19">
        <v>2025</v>
      </c>
    </row>
    <row r="1226" spans="1:9" hidden="1" x14ac:dyDescent="0.3">
      <c r="A1226" s="16" t="s">
        <v>67</v>
      </c>
      <c r="B1226" s="16" t="s">
        <v>14</v>
      </c>
      <c r="C1226" s="15">
        <v>4</v>
      </c>
      <c r="D1226" s="17">
        <v>13754</v>
      </c>
      <c r="E1226" s="17">
        <v>0</v>
      </c>
      <c r="F1226" s="17">
        <v>-13754</v>
      </c>
      <c r="G1226" s="18">
        <v>0</v>
      </c>
      <c r="H1226" s="10" t="str">
        <f t="shared" si="19"/>
        <v>COSTOS</v>
      </c>
      <c r="I1226" s="19">
        <v>2025</v>
      </c>
    </row>
    <row r="1227" spans="1:9" hidden="1" x14ac:dyDescent="0.3">
      <c r="A1227" s="16" t="s">
        <v>67</v>
      </c>
      <c r="B1227" s="16" t="s">
        <v>14</v>
      </c>
      <c r="C1227" s="15">
        <v>5</v>
      </c>
      <c r="D1227" s="17">
        <v>13754</v>
      </c>
      <c r="E1227" s="17">
        <v>0</v>
      </c>
      <c r="F1227" s="17">
        <v>-13754</v>
      </c>
      <c r="G1227" s="18">
        <v>0</v>
      </c>
      <c r="H1227" s="10" t="str">
        <f t="shared" si="19"/>
        <v>COSTOS</v>
      </c>
      <c r="I1227" s="19">
        <v>2025</v>
      </c>
    </row>
    <row r="1228" spans="1:9" hidden="1" x14ac:dyDescent="0.3">
      <c r="A1228" s="16" t="s">
        <v>67</v>
      </c>
      <c r="B1228" s="16" t="s">
        <v>14</v>
      </c>
      <c r="C1228" s="15">
        <v>6</v>
      </c>
      <c r="D1228" s="17">
        <v>85754</v>
      </c>
      <c r="E1228" s="17">
        <v>0</v>
      </c>
      <c r="F1228" s="17">
        <v>-85754</v>
      </c>
      <c r="G1228" s="18">
        <v>0</v>
      </c>
      <c r="H1228" s="10" t="str">
        <f t="shared" si="19"/>
        <v>COSTOS</v>
      </c>
      <c r="I1228" s="19">
        <v>2025</v>
      </c>
    </row>
    <row r="1229" spans="1:9" hidden="1" x14ac:dyDescent="0.3">
      <c r="A1229" s="16" t="s">
        <v>67</v>
      </c>
      <c r="B1229" s="16" t="s">
        <v>14</v>
      </c>
      <c r="C1229" s="15">
        <v>7</v>
      </c>
      <c r="D1229" s="17">
        <v>45754</v>
      </c>
      <c r="E1229" s="17">
        <v>0</v>
      </c>
      <c r="F1229" s="17">
        <v>-45754</v>
      </c>
      <c r="G1229" s="18">
        <v>0</v>
      </c>
      <c r="H1229" s="10" t="str">
        <f t="shared" si="19"/>
        <v>COSTOS</v>
      </c>
      <c r="I1229" s="19">
        <v>2025</v>
      </c>
    </row>
    <row r="1230" spans="1:9" hidden="1" x14ac:dyDescent="0.3">
      <c r="A1230" s="16" t="s">
        <v>67</v>
      </c>
      <c r="B1230" s="16" t="s">
        <v>14</v>
      </c>
      <c r="C1230" s="15">
        <v>8</v>
      </c>
      <c r="D1230" s="17">
        <v>13754</v>
      </c>
      <c r="E1230" s="17">
        <v>23830</v>
      </c>
      <c r="F1230" s="17">
        <v>10076</v>
      </c>
      <c r="G1230" s="18">
        <v>1.7325868838156173</v>
      </c>
      <c r="H1230" s="10" t="str">
        <f t="shared" si="19"/>
        <v>COSTOS</v>
      </c>
      <c r="I1230" s="19">
        <v>2025</v>
      </c>
    </row>
    <row r="1231" spans="1:9" hidden="1" x14ac:dyDescent="0.3">
      <c r="A1231" s="16" t="s">
        <v>67</v>
      </c>
      <c r="B1231" s="16" t="s">
        <v>14</v>
      </c>
      <c r="C1231" s="15">
        <v>9</v>
      </c>
      <c r="D1231" s="17">
        <v>85754</v>
      </c>
      <c r="E1231" s="17">
        <v>0</v>
      </c>
      <c r="F1231" s="17">
        <v>-85754</v>
      </c>
      <c r="G1231" s="18">
        <v>0</v>
      </c>
      <c r="H1231" s="10" t="str">
        <f t="shared" si="19"/>
        <v>COSTOS</v>
      </c>
      <c r="I1231" s="19">
        <v>2025</v>
      </c>
    </row>
    <row r="1232" spans="1:9" hidden="1" x14ac:dyDescent="0.3">
      <c r="A1232" s="16" t="s">
        <v>67</v>
      </c>
      <c r="B1232" s="16" t="s">
        <v>14</v>
      </c>
      <c r="C1232" s="15">
        <v>10</v>
      </c>
      <c r="D1232" s="17">
        <v>45754</v>
      </c>
      <c r="E1232" s="17">
        <v>0</v>
      </c>
      <c r="F1232" s="17">
        <v>-45754</v>
      </c>
      <c r="G1232" s="18">
        <v>0</v>
      </c>
      <c r="H1232" s="10" t="str">
        <f t="shared" si="19"/>
        <v>COSTOS</v>
      </c>
      <c r="I1232" s="19">
        <v>2025</v>
      </c>
    </row>
    <row r="1233" spans="1:9" hidden="1" x14ac:dyDescent="0.3">
      <c r="A1233" s="16" t="s">
        <v>67</v>
      </c>
      <c r="B1233" s="16" t="s">
        <v>16</v>
      </c>
      <c r="C1233" s="15">
        <v>1</v>
      </c>
      <c r="D1233" s="17">
        <v>3493000</v>
      </c>
      <c r="E1233" s="17">
        <v>3493000</v>
      </c>
      <c r="F1233" s="17">
        <v>0</v>
      </c>
      <c r="G1233" s="18">
        <v>1</v>
      </c>
      <c r="H1233" s="10" t="str">
        <f t="shared" si="19"/>
        <v>COSTOS</v>
      </c>
      <c r="I1233" s="19">
        <v>2025</v>
      </c>
    </row>
    <row r="1234" spans="1:9" hidden="1" x14ac:dyDescent="0.3">
      <c r="A1234" s="16" t="s">
        <v>67</v>
      </c>
      <c r="B1234" s="16" t="s">
        <v>16</v>
      </c>
      <c r="C1234" s="15">
        <v>2</v>
      </c>
      <c r="D1234" s="17">
        <v>3278000</v>
      </c>
      <c r="E1234" s="17">
        <v>3278000</v>
      </c>
      <c r="F1234" s="17">
        <v>0</v>
      </c>
      <c r="G1234" s="18">
        <v>1</v>
      </c>
      <c r="H1234" s="10" t="str">
        <f t="shared" si="19"/>
        <v>COSTOS</v>
      </c>
      <c r="I1234" s="19">
        <v>2025</v>
      </c>
    </row>
    <row r="1235" spans="1:9" hidden="1" x14ac:dyDescent="0.3">
      <c r="A1235" s="16" t="s">
        <v>67</v>
      </c>
      <c r="B1235" s="16" t="s">
        <v>16</v>
      </c>
      <c r="C1235" s="15">
        <v>3</v>
      </c>
      <c r="D1235" s="17">
        <v>4432600</v>
      </c>
      <c r="E1235" s="17">
        <v>4432600</v>
      </c>
      <c r="F1235" s="17">
        <v>0</v>
      </c>
      <c r="G1235" s="18">
        <v>1</v>
      </c>
      <c r="H1235" s="10" t="str">
        <f t="shared" si="19"/>
        <v>COSTOS</v>
      </c>
      <c r="I1235" s="19">
        <v>2025</v>
      </c>
    </row>
    <row r="1236" spans="1:9" hidden="1" x14ac:dyDescent="0.3">
      <c r="A1236" s="16" t="s">
        <v>67</v>
      </c>
      <c r="B1236" s="16" t="s">
        <v>16</v>
      </c>
      <c r="C1236" s="15">
        <v>4</v>
      </c>
      <c r="D1236" s="17">
        <v>4242000</v>
      </c>
      <c r="E1236" s="17">
        <v>4193800</v>
      </c>
      <c r="F1236" s="17">
        <v>-48200</v>
      </c>
      <c r="G1236" s="18">
        <v>0.98863743517208869</v>
      </c>
      <c r="H1236" s="10" t="str">
        <f t="shared" si="19"/>
        <v>COSTOS</v>
      </c>
      <c r="I1236" s="19">
        <v>2025</v>
      </c>
    </row>
    <row r="1237" spans="1:9" hidden="1" x14ac:dyDescent="0.3">
      <c r="A1237" s="16" t="s">
        <v>67</v>
      </c>
      <c r="B1237" s="16" t="s">
        <v>16</v>
      </c>
      <c r="C1237" s="15">
        <v>5</v>
      </c>
      <c r="D1237" s="17">
        <v>4242000</v>
      </c>
      <c r="E1237" s="17">
        <v>4056000</v>
      </c>
      <c r="F1237" s="17">
        <v>-186000</v>
      </c>
      <c r="G1237" s="18">
        <v>0.95615275813295619</v>
      </c>
      <c r="H1237" s="10" t="str">
        <f t="shared" si="19"/>
        <v>COSTOS</v>
      </c>
      <c r="I1237" s="19">
        <v>2025</v>
      </c>
    </row>
    <row r="1238" spans="1:9" hidden="1" x14ac:dyDescent="0.3">
      <c r="A1238" s="16" t="s">
        <v>67</v>
      </c>
      <c r="B1238" s="16" t="s">
        <v>16</v>
      </c>
      <c r="C1238" s="15">
        <v>6</v>
      </c>
      <c r="D1238" s="17">
        <v>3890000</v>
      </c>
      <c r="E1238" s="17">
        <v>4184000</v>
      </c>
      <c r="F1238" s="17">
        <v>294000</v>
      </c>
      <c r="G1238" s="18">
        <v>1.0755784061696658</v>
      </c>
      <c r="H1238" s="10" t="str">
        <f t="shared" si="19"/>
        <v>COSTOS</v>
      </c>
      <c r="I1238" s="19">
        <v>2025</v>
      </c>
    </row>
    <row r="1239" spans="1:9" hidden="1" x14ac:dyDescent="0.3">
      <c r="A1239" s="16" t="s">
        <v>67</v>
      </c>
      <c r="B1239" s="16" t="s">
        <v>16</v>
      </c>
      <c r="C1239" s="15">
        <v>7</v>
      </c>
      <c r="D1239" s="17">
        <v>3890000</v>
      </c>
      <c r="E1239" s="17">
        <v>5184000</v>
      </c>
      <c r="F1239" s="17">
        <v>1294000</v>
      </c>
      <c r="G1239" s="18">
        <v>1.3326478149100256</v>
      </c>
      <c r="H1239" s="10" t="str">
        <f t="shared" si="19"/>
        <v>COSTOS</v>
      </c>
      <c r="I1239" s="19">
        <v>2025</v>
      </c>
    </row>
    <row r="1240" spans="1:9" hidden="1" x14ac:dyDescent="0.3">
      <c r="A1240" s="16" t="s">
        <v>67</v>
      </c>
      <c r="B1240" s="16" t="s">
        <v>16</v>
      </c>
      <c r="C1240" s="15">
        <v>8</v>
      </c>
      <c r="D1240" s="17">
        <v>4242000</v>
      </c>
      <c r="E1240" s="17">
        <v>4272700</v>
      </c>
      <c r="F1240" s="17">
        <v>30700</v>
      </c>
      <c r="G1240" s="18">
        <v>1.0072371522866572</v>
      </c>
      <c r="H1240" s="10" t="str">
        <f t="shared" si="19"/>
        <v>COSTOS</v>
      </c>
      <c r="I1240" s="19">
        <v>2025</v>
      </c>
    </row>
    <row r="1241" spans="1:9" hidden="1" x14ac:dyDescent="0.3">
      <c r="A1241" s="16" t="s">
        <v>67</v>
      </c>
      <c r="B1241" s="16" t="s">
        <v>16</v>
      </c>
      <c r="C1241" s="15">
        <v>9</v>
      </c>
      <c r="D1241" s="17">
        <v>3890000</v>
      </c>
      <c r="E1241" s="17">
        <v>5100100</v>
      </c>
      <c r="F1241" s="17">
        <v>1210100</v>
      </c>
      <c r="G1241" s="18">
        <v>1.3110796915167096</v>
      </c>
      <c r="H1241" s="10" t="str">
        <f t="shared" si="19"/>
        <v>COSTOS</v>
      </c>
      <c r="I1241" s="19">
        <v>2025</v>
      </c>
    </row>
    <row r="1242" spans="1:9" hidden="1" x14ac:dyDescent="0.3">
      <c r="A1242" s="16" t="s">
        <v>67</v>
      </c>
      <c r="B1242" s="16" t="s">
        <v>16</v>
      </c>
      <c r="C1242" s="15">
        <v>10</v>
      </c>
      <c r="D1242" s="17">
        <v>3890000</v>
      </c>
      <c r="E1242" s="17">
        <v>7330750</v>
      </c>
      <c r="F1242" s="17">
        <v>3440750</v>
      </c>
      <c r="G1242" s="18">
        <v>1.8845115681233935</v>
      </c>
      <c r="H1242" s="10" t="str">
        <f t="shared" si="19"/>
        <v>COSTOS</v>
      </c>
      <c r="I1242" s="19">
        <v>2025</v>
      </c>
    </row>
    <row r="1243" spans="1:9" hidden="1" x14ac:dyDescent="0.3">
      <c r="A1243" s="16" t="s">
        <v>67</v>
      </c>
      <c r="B1243" s="16" t="s">
        <v>41</v>
      </c>
      <c r="C1243" s="15">
        <v>1</v>
      </c>
      <c r="D1243" s="17">
        <v>39416</v>
      </c>
      <c r="E1243" s="17">
        <v>0</v>
      </c>
      <c r="F1243" s="17">
        <v>-39416</v>
      </c>
      <c r="G1243" s="18">
        <v>0</v>
      </c>
      <c r="H1243" s="10" t="str">
        <f t="shared" si="19"/>
        <v>COSTOS</v>
      </c>
      <c r="I1243" s="19">
        <v>2025</v>
      </c>
    </row>
    <row r="1244" spans="1:9" hidden="1" x14ac:dyDescent="0.3">
      <c r="A1244" s="16" t="s">
        <v>67</v>
      </c>
      <c r="B1244" s="16" t="s">
        <v>41</v>
      </c>
      <c r="C1244" s="15">
        <v>2</v>
      </c>
      <c r="D1244" s="17">
        <v>39416</v>
      </c>
      <c r="E1244" s="17">
        <v>0</v>
      </c>
      <c r="F1244" s="17">
        <v>-39416</v>
      </c>
      <c r="G1244" s="18">
        <v>0</v>
      </c>
      <c r="H1244" s="10" t="str">
        <f t="shared" si="19"/>
        <v>COSTOS</v>
      </c>
      <c r="I1244" s="19">
        <v>2025</v>
      </c>
    </row>
    <row r="1245" spans="1:9" hidden="1" x14ac:dyDescent="0.3">
      <c r="A1245" s="16" t="s">
        <v>67</v>
      </c>
      <c r="B1245" s="16" t="s">
        <v>41</v>
      </c>
      <c r="C1245" s="15">
        <v>3</v>
      </c>
      <c r="D1245" s="17">
        <v>39416</v>
      </c>
      <c r="E1245" s="17">
        <v>0</v>
      </c>
      <c r="F1245" s="17">
        <v>-39416</v>
      </c>
      <c r="G1245" s="18">
        <v>0</v>
      </c>
      <c r="H1245" s="10" t="str">
        <f t="shared" si="19"/>
        <v>COSTOS</v>
      </c>
      <c r="I1245" s="19">
        <v>2025</v>
      </c>
    </row>
    <row r="1246" spans="1:9" hidden="1" x14ac:dyDescent="0.3">
      <c r="A1246" s="16" t="s">
        <v>67</v>
      </c>
      <c r="B1246" s="16" t="s">
        <v>41</v>
      </c>
      <c r="C1246" s="15">
        <v>4</v>
      </c>
      <c r="D1246" s="17">
        <v>39416</v>
      </c>
      <c r="E1246" s="17">
        <v>0</v>
      </c>
      <c r="F1246" s="17">
        <v>-39416</v>
      </c>
      <c r="G1246" s="18">
        <v>0</v>
      </c>
      <c r="H1246" s="10" t="str">
        <f t="shared" si="19"/>
        <v>COSTOS</v>
      </c>
      <c r="I1246" s="19">
        <v>2025</v>
      </c>
    </row>
    <row r="1247" spans="1:9" hidden="1" x14ac:dyDescent="0.3">
      <c r="A1247" s="16" t="s">
        <v>67</v>
      </c>
      <c r="B1247" s="16" t="s">
        <v>41</v>
      </c>
      <c r="C1247" s="15">
        <v>5</v>
      </c>
      <c r="D1247" s="17">
        <v>39416</v>
      </c>
      <c r="E1247" s="17">
        <v>0</v>
      </c>
      <c r="F1247" s="17">
        <v>-39416</v>
      </c>
      <c r="G1247" s="18">
        <v>0</v>
      </c>
      <c r="H1247" s="10" t="str">
        <f t="shared" si="19"/>
        <v>COSTOS</v>
      </c>
      <c r="I1247" s="19">
        <v>2025</v>
      </c>
    </row>
    <row r="1248" spans="1:9" hidden="1" x14ac:dyDescent="0.3">
      <c r="A1248" s="16" t="s">
        <v>67</v>
      </c>
      <c r="B1248" s="16" t="s">
        <v>41</v>
      </c>
      <c r="C1248" s="15">
        <v>6</v>
      </c>
      <c r="D1248" s="17">
        <v>39416</v>
      </c>
      <c r="E1248" s="17">
        <v>0</v>
      </c>
      <c r="F1248" s="17">
        <v>-39416</v>
      </c>
      <c r="G1248" s="18">
        <v>0</v>
      </c>
      <c r="H1248" s="10" t="str">
        <f t="shared" si="19"/>
        <v>COSTOS</v>
      </c>
      <c r="I1248" s="19">
        <v>2025</v>
      </c>
    </row>
    <row r="1249" spans="1:9" hidden="1" x14ac:dyDescent="0.3">
      <c r="A1249" s="16" t="s">
        <v>67</v>
      </c>
      <c r="B1249" s="16" t="s">
        <v>41</v>
      </c>
      <c r="C1249" s="15">
        <v>7</v>
      </c>
      <c r="D1249" s="17">
        <v>39416</v>
      </c>
      <c r="E1249" s="17">
        <v>258800</v>
      </c>
      <c r="F1249" s="17">
        <v>219384</v>
      </c>
      <c r="G1249" s="18">
        <v>6.5658615790541912</v>
      </c>
      <c r="H1249" s="10" t="str">
        <f t="shared" si="19"/>
        <v>COSTOS</v>
      </c>
      <c r="I1249" s="19">
        <v>2025</v>
      </c>
    </row>
    <row r="1250" spans="1:9" hidden="1" x14ac:dyDescent="0.3">
      <c r="A1250" s="16" t="s">
        <v>67</v>
      </c>
      <c r="B1250" s="16" t="s">
        <v>41</v>
      </c>
      <c r="C1250" s="15">
        <v>8</v>
      </c>
      <c r="D1250" s="17">
        <v>39416</v>
      </c>
      <c r="E1250" s="17">
        <v>0</v>
      </c>
      <c r="F1250" s="17">
        <v>-39416</v>
      </c>
      <c r="G1250" s="18">
        <v>0</v>
      </c>
      <c r="H1250" s="10" t="str">
        <f t="shared" si="19"/>
        <v>COSTOS</v>
      </c>
      <c r="I1250" s="19">
        <v>2025</v>
      </c>
    </row>
    <row r="1251" spans="1:9" hidden="1" x14ac:dyDescent="0.3">
      <c r="A1251" s="16" t="s">
        <v>67</v>
      </c>
      <c r="B1251" s="16" t="s">
        <v>41</v>
      </c>
      <c r="C1251" s="15">
        <v>9</v>
      </c>
      <c r="D1251" s="17">
        <v>39416</v>
      </c>
      <c r="E1251" s="17">
        <v>0</v>
      </c>
      <c r="F1251" s="17">
        <v>-39416</v>
      </c>
      <c r="G1251" s="18">
        <v>0</v>
      </c>
      <c r="H1251" s="10" t="str">
        <f t="shared" si="19"/>
        <v>COSTOS</v>
      </c>
      <c r="I1251" s="19">
        <v>2025</v>
      </c>
    </row>
    <row r="1252" spans="1:9" hidden="1" x14ac:dyDescent="0.3">
      <c r="A1252" s="16" t="s">
        <v>67</v>
      </c>
      <c r="B1252" s="16" t="s">
        <v>41</v>
      </c>
      <c r="C1252" s="15">
        <v>10</v>
      </c>
      <c r="D1252" s="17">
        <v>39416</v>
      </c>
      <c r="E1252" s="17">
        <v>0</v>
      </c>
      <c r="F1252" s="17">
        <v>-39416</v>
      </c>
      <c r="G1252" s="18">
        <v>0</v>
      </c>
      <c r="H1252" s="10" t="str">
        <f t="shared" si="19"/>
        <v>COSTOS</v>
      </c>
      <c r="I1252" s="19">
        <v>2025</v>
      </c>
    </row>
    <row r="1253" spans="1:9" hidden="1" x14ac:dyDescent="0.3">
      <c r="A1253" s="16" t="s">
        <v>67</v>
      </c>
      <c r="B1253" s="16" t="s">
        <v>94</v>
      </c>
      <c r="C1253" s="15">
        <v>1</v>
      </c>
      <c r="D1253" s="17">
        <v>141505</v>
      </c>
      <c r="E1253" s="17">
        <v>99958</v>
      </c>
      <c r="F1253" s="17">
        <v>-41547</v>
      </c>
      <c r="G1253" s="18">
        <v>0.70639200028267557</v>
      </c>
      <c r="H1253" s="10" t="str">
        <f t="shared" si="19"/>
        <v>COSTOS</v>
      </c>
      <c r="I1253" s="19">
        <v>2025</v>
      </c>
    </row>
    <row r="1254" spans="1:9" hidden="1" x14ac:dyDescent="0.3">
      <c r="A1254" s="16" t="s">
        <v>67</v>
      </c>
      <c r="B1254" s="16" t="s">
        <v>94</v>
      </c>
      <c r="C1254" s="15">
        <v>2</v>
      </c>
      <c r="D1254" s="17">
        <v>45324</v>
      </c>
      <c r="E1254" s="17">
        <v>95263</v>
      </c>
      <c r="F1254" s="17">
        <v>49939</v>
      </c>
      <c r="G1254" s="18">
        <v>2.1018224340305358</v>
      </c>
      <c r="H1254" s="10" t="str">
        <f t="shared" si="19"/>
        <v>COSTOS</v>
      </c>
      <c r="I1254" s="19">
        <v>2025</v>
      </c>
    </row>
    <row r="1255" spans="1:9" hidden="1" x14ac:dyDescent="0.3">
      <c r="A1255" s="16" t="s">
        <v>67</v>
      </c>
      <c r="B1255" s="16" t="s">
        <v>94</v>
      </c>
      <c r="C1255" s="15">
        <v>3</v>
      </c>
      <c r="D1255" s="17">
        <v>45587</v>
      </c>
      <c r="E1255" s="17">
        <v>95516</v>
      </c>
      <c r="F1255" s="17">
        <v>49929</v>
      </c>
      <c r="G1255" s="18">
        <v>2.0952464518393401</v>
      </c>
      <c r="H1255" s="10" t="str">
        <f t="shared" si="19"/>
        <v>COSTOS</v>
      </c>
      <c r="I1255" s="19">
        <v>2025</v>
      </c>
    </row>
    <row r="1256" spans="1:9" hidden="1" x14ac:dyDescent="0.3">
      <c r="A1256" s="16" t="s">
        <v>67</v>
      </c>
      <c r="B1256" s="16" t="s">
        <v>94</v>
      </c>
      <c r="C1256" s="15">
        <v>4</v>
      </c>
      <c r="D1256" s="17">
        <v>45473</v>
      </c>
      <c r="E1256" s="17">
        <v>153036</v>
      </c>
      <c r="F1256" s="17">
        <v>107563</v>
      </c>
      <c r="G1256" s="18">
        <v>3.3654256371913003</v>
      </c>
      <c r="H1256" s="10" t="str">
        <f t="shared" si="19"/>
        <v>COSTOS</v>
      </c>
      <c r="I1256" s="19">
        <v>2025</v>
      </c>
    </row>
    <row r="1257" spans="1:9" hidden="1" x14ac:dyDescent="0.3">
      <c r="A1257" s="16" t="s">
        <v>67</v>
      </c>
      <c r="B1257" s="16" t="s">
        <v>94</v>
      </c>
      <c r="C1257" s="15">
        <v>5</v>
      </c>
      <c r="D1257" s="17">
        <v>45149</v>
      </c>
      <c r="E1257" s="17">
        <v>149229</v>
      </c>
      <c r="F1257" s="17">
        <v>104080</v>
      </c>
      <c r="G1257" s="18">
        <v>3.3052559303639062</v>
      </c>
      <c r="H1257" s="10" t="str">
        <f t="shared" si="19"/>
        <v>COSTOS</v>
      </c>
      <c r="I1257" s="19">
        <v>2025</v>
      </c>
    </row>
    <row r="1258" spans="1:9" hidden="1" x14ac:dyDescent="0.3">
      <c r="A1258" s="16" t="s">
        <v>67</v>
      </c>
      <c r="B1258" s="16" t="s">
        <v>94</v>
      </c>
      <c r="C1258" s="15">
        <v>6</v>
      </c>
      <c r="D1258" s="17">
        <v>47051</v>
      </c>
      <c r="E1258" s="17">
        <v>154128</v>
      </c>
      <c r="F1258" s="17">
        <v>107077</v>
      </c>
      <c r="G1258" s="18">
        <v>3.2757645958640627</v>
      </c>
      <c r="H1258" s="10" t="str">
        <f t="shared" si="19"/>
        <v>COSTOS</v>
      </c>
      <c r="I1258" s="19">
        <v>2025</v>
      </c>
    </row>
    <row r="1259" spans="1:9" hidden="1" x14ac:dyDescent="0.3">
      <c r="A1259" s="16" t="s">
        <v>67</v>
      </c>
      <c r="B1259" s="16" t="s">
        <v>94</v>
      </c>
      <c r="C1259" s="15">
        <v>7</v>
      </c>
      <c r="D1259" s="17">
        <v>47981</v>
      </c>
      <c r="E1259" s="17">
        <v>149109</v>
      </c>
      <c r="F1259" s="17">
        <v>101128</v>
      </c>
      <c r="G1259" s="18">
        <v>3.1076676184322962</v>
      </c>
      <c r="H1259" s="10" t="str">
        <f t="shared" si="19"/>
        <v>COSTOS</v>
      </c>
      <c r="I1259" s="19">
        <v>2025</v>
      </c>
    </row>
    <row r="1260" spans="1:9" hidden="1" x14ac:dyDescent="0.3">
      <c r="A1260" s="16" t="s">
        <v>67</v>
      </c>
      <c r="B1260" s="16" t="s">
        <v>94</v>
      </c>
      <c r="C1260" s="15">
        <v>8</v>
      </c>
      <c r="D1260" s="17">
        <v>48920</v>
      </c>
      <c r="E1260" s="17">
        <v>150543</v>
      </c>
      <c r="F1260" s="17">
        <v>101623</v>
      </c>
      <c r="G1260" s="18">
        <v>3.0773303352412102</v>
      </c>
      <c r="H1260" s="10" t="str">
        <f t="shared" si="19"/>
        <v>COSTOS</v>
      </c>
      <c r="I1260" s="19">
        <v>2025</v>
      </c>
    </row>
    <row r="1261" spans="1:9" hidden="1" x14ac:dyDescent="0.3">
      <c r="A1261" s="16" t="s">
        <v>67</v>
      </c>
      <c r="B1261" s="16" t="s">
        <v>94</v>
      </c>
      <c r="C1261" s="15">
        <v>9</v>
      </c>
      <c r="D1261" s="17">
        <v>49505</v>
      </c>
      <c r="E1261" s="17">
        <v>145107</v>
      </c>
      <c r="F1261" s="17">
        <v>95602</v>
      </c>
      <c r="G1261" s="18">
        <v>2.9311584688415313</v>
      </c>
      <c r="H1261" s="10" t="str">
        <f t="shared" si="19"/>
        <v>COSTOS</v>
      </c>
      <c r="I1261" s="19">
        <v>2025</v>
      </c>
    </row>
    <row r="1262" spans="1:9" hidden="1" x14ac:dyDescent="0.3">
      <c r="A1262" s="16" t="s">
        <v>67</v>
      </c>
      <c r="B1262" s="16" t="s">
        <v>94</v>
      </c>
      <c r="C1262" s="15">
        <v>10</v>
      </c>
      <c r="D1262" s="17">
        <v>49479</v>
      </c>
      <c r="E1262" s="17">
        <v>144666</v>
      </c>
      <c r="F1262" s="17">
        <v>95187</v>
      </c>
      <c r="G1262" s="18">
        <v>2.9237858485418058</v>
      </c>
      <c r="H1262" s="10" t="str">
        <f t="shared" si="19"/>
        <v>COSTOS</v>
      </c>
      <c r="I1262" s="19">
        <v>2025</v>
      </c>
    </row>
    <row r="1263" spans="1:9" hidden="1" x14ac:dyDescent="0.3">
      <c r="A1263" s="16" t="s">
        <v>67</v>
      </c>
      <c r="B1263" s="16" t="s">
        <v>22</v>
      </c>
      <c r="C1263" s="15">
        <v>6</v>
      </c>
      <c r="D1263" s="17">
        <v>0</v>
      </c>
      <c r="E1263" s="17">
        <v>110000</v>
      </c>
      <c r="F1263" s="17">
        <v>110000</v>
      </c>
      <c r="G1263" s="18">
        <v>0</v>
      </c>
      <c r="H1263" s="10" t="str">
        <f t="shared" si="19"/>
        <v>COSTOS</v>
      </c>
      <c r="I1263" s="19">
        <v>2025</v>
      </c>
    </row>
    <row r="1264" spans="1:9" hidden="1" x14ac:dyDescent="0.3">
      <c r="A1264" s="16" t="s">
        <v>67</v>
      </c>
      <c r="B1264" s="16" t="s">
        <v>42</v>
      </c>
      <c r="C1264" s="15">
        <v>1</v>
      </c>
      <c r="D1264" s="17">
        <v>0</v>
      </c>
      <c r="E1264" s="17">
        <v>2249900</v>
      </c>
      <c r="F1264" s="17">
        <v>2249900</v>
      </c>
      <c r="G1264" s="18">
        <v>0</v>
      </c>
      <c r="H1264" s="10" t="str">
        <f t="shared" si="19"/>
        <v>COSTOS</v>
      </c>
      <c r="I1264" s="19">
        <v>2025</v>
      </c>
    </row>
    <row r="1265" spans="1:9" hidden="1" x14ac:dyDescent="0.3">
      <c r="A1265" s="16" t="s">
        <v>67</v>
      </c>
      <c r="B1265" s="16" t="s">
        <v>42</v>
      </c>
      <c r="C1265" s="15">
        <v>10</v>
      </c>
      <c r="D1265" s="17">
        <v>0</v>
      </c>
      <c r="E1265" s="17">
        <v>2100000</v>
      </c>
      <c r="F1265" s="17">
        <v>2100000</v>
      </c>
      <c r="G1265" s="18">
        <v>0</v>
      </c>
      <c r="H1265" s="10" t="str">
        <f t="shared" si="19"/>
        <v>COSTOS</v>
      </c>
      <c r="I1265" s="19">
        <v>2025</v>
      </c>
    </row>
    <row r="1266" spans="1:9" hidden="1" x14ac:dyDescent="0.3">
      <c r="A1266" s="16" t="s">
        <v>67</v>
      </c>
      <c r="B1266" s="16" t="s">
        <v>27</v>
      </c>
      <c r="C1266" s="15">
        <v>1</v>
      </c>
      <c r="D1266" s="17">
        <v>104836</v>
      </c>
      <c r="E1266" s="17">
        <v>0</v>
      </c>
      <c r="F1266" s="17">
        <v>-104836</v>
      </c>
      <c r="G1266" s="18">
        <v>0</v>
      </c>
      <c r="H1266" s="10" t="str">
        <f t="shared" si="19"/>
        <v>COSTOS</v>
      </c>
      <c r="I1266" s="19">
        <v>2025</v>
      </c>
    </row>
    <row r="1267" spans="1:9" hidden="1" x14ac:dyDescent="0.3">
      <c r="A1267" s="16" t="s">
        <v>67</v>
      </c>
      <c r="B1267" s="16" t="s">
        <v>27</v>
      </c>
      <c r="C1267" s="15">
        <v>2</v>
      </c>
      <c r="D1267" s="17">
        <v>107208</v>
      </c>
      <c r="E1267" s="17">
        <v>122948</v>
      </c>
      <c r="F1267" s="17">
        <v>15740</v>
      </c>
      <c r="G1267" s="18">
        <v>1.1468174016864414</v>
      </c>
      <c r="H1267" s="10" t="str">
        <f t="shared" si="19"/>
        <v>COSTOS</v>
      </c>
      <c r="I1267" s="19">
        <v>2025</v>
      </c>
    </row>
    <row r="1268" spans="1:9" hidden="1" x14ac:dyDescent="0.3">
      <c r="A1268" s="16" t="s">
        <v>67</v>
      </c>
      <c r="B1268" s="16" t="s">
        <v>27</v>
      </c>
      <c r="C1268" s="15">
        <v>3</v>
      </c>
      <c r="D1268" s="17">
        <v>112852</v>
      </c>
      <c r="E1268" s="17">
        <v>120866</v>
      </c>
      <c r="F1268" s="17">
        <v>8014</v>
      </c>
      <c r="G1268" s="18">
        <v>1.0710133626342466</v>
      </c>
      <c r="H1268" s="10" t="str">
        <f t="shared" si="19"/>
        <v>COSTOS</v>
      </c>
      <c r="I1268" s="19">
        <v>2025</v>
      </c>
    </row>
    <row r="1269" spans="1:9" hidden="1" x14ac:dyDescent="0.3">
      <c r="A1269" s="16" t="s">
        <v>67</v>
      </c>
      <c r="B1269" s="16" t="s">
        <v>27</v>
      </c>
      <c r="C1269" s="15">
        <v>4</v>
      </c>
      <c r="D1269" s="17">
        <v>119871</v>
      </c>
      <c r="E1269" s="17">
        <v>116631</v>
      </c>
      <c r="F1269" s="17">
        <v>-3240</v>
      </c>
      <c r="G1269" s="18">
        <v>0.97297094376454696</v>
      </c>
      <c r="H1269" s="10" t="str">
        <f t="shared" si="19"/>
        <v>COSTOS</v>
      </c>
      <c r="I1269" s="19">
        <v>2025</v>
      </c>
    </row>
    <row r="1270" spans="1:9" hidden="1" x14ac:dyDescent="0.3">
      <c r="A1270" s="16" t="s">
        <v>67</v>
      </c>
      <c r="B1270" s="16" t="s">
        <v>27</v>
      </c>
      <c r="C1270" s="15">
        <v>5</v>
      </c>
      <c r="D1270" s="17">
        <v>116843</v>
      </c>
      <c r="E1270" s="17">
        <v>133629</v>
      </c>
      <c r="F1270" s="17">
        <v>16786</v>
      </c>
      <c r="G1270" s="18">
        <v>1.1436628638429345</v>
      </c>
      <c r="H1270" s="10" t="str">
        <f t="shared" si="19"/>
        <v>COSTOS</v>
      </c>
      <c r="I1270" s="19">
        <v>2025</v>
      </c>
    </row>
    <row r="1271" spans="1:9" hidden="1" x14ac:dyDescent="0.3">
      <c r="A1271" s="16" t="s">
        <v>67</v>
      </c>
      <c r="B1271" s="16" t="s">
        <v>27</v>
      </c>
      <c r="C1271" s="15">
        <v>6</v>
      </c>
      <c r="D1271" s="17">
        <v>128899</v>
      </c>
      <c r="E1271" s="17">
        <v>137275</v>
      </c>
      <c r="F1271" s="17">
        <v>8376</v>
      </c>
      <c r="G1271" s="18">
        <v>1.0649811092405683</v>
      </c>
      <c r="H1271" s="10" t="str">
        <f t="shared" si="19"/>
        <v>COSTOS</v>
      </c>
      <c r="I1271" s="19">
        <v>2025</v>
      </c>
    </row>
    <row r="1272" spans="1:9" hidden="1" x14ac:dyDescent="0.3">
      <c r="A1272" s="16" t="s">
        <v>67</v>
      </c>
      <c r="B1272" s="16" t="s">
        <v>27</v>
      </c>
      <c r="C1272" s="15">
        <v>7</v>
      </c>
      <c r="D1272" s="17">
        <v>110964</v>
      </c>
      <c r="E1272" s="17">
        <v>145546</v>
      </c>
      <c r="F1272" s="17">
        <v>34582</v>
      </c>
      <c r="G1272" s="18">
        <v>1.3116506254280669</v>
      </c>
      <c r="H1272" s="10" t="str">
        <f t="shared" si="19"/>
        <v>COSTOS</v>
      </c>
      <c r="I1272" s="19">
        <v>2025</v>
      </c>
    </row>
    <row r="1273" spans="1:9" hidden="1" x14ac:dyDescent="0.3">
      <c r="A1273" s="16" t="s">
        <v>67</v>
      </c>
      <c r="B1273" s="16" t="s">
        <v>27</v>
      </c>
      <c r="C1273" s="15">
        <v>8</v>
      </c>
      <c r="D1273" s="17">
        <v>98427</v>
      </c>
      <c r="E1273" s="17">
        <v>131605</v>
      </c>
      <c r="F1273" s="17">
        <v>33178</v>
      </c>
      <c r="G1273" s="18">
        <v>1.3370823046521789</v>
      </c>
      <c r="H1273" s="10" t="str">
        <f t="shared" si="19"/>
        <v>COSTOS</v>
      </c>
      <c r="I1273" s="19">
        <v>2025</v>
      </c>
    </row>
    <row r="1274" spans="1:9" hidden="1" x14ac:dyDescent="0.3">
      <c r="A1274" s="16" t="s">
        <v>67</v>
      </c>
      <c r="B1274" s="16" t="s">
        <v>27</v>
      </c>
      <c r="C1274" s="15">
        <v>9</v>
      </c>
      <c r="D1274" s="17">
        <v>126679</v>
      </c>
      <c r="E1274" s="17">
        <v>166388</v>
      </c>
      <c r="F1274" s="17">
        <v>39709</v>
      </c>
      <c r="G1274" s="18">
        <v>1.3134615840036628</v>
      </c>
      <c r="H1274" s="10" t="str">
        <f t="shared" si="19"/>
        <v>COSTOS</v>
      </c>
      <c r="I1274" s="19">
        <v>2025</v>
      </c>
    </row>
    <row r="1275" spans="1:9" hidden="1" x14ac:dyDescent="0.3">
      <c r="A1275" s="16" t="s">
        <v>67</v>
      </c>
      <c r="B1275" s="16" t="s">
        <v>27</v>
      </c>
      <c r="C1275" s="15">
        <v>10</v>
      </c>
      <c r="D1275" s="17">
        <v>149842</v>
      </c>
      <c r="E1275" s="17">
        <v>177367</v>
      </c>
      <c r="F1275" s="17">
        <v>27525</v>
      </c>
      <c r="G1275" s="18">
        <v>1.1836934904766354</v>
      </c>
      <c r="H1275" s="10" t="str">
        <f t="shared" si="19"/>
        <v>COSTOS</v>
      </c>
      <c r="I1275" s="19">
        <v>2025</v>
      </c>
    </row>
    <row r="1276" spans="1:9" hidden="1" x14ac:dyDescent="0.3">
      <c r="A1276" s="16" t="s">
        <v>67</v>
      </c>
      <c r="B1276" s="16" t="s">
        <v>28</v>
      </c>
      <c r="C1276" s="15">
        <v>1</v>
      </c>
      <c r="D1276" s="17">
        <v>274242</v>
      </c>
      <c r="E1276" s="17">
        <v>69188</v>
      </c>
      <c r="F1276" s="17">
        <v>-205054</v>
      </c>
      <c r="G1276" s="18">
        <v>0.25228812508660237</v>
      </c>
      <c r="H1276" s="10" t="str">
        <f t="shared" si="19"/>
        <v>COSTOS</v>
      </c>
      <c r="I1276" s="19">
        <v>2025</v>
      </c>
    </row>
    <row r="1277" spans="1:9" hidden="1" x14ac:dyDescent="0.3">
      <c r="A1277" s="16" t="s">
        <v>67</v>
      </c>
      <c r="B1277" s="16" t="s">
        <v>28</v>
      </c>
      <c r="C1277" s="15">
        <v>2</v>
      </c>
      <c r="D1277" s="17">
        <v>274242</v>
      </c>
      <c r="E1277" s="17">
        <v>69343</v>
      </c>
      <c r="F1277" s="17">
        <v>-204899</v>
      </c>
      <c r="G1277" s="18">
        <v>0.25285331933110172</v>
      </c>
      <c r="H1277" s="10" t="str">
        <f t="shared" si="19"/>
        <v>COSTOS</v>
      </c>
      <c r="I1277" s="19">
        <v>2025</v>
      </c>
    </row>
    <row r="1278" spans="1:9" hidden="1" x14ac:dyDescent="0.3">
      <c r="A1278" s="16" t="s">
        <v>67</v>
      </c>
      <c r="B1278" s="16" t="s">
        <v>28</v>
      </c>
      <c r="C1278" s="15">
        <v>3</v>
      </c>
      <c r="D1278" s="17">
        <v>283333</v>
      </c>
      <c r="E1278" s="17">
        <v>130452</v>
      </c>
      <c r="F1278" s="17">
        <v>-152881</v>
      </c>
      <c r="G1278" s="18">
        <v>0.46041936519925319</v>
      </c>
      <c r="H1278" s="10" t="str">
        <f t="shared" si="19"/>
        <v>COSTOS</v>
      </c>
      <c r="I1278" s="19">
        <v>2025</v>
      </c>
    </row>
    <row r="1279" spans="1:9" hidden="1" x14ac:dyDescent="0.3">
      <c r="A1279" s="16" t="s">
        <v>67</v>
      </c>
      <c r="B1279" s="16" t="s">
        <v>28</v>
      </c>
      <c r="C1279" s="15">
        <v>4</v>
      </c>
      <c r="D1279" s="17">
        <v>283333</v>
      </c>
      <c r="E1279" s="17">
        <v>321885</v>
      </c>
      <c r="F1279" s="17">
        <v>38552</v>
      </c>
      <c r="G1279" s="18">
        <v>1.1360660424306381</v>
      </c>
      <c r="H1279" s="10" t="str">
        <f t="shared" si="19"/>
        <v>COSTOS</v>
      </c>
      <c r="I1279" s="19">
        <v>2025</v>
      </c>
    </row>
    <row r="1280" spans="1:9" hidden="1" x14ac:dyDescent="0.3">
      <c r="A1280" s="16" t="s">
        <v>67</v>
      </c>
      <c r="B1280" s="16" t="s">
        <v>28</v>
      </c>
      <c r="C1280" s="15">
        <v>5</v>
      </c>
      <c r="D1280" s="17">
        <v>283333</v>
      </c>
      <c r="E1280" s="17">
        <v>55347</v>
      </c>
      <c r="F1280" s="17">
        <v>-227986</v>
      </c>
      <c r="G1280" s="18">
        <v>0.19534258275597971</v>
      </c>
      <c r="H1280" s="10" t="str">
        <f t="shared" si="19"/>
        <v>COSTOS</v>
      </c>
      <c r="I1280" s="19">
        <v>2025</v>
      </c>
    </row>
    <row r="1281" spans="1:9" hidden="1" x14ac:dyDescent="0.3">
      <c r="A1281" s="16" t="s">
        <v>67</v>
      </c>
      <c r="B1281" s="16" t="s">
        <v>28</v>
      </c>
      <c r="C1281" s="15">
        <v>6</v>
      </c>
      <c r="D1281" s="17">
        <v>283333</v>
      </c>
      <c r="E1281" s="17">
        <v>191935</v>
      </c>
      <c r="F1281" s="17">
        <v>-91398</v>
      </c>
      <c r="G1281" s="18">
        <v>0.67741844402169893</v>
      </c>
      <c r="H1281" s="10" t="str">
        <f t="shared" si="19"/>
        <v>COSTOS</v>
      </c>
      <c r="I1281" s="19">
        <v>2025</v>
      </c>
    </row>
    <row r="1282" spans="1:9" hidden="1" x14ac:dyDescent="0.3">
      <c r="A1282" s="16" t="s">
        <v>67</v>
      </c>
      <c r="B1282" s="16" t="s">
        <v>28</v>
      </c>
      <c r="C1282" s="15">
        <v>7</v>
      </c>
      <c r="D1282" s="17">
        <v>283333</v>
      </c>
      <c r="E1282" s="17">
        <v>717403</v>
      </c>
      <c r="F1282" s="17">
        <v>434070</v>
      </c>
      <c r="G1282" s="18">
        <v>2.5320135670747845</v>
      </c>
      <c r="H1282" s="10" t="str">
        <f t="shared" si="19"/>
        <v>COSTOS</v>
      </c>
      <c r="I1282" s="19">
        <v>2025</v>
      </c>
    </row>
    <row r="1283" spans="1:9" hidden="1" x14ac:dyDescent="0.3">
      <c r="A1283" s="16" t="s">
        <v>67</v>
      </c>
      <c r="B1283" s="16" t="s">
        <v>28</v>
      </c>
      <c r="C1283" s="15">
        <v>8</v>
      </c>
      <c r="D1283" s="17">
        <v>283333</v>
      </c>
      <c r="E1283" s="17">
        <v>155621</v>
      </c>
      <c r="F1283" s="17">
        <v>-127712</v>
      </c>
      <c r="G1283" s="18">
        <v>0.54925123441321699</v>
      </c>
      <c r="H1283" s="10" t="str">
        <f t="shared" ref="H1283:H1346" si="20">+IF(OR(A1283="ADMINISTRACION",A1283="COMERCIAL",A1283="COMERCIAL-EXPORTACIONES",A1283="LEASING DE LA BODEGA",A1283="LOGISTICA-SALIDA",A1283="OTROS GASTOS",A1283="BODEGA ALQUILADA", A1283="BODEGA CARTOPLAST", A1283="BODEGA CARTOPLAS", A1283= "GESTION HUMANA-OTROS GASTOS"),"GASTOS","COSTOS")</f>
        <v>COSTOS</v>
      </c>
      <c r="I1283" s="19">
        <v>2025</v>
      </c>
    </row>
    <row r="1284" spans="1:9" hidden="1" x14ac:dyDescent="0.3">
      <c r="A1284" s="16" t="s">
        <v>67</v>
      </c>
      <c r="B1284" s="16" t="s">
        <v>28</v>
      </c>
      <c r="C1284" s="15">
        <v>9</v>
      </c>
      <c r="D1284" s="17">
        <v>283333</v>
      </c>
      <c r="E1284" s="17">
        <v>213370</v>
      </c>
      <c r="F1284" s="17">
        <v>-69963</v>
      </c>
      <c r="G1284" s="18">
        <v>0.75307147420173437</v>
      </c>
      <c r="H1284" s="10" t="str">
        <f t="shared" si="20"/>
        <v>COSTOS</v>
      </c>
      <c r="I1284" s="19">
        <v>2025</v>
      </c>
    </row>
    <row r="1285" spans="1:9" hidden="1" x14ac:dyDescent="0.3">
      <c r="A1285" s="16" t="s">
        <v>67</v>
      </c>
      <c r="B1285" s="16" t="s">
        <v>28</v>
      </c>
      <c r="C1285" s="15">
        <v>10</v>
      </c>
      <c r="D1285" s="17">
        <v>283333</v>
      </c>
      <c r="E1285" s="17">
        <v>938803</v>
      </c>
      <c r="F1285" s="17">
        <v>655470</v>
      </c>
      <c r="G1285" s="18">
        <v>3.3134262510897075</v>
      </c>
      <c r="H1285" s="10" t="str">
        <f t="shared" si="20"/>
        <v>COSTOS</v>
      </c>
      <c r="I1285" s="19">
        <v>2025</v>
      </c>
    </row>
    <row r="1286" spans="1:9" hidden="1" x14ac:dyDescent="0.3">
      <c r="A1286" s="16" t="s">
        <v>67</v>
      </c>
      <c r="B1286" s="16" t="s">
        <v>29</v>
      </c>
      <c r="C1286" s="15">
        <v>1</v>
      </c>
      <c r="D1286" s="17">
        <v>98584</v>
      </c>
      <c r="E1286" s="17">
        <v>0</v>
      </c>
      <c r="F1286" s="17">
        <v>-98584</v>
      </c>
      <c r="G1286" s="18">
        <v>0</v>
      </c>
      <c r="H1286" s="10" t="str">
        <f t="shared" si="20"/>
        <v>COSTOS</v>
      </c>
      <c r="I1286" s="19">
        <v>2025</v>
      </c>
    </row>
    <row r="1287" spans="1:9" hidden="1" x14ac:dyDescent="0.3">
      <c r="A1287" s="16" t="s">
        <v>67</v>
      </c>
      <c r="B1287" s="16" t="s">
        <v>29</v>
      </c>
      <c r="C1287" s="15">
        <v>2</v>
      </c>
      <c r="D1287" s="17">
        <v>98584</v>
      </c>
      <c r="E1287" s="17">
        <v>259200</v>
      </c>
      <c r="F1287" s="17">
        <v>160616</v>
      </c>
      <c r="G1287" s="18">
        <v>2.6292298953176987</v>
      </c>
      <c r="H1287" s="10" t="str">
        <f t="shared" si="20"/>
        <v>COSTOS</v>
      </c>
      <c r="I1287" s="19">
        <v>2025</v>
      </c>
    </row>
    <row r="1288" spans="1:9" hidden="1" x14ac:dyDescent="0.3">
      <c r="A1288" s="16" t="s">
        <v>67</v>
      </c>
      <c r="B1288" s="16" t="s">
        <v>29</v>
      </c>
      <c r="C1288" s="15">
        <v>3</v>
      </c>
      <c r="D1288" s="17">
        <v>98584</v>
      </c>
      <c r="E1288" s="17">
        <v>239830</v>
      </c>
      <c r="F1288" s="17">
        <v>141246</v>
      </c>
      <c r="G1288" s="18">
        <v>2.4327477075387485</v>
      </c>
      <c r="H1288" s="10" t="str">
        <f t="shared" si="20"/>
        <v>COSTOS</v>
      </c>
      <c r="I1288" s="19">
        <v>2025</v>
      </c>
    </row>
    <row r="1289" spans="1:9" hidden="1" x14ac:dyDescent="0.3">
      <c r="A1289" s="16" t="s">
        <v>67</v>
      </c>
      <c r="B1289" s="16" t="s">
        <v>29</v>
      </c>
      <c r="C1289" s="15">
        <v>4</v>
      </c>
      <c r="D1289" s="17">
        <v>98584</v>
      </c>
      <c r="E1289" s="17">
        <v>0</v>
      </c>
      <c r="F1289" s="17">
        <v>-98584</v>
      </c>
      <c r="G1289" s="18">
        <v>0</v>
      </c>
      <c r="H1289" s="10" t="str">
        <f t="shared" si="20"/>
        <v>COSTOS</v>
      </c>
      <c r="I1289" s="19">
        <v>2025</v>
      </c>
    </row>
    <row r="1290" spans="1:9" hidden="1" x14ac:dyDescent="0.3">
      <c r="A1290" s="16" t="s">
        <v>67</v>
      </c>
      <c r="B1290" s="16" t="s">
        <v>29</v>
      </c>
      <c r="C1290" s="15">
        <v>5</v>
      </c>
      <c r="D1290" s="17">
        <v>98584</v>
      </c>
      <c r="E1290" s="17">
        <v>228000</v>
      </c>
      <c r="F1290" s="17">
        <v>129416</v>
      </c>
      <c r="G1290" s="18">
        <v>2.3127485190294572</v>
      </c>
      <c r="H1290" s="10" t="str">
        <f t="shared" si="20"/>
        <v>COSTOS</v>
      </c>
      <c r="I1290" s="19">
        <v>2025</v>
      </c>
    </row>
    <row r="1291" spans="1:9" hidden="1" x14ac:dyDescent="0.3">
      <c r="A1291" s="16" t="s">
        <v>67</v>
      </c>
      <c r="B1291" s="16" t="s">
        <v>29</v>
      </c>
      <c r="C1291" s="15">
        <v>6</v>
      </c>
      <c r="D1291" s="17">
        <v>98584</v>
      </c>
      <c r="E1291" s="17">
        <v>173300</v>
      </c>
      <c r="F1291" s="17">
        <v>74716</v>
      </c>
      <c r="G1291" s="18">
        <v>1.7578917471394953</v>
      </c>
      <c r="H1291" s="10" t="str">
        <f t="shared" si="20"/>
        <v>COSTOS</v>
      </c>
      <c r="I1291" s="19">
        <v>2025</v>
      </c>
    </row>
    <row r="1292" spans="1:9" hidden="1" x14ac:dyDescent="0.3">
      <c r="A1292" s="16" t="s">
        <v>67</v>
      </c>
      <c r="B1292" s="16" t="s">
        <v>29</v>
      </c>
      <c r="C1292" s="15">
        <v>7</v>
      </c>
      <c r="D1292" s="17">
        <v>98584</v>
      </c>
      <c r="E1292" s="17">
        <v>142000</v>
      </c>
      <c r="F1292" s="17">
        <v>43416</v>
      </c>
      <c r="G1292" s="18">
        <v>1.4403960074657145</v>
      </c>
      <c r="H1292" s="10" t="str">
        <f t="shared" si="20"/>
        <v>COSTOS</v>
      </c>
      <c r="I1292" s="19">
        <v>2025</v>
      </c>
    </row>
    <row r="1293" spans="1:9" hidden="1" x14ac:dyDescent="0.3">
      <c r="A1293" s="16" t="s">
        <v>67</v>
      </c>
      <c r="B1293" s="16" t="s">
        <v>29</v>
      </c>
      <c r="C1293" s="15">
        <v>8</v>
      </c>
      <c r="D1293" s="17">
        <v>98584</v>
      </c>
      <c r="E1293" s="17">
        <v>131000</v>
      </c>
      <c r="F1293" s="17">
        <v>32416</v>
      </c>
      <c r="G1293" s="18">
        <v>1.3288160350563987</v>
      </c>
      <c r="H1293" s="10" t="str">
        <f t="shared" si="20"/>
        <v>COSTOS</v>
      </c>
      <c r="I1293" s="19">
        <v>2025</v>
      </c>
    </row>
    <row r="1294" spans="1:9" hidden="1" x14ac:dyDescent="0.3">
      <c r="A1294" s="16" t="s">
        <v>67</v>
      </c>
      <c r="B1294" s="16" t="s">
        <v>29</v>
      </c>
      <c r="C1294" s="15">
        <v>9</v>
      </c>
      <c r="D1294" s="17">
        <v>98584</v>
      </c>
      <c r="E1294" s="17">
        <v>351000</v>
      </c>
      <c r="F1294" s="17">
        <v>252416</v>
      </c>
      <c r="G1294" s="18">
        <v>3.5604154832427168</v>
      </c>
      <c r="H1294" s="10" t="str">
        <f t="shared" si="20"/>
        <v>COSTOS</v>
      </c>
      <c r="I1294" s="19">
        <v>2025</v>
      </c>
    </row>
    <row r="1295" spans="1:9" hidden="1" x14ac:dyDescent="0.3">
      <c r="A1295" s="16" t="s">
        <v>67</v>
      </c>
      <c r="B1295" s="16" t="s">
        <v>29</v>
      </c>
      <c r="C1295" s="15">
        <v>10</v>
      </c>
      <c r="D1295" s="17">
        <v>98584</v>
      </c>
      <c r="E1295" s="17">
        <v>332000</v>
      </c>
      <c r="F1295" s="17">
        <v>233416</v>
      </c>
      <c r="G1295" s="18">
        <v>3.3676864399902624</v>
      </c>
      <c r="H1295" s="10" t="str">
        <f t="shared" si="20"/>
        <v>COSTOS</v>
      </c>
      <c r="I1295" s="19">
        <v>2025</v>
      </c>
    </row>
    <row r="1296" spans="1:9" hidden="1" x14ac:dyDescent="0.3">
      <c r="A1296" s="16" t="s">
        <v>67</v>
      </c>
      <c r="B1296" s="16" t="s">
        <v>69</v>
      </c>
      <c r="C1296" s="15">
        <v>3</v>
      </c>
      <c r="D1296" s="17">
        <v>0</v>
      </c>
      <c r="E1296" s="17">
        <v>3888356</v>
      </c>
      <c r="F1296" s="17">
        <v>3888356</v>
      </c>
      <c r="G1296" s="18">
        <v>0</v>
      </c>
      <c r="H1296" s="10" t="str">
        <f t="shared" si="20"/>
        <v>COSTOS</v>
      </c>
      <c r="I1296" s="19">
        <v>2025</v>
      </c>
    </row>
    <row r="1297" spans="1:9" hidden="1" x14ac:dyDescent="0.3">
      <c r="A1297" s="16" t="s">
        <v>67</v>
      </c>
      <c r="B1297" s="16" t="s">
        <v>14</v>
      </c>
      <c r="C1297" s="15">
        <v>11</v>
      </c>
      <c r="D1297" s="17">
        <v>13754</v>
      </c>
      <c r="E1297" s="17">
        <v>0</v>
      </c>
      <c r="F1297" s="17">
        <v>-13754</v>
      </c>
      <c r="G1297" s="18">
        <v>0</v>
      </c>
      <c r="H1297" s="10" t="str">
        <f t="shared" si="20"/>
        <v>COSTOS</v>
      </c>
      <c r="I1297" s="19">
        <v>2025</v>
      </c>
    </row>
    <row r="1298" spans="1:9" hidden="1" x14ac:dyDescent="0.3">
      <c r="A1298" s="16" t="s">
        <v>67</v>
      </c>
      <c r="B1298" s="16" t="s">
        <v>16</v>
      </c>
      <c r="C1298" s="15">
        <v>11</v>
      </c>
      <c r="D1298" s="17">
        <v>4242000</v>
      </c>
      <c r="E1298" s="17">
        <v>5306000</v>
      </c>
      <c r="F1298" s="17">
        <v>1064000</v>
      </c>
      <c r="G1298" s="18">
        <v>1.250825082508251</v>
      </c>
      <c r="H1298" s="10" t="str">
        <f t="shared" si="20"/>
        <v>COSTOS</v>
      </c>
      <c r="I1298" s="19">
        <v>2025</v>
      </c>
    </row>
    <row r="1299" spans="1:9" hidden="1" x14ac:dyDescent="0.3">
      <c r="A1299" s="16" t="s">
        <v>67</v>
      </c>
      <c r="B1299" s="16" t="s">
        <v>41</v>
      </c>
      <c r="C1299" s="15">
        <v>11</v>
      </c>
      <c r="D1299" s="17">
        <v>39416</v>
      </c>
      <c r="E1299" s="17">
        <v>0</v>
      </c>
      <c r="F1299" s="17">
        <v>-39416</v>
      </c>
      <c r="G1299" s="18">
        <v>0</v>
      </c>
      <c r="H1299" s="10" t="str">
        <f t="shared" si="20"/>
        <v>COSTOS</v>
      </c>
      <c r="I1299" s="19">
        <v>2025</v>
      </c>
    </row>
    <row r="1300" spans="1:9" hidden="1" x14ac:dyDescent="0.3">
      <c r="A1300" s="16" t="s">
        <v>67</v>
      </c>
      <c r="B1300" s="16" t="s">
        <v>94</v>
      </c>
      <c r="C1300" s="15">
        <v>11</v>
      </c>
      <c r="D1300" s="17">
        <v>51548</v>
      </c>
      <c r="E1300" s="17">
        <v>141213</v>
      </c>
      <c r="F1300" s="17">
        <v>89665</v>
      </c>
      <c r="G1300" s="18">
        <v>2.7394467292620472</v>
      </c>
      <c r="H1300" s="10" t="str">
        <f t="shared" si="20"/>
        <v>COSTOS</v>
      </c>
      <c r="I1300" s="19">
        <v>2025</v>
      </c>
    </row>
    <row r="1301" spans="1:9" hidden="1" x14ac:dyDescent="0.3">
      <c r="A1301" s="16" t="s">
        <v>67</v>
      </c>
      <c r="B1301" s="16" t="s">
        <v>27</v>
      </c>
      <c r="C1301" s="15">
        <v>11</v>
      </c>
      <c r="D1301" s="17">
        <v>142898</v>
      </c>
      <c r="E1301" s="17">
        <v>179559</v>
      </c>
      <c r="F1301" s="17">
        <v>36661</v>
      </c>
      <c r="G1301" s="18">
        <v>1.2565536256630605</v>
      </c>
      <c r="H1301" s="10" t="str">
        <f t="shared" si="20"/>
        <v>COSTOS</v>
      </c>
      <c r="I1301" s="19">
        <v>2025</v>
      </c>
    </row>
    <row r="1302" spans="1:9" hidden="1" x14ac:dyDescent="0.3">
      <c r="A1302" s="16" t="s">
        <v>67</v>
      </c>
      <c r="B1302" s="16" t="s">
        <v>28</v>
      </c>
      <c r="C1302" s="15">
        <v>11</v>
      </c>
      <c r="D1302" s="17">
        <v>283333</v>
      </c>
      <c r="E1302" s="17">
        <v>161502</v>
      </c>
      <c r="F1302" s="17">
        <v>-121831</v>
      </c>
      <c r="G1302" s="18">
        <v>0.5700077294208582</v>
      </c>
      <c r="H1302" s="10" t="str">
        <f t="shared" si="20"/>
        <v>COSTOS</v>
      </c>
      <c r="I1302" s="19">
        <v>2025</v>
      </c>
    </row>
    <row r="1303" spans="1:9" hidden="1" x14ac:dyDescent="0.3">
      <c r="A1303" s="16" t="s">
        <v>67</v>
      </c>
      <c r="B1303" s="16" t="s">
        <v>29</v>
      </c>
      <c r="C1303" s="15">
        <v>11</v>
      </c>
      <c r="D1303" s="17">
        <v>98584</v>
      </c>
      <c r="E1303" s="17">
        <v>106000</v>
      </c>
      <c r="F1303" s="17">
        <v>7416</v>
      </c>
      <c r="G1303" s="18">
        <v>1.0752251886715896</v>
      </c>
      <c r="H1303" s="10" t="str">
        <f t="shared" si="20"/>
        <v>COSTOS</v>
      </c>
      <c r="I1303" s="19">
        <v>2025</v>
      </c>
    </row>
    <row r="1304" spans="1:9" hidden="1" x14ac:dyDescent="0.3">
      <c r="A1304" s="16" t="s">
        <v>67</v>
      </c>
      <c r="B1304" s="16" t="s">
        <v>14</v>
      </c>
      <c r="C1304" s="15">
        <v>12</v>
      </c>
      <c r="D1304" s="17">
        <v>85754</v>
      </c>
      <c r="E1304" s="17">
        <v>0</v>
      </c>
      <c r="F1304" s="17">
        <v>-85754</v>
      </c>
      <c r="G1304" s="18">
        <v>0</v>
      </c>
      <c r="H1304" s="10" t="str">
        <f t="shared" si="20"/>
        <v>COSTOS</v>
      </c>
      <c r="I1304" s="19">
        <v>2025</v>
      </c>
    </row>
    <row r="1305" spans="1:9" hidden="1" x14ac:dyDescent="0.3">
      <c r="A1305" s="16" t="s">
        <v>67</v>
      </c>
      <c r="B1305" s="16" t="s">
        <v>16</v>
      </c>
      <c r="C1305" s="15">
        <v>12</v>
      </c>
      <c r="D1305" s="17">
        <v>3890000</v>
      </c>
      <c r="E1305" s="17">
        <v>4496000</v>
      </c>
      <c r="F1305" s="17">
        <v>606000</v>
      </c>
      <c r="G1305" s="18">
        <v>1.1557840616966581</v>
      </c>
      <c r="H1305" s="10" t="str">
        <f t="shared" si="20"/>
        <v>COSTOS</v>
      </c>
      <c r="I1305" s="19">
        <v>2025</v>
      </c>
    </row>
    <row r="1306" spans="1:9" hidden="1" x14ac:dyDescent="0.3">
      <c r="A1306" s="16" t="s">
        <v>67</v>
      </c>
      <c r="B1306" s="16" t="s">
        <v>41</v>
      </c>
      <c r="C1306" s="15">
        <v>12</v>
      </c>
      <c r="D1306" s="17">
        <v>39416</v>
      </c>
      <c r="E1306" s="17">
        <v>0</v>
      </c>
      <c r="F1306" s="17">
        <v>-39416</v>
      </c>
      <c r="G1306" s="18">
        <v>0</v>
      </c>
      <c r="H1306" s="10" t="str">
        <f t="shared" si="20"/>
        <v>COSTOS</v>
      </c>
      <c r="I1306" s="19">
        <v>2025</v>
      </c>
    </row>
    <row r="1307" spans="1:9" hidden="1" x14ac:dyDescent="0.3">
      <c r="A1307" s="16" t="s">
        <v>67</v>
      </c>
      <c r="B1307" s="16" t="s">
        <v>94</v>
      </c>
      <c r="C1307" s="15">
        <v>12</v>
      </c>
      <c r="D1307" s="17">
        <v>52726</v>
      </c>
      <c r="E1307" s="17">
        <v>142509</v>
      </c>
      <c r="F1307" s="17">
        <v>89783</v>
      </c>
      <c r="G1307" s="18">
        <v>2.7028221370860677</v>
      </c>
      <c r="H1307" s="10" t="str">
        <f t="shared" si="20"/>
        <v>COSTOS</v>
      </c>
      <c r="I1307" s="19">
        <v>2025</v>
      </c>
    </row>
    <row r="1308" spans="1:9" hidden="1" x14ac:dyDescent="0.3">
      <c r="A1308" s="16" t="s">
        <v>67</v>
      </c>
      <c r="B1308" s="16" t="s">
        <v>27</v>
      </c>
      <c r="C1308" s="15">
        <v>12</v>
      </c>
      <c r="D1308" s="17">
        <v>257316</v>
      </c>
      <c r="E1308" s="17">
        <v>343103</v>
      </c>
      <c r="F1308" s="17">
        <v>85787</v>
      </c>
      <c r="G1308" s="18">
        <v>1.3333916274153181</v>
      </c>
      <c r="H1308" s="10" t="str">
        <f t="shared" si="20"/>
        <v>COSTOS</v>
      </c>
      <c r="I1308" s="19">
        <v>2025</v>
      </c>
    </row>
    <row r="1309" spans="1:9" hidden="1" x14ac:dyDescent="0.3">
      <c r="A1309" s="16" t="s">
        <v>67</v>
      </c>
      <c r="B1309" s="16" t="s">
        <v>28</v>
      </c>
      <c r="C1309" s="15">
        <v>12</v>
      </c>
      <c r="D1309" s="17">
        <v>283333</v>
      </c>
      <c r="E1309" s="17">
        <v>821624</v>
      </c>
      <c r="F1309" s="17">
        <v>538291</v>
      </c>
      <c r="G1309" s="18">
        <v>2.8998528233562628</v>
      </c>
      <c r="H1309" s="10" t="str">
        <f t="shared" si="20"/>
        <v>COSTOS</v>
      </c>
      <c r="I1309" s="19">
        <v>2025</v>
      </c>
    </row>
    <row r="1310" spans="1:9" hidden="1" x14ac:dyDescent="0.3">
      <c r="A1310" s="16" t="s">
        <v>67</v>
      </c>
      <c r="B1310" s="16" t="s">
        <v>29</v>
      </c>
      <c r="C1310" s="15">
        <v>12</v>
      </c>
      <c r="D1310" s="17">
        <v>98584</v>
      </c>
      <c r="E1310" s="17">
        <v>108000</v>
      </c>
      <c r="F1310" s="17">
        <v>9416</v>
      </c>
      <c r="G1310" s="18">
        <v>1.0955124563823744</v>
      </c>
      <c r="H1310" s="10" t="str">
        <f t="shared" si="20"/>
        <v>COSTOS</v>
      </c>
      <c r="I1310" s="19">
        <v>2025</v>
      </c>
    </row>
    <row r="1311" spans="1:9" hidden="1" x14ac:dyDescent="0.3">
      <c r="A1311" s="16" t="s">
        <v>68</v>
      </c>
      <c r="B1311" s="16" t="s">
        <v>12</v>
      </c>
      <c r="C1311" s="15">
        <v>4</v>
      </c>
      <c r="D1311" s="17">
        <v>1019177</v>
      </c>
      <c r="E1311" s="17">
        <v>884700</v>
      </c>
      <c r="F1311" s="17">
        <v>-134477</v>
      </c>
      <c r="G1311" s="18">
        <v>0.86805334107814447</v>
      </c>
      <c r="H1311" s="10" t="str">
        <f t="shared" si="20"/>
        <v>GASTOS</v>
      </c>
      <c r="I1311" s="19">
        <v>2025</v>
      </c>
    </row>
    <row r="1312" spans="1:9" hidden="1" x14ac:dyDescent="0.3">
      <c r="A1312" s="16" t="s">
        <v>68</v>
      </c>
      <c r="B1312" s="16" t="s">
        <v>12</v>
      </c>
      <c r="C1312" s="15">
        <v>10</v>
      </c>
      <c r="D1312" s="17">
        <v>3337406</v>
      </c>
      <c r="E1312" s="17">
        <v>3235735</v>
      </c>
      <c r="F1312" s="17">
        <v>-101671</v>
      </c>
      <c r="G1312" s="18">
        <v>0.96953592101170794</v>
      </c>
      <c r="H1312" s="10" t="str">
        <f t="shared" si="20"/>
        <v>GASTOS</v>
      </c>
      <c r="I1312" s="19">
        <v>2025</v>
      </c>
    </row>
    <row r="1313" spans="1:9" hidden="1" x14ac:dyDescent="0.3">
      <c r="A1313" s="16" t="s">
        <v>68</v>
      </c>
      <c r="B1313" s="16" t="s">
        <v>14</v>
      </c>
      <c r="C1313" s="15">
        <v>1</v>
      </c>
      <c r="D1313" s="17">
        <v>369198</v>
      </c>
      <c r="E1313" s="17">
        <v>369198</v>
      </c>
      <c r="F1313" s="17">
        <v>0</v>
      </c>
      <c r="G1313" s="18">
        <v>1</v>
      </c>
      <c r="H1313" s="10" t="str">
        <f t="shared" si="20"/>
        <v>GASTOS</v>
      </c>
      <c r="I1313" s="19">
        <v>2025</v>
      </c>
    </row>
    <row r="1314" spans="1:9" hidden="1" x14ac:dyDescent="0.3">
      <c r="A1314" s="16" t="s">
        <v>68</v>
      </c>
      <c r="B1314" s="16" t="s">
        <v>14</v>
      </c>
      <c r="C1314" s="15">
        <v>2</v>
      </c>
      <c r="D1314" s="17">
        <v>369198</v>
      </c>
      <c r="E1314" s="17">
        <v>385198</v>
      </c>
      <c r="F1314" s="17">
        <v>16000</v>
      </c>
      <c r="G1314" s="18">
        <v>1.0433371795080146</v>
      </c>
      <c r="H1314" s="10" t="str">
        <f t="shared" si="20"/>
        <v>GASTOS</v>
      </c>
      <c r="I1314" s="19">
        <v>2025</v>
      </c>
    </row>
    <row r="1315" spans="1:9" hidden="1" x14ac:dyDescent="0.3">
      <c r="A1315" s="16" t="s">
        <v>68</v>
      </c>
      <c r="B1315" s="16" t="s">
        <v>14</v>
      </c>
      <c r="C1315" s="15">
        <v>3</v>
      </c>
      <c r="D1315" s="17">
        <v>454952</v>
      </c>
      <c r="E1315" s="17">
        <v>422098</v>
      </c>
      <c r="F1315" s="17">
        <v>-32854</v>
      </c>
      <c r="G1315" s="18">
        <v>0.92778578839086323</v>
      </c>
      <c r="H1315" s="10" t="str">
        <f t="shared" si="20"/>
        <v>GASTOS</v>
      </c>
      <c r="I1315" s="19">
        <v>2025</v>
      </c>
    </row>
    <row r="1316" spans="1:9" hidden="1" x14ac:dyDescent="0.3">
      <c r="A1316" s="16" t="s">
        <v>68</v>
      </c>
      <c r="B1316" s="16" t="s">
        <v>14</v>
      </c>
      <c r="C1316" s="15">
        <v>4</v>
      </c>
      <c r="D1316" s="17">
        <v>369198</v>
      </c>
      <c r="E1316" s="17">
        <v>369198</v>
      </c>
      <c r="F1316" s="17">
        <v>0</v>
      </c>
      <c r="G1316" s="18">
        <v>1</v>
      </c>
      <c r="H1316" s="10" t="str">
        <f t="shared" si="20"/>
        <v>GASTOS</v>
      </c>
      <c r="I1316" s="19">
        <v>2025</v>
      </c>
    </row>
    <row r="1317" spans="1:9" hidden="1" x14ac:dyDescent="0.3">
      <c r="A1317" s="16" t="s">
        <v>68</v>
      </c>
      <c r="B1317" s="16" t="s">
        <v>14</v>
      </c>
      <c r="C1317" s="15">
        <v>5</v>
      </c>
      <c r="D1317" s="17">
        <v>369198</v>
      </c>
      <c r="E1317" s="17">
        <v>395698</v>
      </c>
      <c r="F1317" s="17">
        <v>26500</v>
      </c>
      <c r="G1317" s="18">
        <v>1.0717772035601494</v>
      </c>
      <c r="H1317" s="10" t="str">
        <f t="shared" si="20"/>
        <v>GASTOS</v>
      </c>
      <c r="I1317" s="19">
        <v>2025</v>
      </c>
    </row>
    <row r="1318" spans="1:9" hidden="1" x14ac:dyDescent="0.3">
      <c r="A1318" s="16" t="s">
        <v>68</v>
      </c>
      <c r="B1318" s="16" t="s">
        <v>14</v>
      </c>
      <c r="C1318" s="15">
        <v>6</v>
      </c>
      <c r="D1318" s="17">
        <v>441198</v>
      </c>
      <c r="E1318" s="17">
        <v>369198</v>
      </c>
      <c r="F1318" s="17">
        <v>-72000</v>
      </c>
      <c r="G1318" s="18">
        <v>0.83680796377136801</v>
      </c>
      <c r="H1318" s="10" t="str">
        <f t="shared" si="20"/>
        <v>GASTOS</v>
      </c>
      <c r="I1318" s="19">
        <v>2025</v>
      </c>
    </row>
    <row r="1319" spans="1:9" hidden="1" x14ac:dyDescent="0.3">
      <c r="A1319" s="16" t="s">
        <v>68</v>
      </c>
      <c r="B1319" s="16" t="s">
        <v>14</v>
      </c>
      <c r="C1319" s="15">
        <v>7</v>
      </c>
      <c r="D1319" s="17">
        <v>401198</v>
      </c>
      <c r="E1319" s="17">
        <v>369198</v>
      </c>
      <c r="F1319" s="17">
        <v>-32000</v>
      </c>
      <c r="G1319" s="18">
        <v>0.92023888454080027</v>
      </c>
      <c r="H1319" s="10" t="str">
        <f t="shared" si="20"/>
        <v>GASTOS</v>
      </c>
      <c r="I1319" s="19">
        <v>2025</v>
      </c>
    </row>
    <row r="1320" spans="1:9" hidden="1" x14ac:dyDescent="0.3">
      <c r="A1320" s="16" t="s">
        <v>68</v>
      </c>
      <c r="B1320" s="16" t="s">
        <v>14</v>
      </c>
      <c r="C1320" s="15">
        <v>8</v>
      </c>
      <c r="D1320" s="17">
        <v>369198</v>
      </c>
      <c r="E1320" s="17">
        <v>369198</v>
      </c>
      <c r="F1320" s="17">
        <v>0</v>
      </c>
      <c r="G1320" s="18">
        <v>1</v>
      </c>
      <c r="H1320" s="10" t="str">
        <f t="shared" si="20"/>
        <v>GASTOS</v>
      </c>
      <c r="I1320" s="19">
        <v>2025</v>
      </c>
    </row>
    <row r="1321" spans="1:9" hidden="1" x14ac:dyDescent="0.3">
      <c r="A1321" s="16" t="s">
        <v>68</v>
      </c>
      <c r="B1321" s="16" t="s">
        <v>14</v>
      </c>
      <c r="C1321" s="15">
        <v>9</v>
      </c>
      <c r="D1321" s="17">
        <v>441198</v>
      </c>
      <c r="E1321" s="17">
        <v>370188</v>
      </c>
      <c r="F1321" s="17">
        <v>-71010</v>
      </c>
      <c r="G1321" s="18">
        <v>0.83905185426951168</v>
      </c>
      <c r="H1321" s="10" t="str">
        <f t="shared" si="20"/>
        <v>GASTOS</v>
      </c>
      <c r="I1321" s="19">
        <v>2025</v>
      </c>
    </row>
    <row r="1322" spans="1:9" hidden="1" x14ac:dyDescent="0.3">
      <c r="A1322" s="16" t="s">
        <v>68</v>
      </c>
      <c r="B1322" s="16" t="s">
        <v>14</v>
      </c>
      <c r="C1322" s="15">
        <v>10</v>
      </c>
      <c r="D1322" s="17">
        <v>401198</v>
      </c>
      <c r="E1322" s="17">
        <v>370188</v>
      </c>
      <c r="F1322" s="17">
        <v>-31010</v>
      </c>
      <c r="G1322" s="18">
        <v>0.92270649405031935</v>
      </c>
      <c r="H1322" s="10" t="str">
        <f t="shared" si="20"/>
        <v>GASTOS</v>
      </c>
      <c r="I1322" s="19">
        <v>2025</v>
      </c>
    </row>
    <row r="1323" spans="1:9" hidden="1" x14ac:dyDescent="0.3">
      <c r="A1323" s="16" t="s">
        <v>68</v>
      </c>
      <c r="B1323" s="16" t="s">
        <v>16</v>
      </c>
      <c r="C1323" s="15">
        <v>1</v>
      </c>
      <c r="D1323" s="17">
        <v>140580000</v>
      </c>
      <c r="E1323" s="17">
        <v>116688259</v>
      </c>
      <c r="F1323" s="17">
        <v>-23891741</v>
      </c>
      <c r="G1323" s="18">
        <v>0.83004879072414284</v>
      </c>
      <c r="H1323" s="10" t="str">
        <f t="shared" si="20"/>
        <v>GASTOS</v>
      </c>
      <c r="I1323" s="19">
        <v>2025</v>
      </c>
    </row>
    <row r="1324" spans="1:9" hidden="1" x14ac:dyDescent="0.3">
      <c r="A1324" s="16" t="s">
        <v>68</v>
      </c>
      <c r="B1324" s="16" t="s">
        <v>16</v>
      </c>
      <c r="C1324" s="15">
        <v>2</v>
      </c>
      <c r="D1324" s="17">
        <v>146970000</v>
      </c>
      <c r="E1324" s="17">
        <v>193089644</v>
      </c>
      <c r="F1324" s="17">
        <v>46119644</v>
      </c>
      <c r="G1324" s="18">
        <v>1.3138031162822346</v>
      </c>
      <c r="H1324" s="10" t="str">
        <f t="shared" si="20"/>
        <v>GASTOS</v>
      </c>
      <c r="I1324" s="19">
        <v>2025</v>
      </c>
    </row>
    <row r="1325" spans="1:9" hidden="1" x14ac:dyDescent="0.3">
      <c r="A1325" s="16" t="s">
        <v>68</v>
      </c>
      <c r="B1325" s="16" t="s">
        <v>16</v>
      </c>
      <c r="C1325" s="15">
        <v>3</v>
      </c>
      <c r="D1325" s="17">
        <v>146970000</v>
      </c>
      <c r="E1325" s="17">
        <v>117997965</v>
      </c>
      <c r="F1325" s="17">
        <v>-28972035</v>
      </c>
      <c r="G1325" s="18">
        <v>0.80287109614206986</v>
      </c>
      <c r="H1325" s="10" t="str">
        <f t="shared" si="20"/>
        <v>GASTOS</v>
      </c>
      <c r="I1325" s="19">
        <v>2025</v>
      </c>
    </row>
    <row r="1326" spans="1:9" hidden="1" x14ac:dyDescent="0.3">
      <c r="A1326" s="16" t="s">
        <v>68</v>
      </c>
      <c r="B1326" s="16" t="s">
        <v>16</v>
      </c>
      <c r="C1326" s="15">
        <v>4</v>
      </c>
      <c r="D1326" s="17">
        <v>151762500</v>
      </c>
      <c r="E1326" s="17">
        <v>138180125</v>
      </c>
      <c r="F1326" s="17">
        <v>-13582375</v>
      </c>
      <c r="G1326" s="18">
        <v>0.9105024297833787</v>
      </c>
      <c r="H1326" s="10" t="str">
        <f t="shared" si="20"/>
        <v>GASTOS</v>
      </c>
      <c r="I1326" s="19">
        <v>2025</v>
      </c>
    </row>
    <row r="1327" spans="1:9" hidden="1" x14ac:dyDescent="0.3">
      <c r="A1327" s="16" t="s">
        <v>68</v>
      </c>
      <c r="B1327" s="16" t="s">
        <v>16</v>
      </c>
      <c r="C1327" s="15">
        <v>5</v>
      </c>
      <c r="D1327" s="17">
        <v>153360000</v>
      </c>
      <c r="E1327" s="17">
        <v>138603354</v>
      </c>
      <c r="F1327" s="17">
        <v>-14756646</v>
      </c>
      <c r="G1327" s="18">
        <v>0.90377773865414712</v>
      </c>
      <c r="H1327" s="10" t="str">
        <f t="shared" si="20"/>
        <v>GASTOS</v>
      </c>
      <c r="I1327" s="19">
        <v>2025</v>
      </c>
    </row>
    <row r="1328" spans="1:9" hidden="1" x14ac:dyDescent="0.3">
      <c r="A1328" s="16" t="s">
        <v>68</v>
      </c>
      <c r="B1328" s="16" t="s">
        <v>16</v>
      </c>
      <c r="C1328" s="15">
        <v>6</v>
      </c>
      <c r="D1328" s="17">
        <v>153360000</v>
      </c>
      <c r="E1328" s="17">
        <v>125498771</v>
      </c>
      <c r="F1328" s="17">
        <v>-27861229</v>
      </c>
      <c r="G1328" s="18">
        <v>0.81832792775169538</v>
      </c>
      <c r="H1328" s="10" t="str">
        <f t="shared" si="20"/>
        <v>GASTOS</v>
      </c>
      <c r="I1328" s="19">
        <v>2025</v>
      </c>
    </row>
    <row r="1329" spans="1:9" hidden="1" x14ac:dyDescent="0.3">
      <c r="A1329" s="16" t="s">
        <v>68</v>
      </c>
      <c r="B1329" s="16" t="s">
        <v>16</v>
      </c>
      <c r="C1329" s="15">
        <v>7</v>
      </c>
      <c r="D1329" s="17">
        <v>146970000</v>
      </c>
      <c r="E1329" s="17">
        <v>132363785</v>
      </c>
      <c r="F1329" s="17">
        <v>-14606215</v>
      </c>
      <c r="G1329" s="18">
        <v>0.90061771109750288</v>
      </c>
      <c r="H1329" s="10" t="str">
        <f t="shared" si="20"/>
        <v>GASTOS</v>
      </c>
      <c r="I1329" s="19">
        <v>2025</v>
      </c>
    </row>
    <row r="1330" spans="1:9" hidden="1" x14ac:dyDescent="0.3">
      <c r="A1330" s="16" t="s">
        <v>68</v>
      </c>
      <c r="B1330" s="16" t="s">
        <v>16</v>
      </c>
      <c r="C1330" s="15">
        <v>8</v>
      </c>
      <c r="D1330" s="17">
        <v>153360000</v>
      </c>
      <c r="E1330" s="17">
        <v>125670138</v>
      </c>
      <c r="F1330" s="17">
        <v>-27689862</v>
      </c>
      <c r="G1330" s="18">
        <v>0.81944534428794991</v>
      </c>
      <c r="H1330" s="10" t="str">
        <f t="shared" si="20"/>
        <v>GASTOS</v>
      </c>
      <c r="I1330" s="19">
        <v>2025</v>
      </c>
    </row>
    <row r="1331" spans="1:9" hidden="1" x14ac:dyDescent="0.3">
      <c r="A1331" s="16" t="s">
        <v>68</v>
      </c>
      <c r="B1331" s="16" t="s">
        <v>16</v>
      </c>
      <c r="C1331" s="15">
        <v>9</v>
      </c>
      <c r="D1331" s="17">
        <v>154957500</v>
      </c>
      <c r="E1331" s="17">
        <v>205909362</v>
      </c>
      <c r="F1331" s="17">
        <v>50951862</v>
      </c>
      <c r="G1331" s="18">
        <v>1.328811848410048</v>
      </c>
      <c r="H1331" s="10" t="str">
        <f t="shared" si="20"/>
        <v>GASTOS</v>
      </c>
      <c r="I1331" s="19">
        <v>2025</v>
      </c>
    </row>
    <row r="1332" spans="1:9" hidden="1" x14ac:dyDescent="0.3">
      <c r="A1332" s="16" t="s">
        <v>68</v>
      </c>
      <c r="B1332" s="16" t="s">
        <v>16</v>
      </c>
      <c r="C1332" s="15">
        <v>10</v>
      </c>
      <c r="D1332" s="17">
        <v>146970000</v>
      </c>
      <c r="E1332" s="17">
        <v>163124668</v>
      </c>
      <c r="F1332" s="17">
        <v>16154668</v>
      </c>
      <c r="G1332" s="18">
        <v>1.1099181329523031</v>
      </c>
      <c r="H1332" s="10" t="str">
        <f t="shared" si="20"/>
        <v>GASTOS</v>
      </c>
      <c r="I1332" s="19">
        <v>2025</v>
      </c>
    </row>
    <row r="1333" spans="1:9" hidden="1" x14ac:dyDescent="0.3">
      <c r="A1333" s="16" t="s">
        <v>68</v>
      </c>
      <c r="B1333" s="16" t="s">
        <v>153</v>
      </c>
      <c r="C1333" s="15">
        <v>10</v>
      </c>
      <c r="D1333" s="17">
        <v>0</v>
      </c>
      <c r="E1333" s="17">
        <v>14000</v>
      </c>
      <c r="F1333" s="17">
        <v>14000</v>
      </c>
      <c r="G1333" s="18">
        <v>0</v>
      </c>
      <c r="H1333" s="10" t="str">
        <f t="shared" si="20"/>
        <v>GASTOS</v>
      </c>
      <c r="I1333" s="19">
        <v>2025</v>
      </c>
    </row>
    <row r="1334" spans="1:9" hidden="1" x14ac:dyDescent="0.3">
      <c r="A1334" s="16" t="s">
        <v>68</v>
      </c>
      <c r="B1334" s="16" t="s">
        <v>62</v>
      </c>
      <c r="C1334" s="15">
        <v>1</v>
      </c>
      <c r="D1334" s="17">
        <v>330537</v>
      </c>
      <c r="E1334" s="17">
        <v>175744</v>
      </c>
      <c r="F1334" s="17">
        <v>-154793</v>
      </c>
      <c r="G1334" s="18">
        <v>0.53169236726901981</v>
      </c>
      <c r="H1334" s="10" t="str">
        <f t="shared" si="20"/>
        <v>GASTOS</v>
      </c>
      <c r="I1334" s="19">
        <v>2025</v>
      </c>
    </row>
    <row r="1335" spans="1:9" hidden="1" x14ac:dyDescent="0.3">
      <c r="A1335" s="16" t="s">
        <v>68</v>
      </c>
      <c r="B1335" s="16" t="s">
        <v>62</v>
      </c>
      <c r="C1335" s="15">
        <v>2</v>
      </c>
      <c r="D1335" s="17">
        <v>213507</v>
      </c>
      <c r="E1335" s="17">
        <v>167489</v>
      </c>
      <c r="F1335" s="17">
        <v>-46018</v>
      </c>
      <c r="G1335" s="18">
        <v>0.78446608307924337</v>
      </c>
      <c r="H1335" s="10" t="str">
        <f t="shared" si="20"/>
        <v>GASTOS</v>
      </c>
      <c r="I1335" s="19">
        <v>2025</v>
      </c>
    </row>
    <row r="1336" spans="1:9" hidden="1" x14ac:dyDescent="0.3">
      <c r="A1336" s="16" t="s">
        <v>68</v>
      </c>
      <c r="B1336" s="16" t="s">
        <v>62</v>
      </c>
      <c r="C1336" s="15">
        <v>3</v>
      </c>
      <c r="D1336" s="17">
        <v>212789</v>
      </c>
      <c r="E1336" s="17">
        <v>167933</v>
      </c>
      <c r="F1336" s="17">
        <v>-44856</v>
      </c>
      <c r="G1336" s="18">
        <v>0.78919962968010571</v>
      </c>
      <c r="H1336" s="10" t="str">
        <f t="shared" si="20"/>
        <v>GASTOS</v>
      </c>
      <c r="I1336" s="19">
        <v>2025</v>
      </c>
    </row>
    <row r="1337" spans="1:9" hidden="1" x14ac:dyDescent="0.3">
      <c r="A1337" s="16" t="s">
        <v>68</v>
      </c>
      <c r="B1337" s="16" t="s">
        <v>62</v>
      </c>
      <c r="C1337" s="15">
        <v>4</v>
      </c>
      <c r="D1337" s="17">
        <v>212256</v>
      </c>
      <c r="E1337" s="17">
        <v>178211</v>
      </c>
      <c r="F1337" s="17">
        <v>-34045</v>
      </c>
      <c r="G1337" s="18">
        <v>0.83960406301824209</v>
      </c>
      <c r="H1337" s="10" t="str">
        <f t="shared" si="20"/>
        <v>GASTOS</v>
      </c>
      <c r="I1337" s="19">
        <v>2025</v>
      </c>
    </row>
    <row r="1338" spans="1:9" hidden="1" x14ac:dyDescent="0.3">
      <c r="A1338" s="16" t="s">
        <v>68</v>
      </c>
      <c r="B1338" s="16" t="s">
        <v>62</v>
      </c>
      <c r="C1338" s="15">
        <v>5</v>
      </c>
      <c r="D1338" s="17">
        <v>210744</v>
      </c>
      <c r="E1338" s="17">
        <v>173777</v>
      </c>
      <c r="F1338" s="17">
        <v>-36967</v>
      </c>
      <c r="G1338" s="18">
        <v>0.82458812587784236</v>
      </c>
      <c r="H1338" s="10" t="str">
        <f t="shared" si="20"/>
        <v>GASTOS</v>
      </c>
      <c r="I1338" s="19">
        <v>2025</v>
      </c>
    </row>
    <row r="1339" spans="1:9" hidden="1" x14ac:dyDescent="0.3">
      <c r="A1339" s="16" t="s">
        <v>68</v>
      </c>
      <c r="B1339" s="16" t="s">
        <v>62</v>
      </c>
      <c r="C1339" s="15">
        <v>6</v>
      </c>
      <c r="D1339" s="17">
        <v>201238</v>
      </c>
      <c r="E1339" s="17">
        <v>178810</v>
      </c>
      <c r="F1339" s="17">
        <v>-22428</v>
      </c>
      <c r="G1339" s="18">
        <v>0.88854987626591408</v>
      </c>
      <c r="H1339" s="10" t="str">
        <f t="shared" si="20"/>
        <v>GASTOS</v>
      </c>
      <c r="I1339" s="19">
        <v>2025</v>
      </c>
    </row>
    <row r="1340" spans="1:9" hidden="1" x14ac:dyDescent="0.3">
      <c r="A1340" s="16" t="s">
        <v>68</v>
      </c>
      <c r="B1340" s="16" t="s">
        <v>62</v>
      </c>
      <c r="C1340" s="15">
        <v>7</v>
      </c>
      <c r="D1340" s="17">
        <v>223917</v>
      </c>
      <c r="E1340" s="17">
        <v>172987</v>
      </c>
      <c r="F1340" s="17">
        <v>-50930</v>
      </c>
      <c r="G1340" s="18">
        <v>0.77254965009356147</v>
      </c>
      <c r="H1340" s="10" t="str">
        <f t="shared" si="20"/>
        <v>GASTOS</v>
      </c>
      <c r="I1340" s="19">
        <v>2025</v>
      </c>
    </row>
    <row r="1341" spans="1:9" hidden="1" x14ac:dyDescent="0.3">
      <c r="A1341" s="16" t="s">
        <v>68</v>
      </c>
      <c r="B1341" s="16" t="s">
        <v>62</v>
      </c>
      <c r="C1341" s="15">
        <v>8</v>
      </c>
      <c r="D1341" s="17">
        <v>228295</v>
      </c>
      <c r="E1341" s="17">
        <v>200724</v>
      </c>
      <c r="F1341" s="17">
        <v>-27571</v>
      </c>
      <c r="G1341" s="18">
        <v>0.8792308197726626</v>
      </c>
      <c r="H1341" s="10" t="str">
        <f t="shared" si="20"/>
        <v>GASTOS</v>
      </c>
      <c r="I1341" s="19">
        <v>2025</v>
      </c>
    </row>
    <row r="1342" spans="1:9" hidden="1" x14ac:dyDescent="0.3">
      <c r="A1342" s="16" t="s">
        <v>68</v>
      </c>
      <c r="B1342" s="16" t="s">
        <v>62</v>
      </c>
      <c r="C1342" s="15">
        <v>9</v>
      </c>
      <c r="D1342" s="17">
        <v>231024</v>
      </c>
      <c r="E1342" s="17">
        <v>193476</v>
      </c>
      <c r="F1342" s="17">
        <v>-37548</v>
      </c>
      <c r="G1342" s="18">
        <v>0.83747143153958037</v>
      </c>
      <c r="H1342" s="10" t="str">
        <f t="shared" si="20"/>
        <v>GASTOS</v>
      </c>
      <c r="I1342" s="19">
        <v>2025</v>
      </c>
    </row>
    <row r="1343" spans="1:9" hidden="1" x14ac:dyDescent="0.3">
      <c r="A1343" s="16" t="s">
        <v>68</v>
      </c>
      <c r="B1343" s="16" t="s">
        <v>62</v>
      </c>
      <c r="C1343" s="15">
        <v>10</v>
      </c>
      <c r="D1343" s="17">
        <v>230915</v>
      </c>
      <c r="E1343" s="17">
        <v>192888</v>
      </c>
      <c r="F1343" s="17">
        <v>-38027</v>
      </c>
      <c r="G1343" s="18">
        <v>0.83532035597514243</v>
      </c>
      <c r="H1343" s="10" t="str">
        <f t="shared" si="20"/>
        <v>GASTOS</v>
      </c>
      <c r="I1343" s="19">
        <v>2025</v>
      </c>
    </row>
    <row r="1344" spans="1:9" hidden="1" x14ac:dyDescent="0.3">
      <c r="A1344" s="16" t="s">
        <v>68</v>
      </c>
      <c r="B1344" s="16" t="s">
        <v>171</v>
      </c>
      <c r="C1344" s="15">
        <v>1</v>
      </c>
      <c r="D1344" s="17">
        <v>271638</v>
      </c>
      <c r="E1344" s="17">
        <v>104000</v>
      </c>
      <c r="F1344" s="17">
        <v>-167638</v>
      </c>
      <c r="G1344" s="18">
        <v>0.38286248610282803</v>
      </c>
      <c r="H1344" s="10" t="str">
        <f t="shared" si="20"/>
        <v>GASTOS</v>
      </c>
      <c r="I1344" s="19">
        <v>2025</v>
      </c>
    </row>
    <row r="1345" spans="1:9" hidden="1" x14ac:dyDescent="0.3">
      <c r="A1345" s="16" t="s">
        <v>68</v>
      </c>
      <c r="B1345" s="16" t="s">
        <v>171</v>
      </c>
      <c r="C1345" s="15">
        <v>2</v>
      </c>
      <c r="D1345" s="17">
        <v>271638</v>
      </c>
      <c r="E1345" s="17">
        <v>167227</v>
      </c>
      <c r="F1345" s="17">
        <v>-104411</v>
      </c>
      <c r="G1345" s="18">
        <v>0.61562447080305405</v>
      </c>
      <c r="H1345" s="10" t="str">
        <f t="shared" si="20"/>
        <v>GASTOS</v>
      </c>
      <c r="I1345" s="19">
        <v>2025</v>
      </c>
    </row>
    <row r="1346" spans="1:9" hidden="1" x14ac:dyDescent="0.3">
      <c r="A1346" s="16" t="s">
        <v>68</v>
      </c>
      <c r="B1346" s="16" t="s">
        <v>171</v>
      </c>
      <c r="C1346" s="15">
        <v>3</v>
      </c>
      <c r="D1346" s="17">
        <v>271638</v>
      </c>
      <c r="E1346" s="17">
        <v>388482</v>
      </c>
      <c r="F1346" s="17">
        <v>116844</v>
      </c>
      <c r="G1346" s="18">
        <v>1.4301460031365274</v>
      </c>
      <c r="H1346" s="10" t="str">
        <f t="shared" si="20"/>
        <v>GASTOS</v>
      </c>
      <c r="I1346" s="19">
        <v>2025</v>
      </c>
    </row>
    <row r="1347" spans="1:9" hidden="1" x14ac:dyDescent="0.3">
      <c r="A1347" s="16" t="s">
        <v>68</v>
      </c>
      <c r="B1347" s="16" t="s">
        <v>171</v>
      </c>
      <c r="C1347" s="15">
        <v>4</v>
      </c>
      <c r="D1347" s="17">
        <v>271638</v>
      </c>
      <c r="E1347" s="17">
        <v>0</v>
      </c>
      <c r="F1347" s="17">
        <v>-271638</v>
      </c>
      <c r="G1347" s="18">
        <v>0</v>
      </c>
      <c r="H1347" s="10" t="str">
        <f t="shared" ref="H1347:H1410" si="21">+IF(OR(A1347="ADMINISTRACION",A1347="COMERCIAL",A1347="COMERCIAL-EXPORTACIONES",A1347="LEASING DE LA BODEGA",A1347="LOGISTICA-SALIDA",A1347="OTROS GASTOS",A1347="BODEGA ALQUILADA", A1347="BODEGA CARTOPLAST", A1347="BODEGA CARTOPLAS", A1347= "GESTION HUMANA-OTROS GASTOS"),"GASTOS","COSTOS")</f>
        <v>GASTOS</v>
      </c>
      <c r="I1347" s="19">
        <v>2025</v>
      </c>
    </row>
    <row r="1348" spans="1:9" hidden="1" x14ac:dyDescent="0.3">
      <c r="A1348" s="16" t="s">
        <v>68</v>
      </c>
      <c r="B1348" s="16" t="s">
        <v>171</v>
      </c>
      <c r="C1348" s="15">
        <v>5</v>
      </c>
      <c r="D1348" s="17">
        <v>271638</v>
      </c>
      <c r="E1348" s="17">
        <v>967760</v>
      </c>
      <c r="F1348" s="17">
        <v>696122</v>
      </c>
      <c r="G1348" s="18">
        <v>3.5626826879891622</v>
      </c>
      <c r="H1348" s="10" t="str">
        <f t="shared" si="21"/>
        <v>GASTOS</v>
      </c>
      <c r="I1348" s="19">
        <v>2025</v>
      </c>
    </row>
    <row r="1349" spans="1:9" hidden="1" x14ac:dyDescent="0.3">
      <c r="A1349" s="16" t="s">
        <v>68</v>
      </c>
      <c r="B1349" s="16" t="s">
        <v>171</v>
      </c>
      <c r="C1349" s="15">
        <v>6</v>
      </c>
      <c r="D1349" s="17">
        <v>271638</v>
      </c>
      <c r="E1349" s="17">
        <v>0</v>
      </c>
      <c r="F1349" s="17">
        <v>-271638</v>
      </c>
      <c r="G1349" s="18">
        <v>0</v>
      </c>
      <c r="H1349" s="10" t="str">
        <f t="shared" si="21"/>
        <v>GASTOS</v>
      </c>
      <c r="I1349" s="19">
        <v>2025</v>
      </c>
    </row>
    <row r="1350" spans="1:9" hidden="1" x14ac:dyDescent="0.3">
      <c r="A1350" s="16" t="s">
        <v>68</v>
      </c>
      <c r="B1350" s="16" t="s">
        <v>171</v>
      </c>
      <c r="C1350" s="15">
        <v>7</v>
      </c>
      <c r="D1350" s="17">
        <v>271638</v>
      </c>
      <c r="E1350" s="17">
        <v>0</v>
      </c>
      <c r="F1350" s="17">
        <v>-271638</v>
      </c>
      <c r="G1350" s="18">
        <v>0</v>
      </c>
      <c r="H1350" s="10" t="str">
        <f t="shared" si="21"/>
        <v>GASTOS</v>
      </c>
      <c r="I1350" s="19">
        <v>2025</v>
      </c>
    </row>
    <row r="1351" spans="1:9" hidden="1" x14ac:dyDescent="0.3">
      <c r="A1351" s="16" t="s">
        <v>68</v>
      </c>
      <c r="B1351" s="16" t="s">
        <v>171</v>
      </c>
      <c r="C1351" s="15">
        <v>8</v>
      </c>
      <c r="D1351" s="17">
        <v>271638</v>
      </c>
      <c r="E1351" s="17">
        <v>0</v>
      </c>
      <c r="F1351" s="17">
        <v>-271638</v>
      </c>
      <c r="G1351" s="18">
        <v>0</v>
      </c>
      <c r="H1351" s="10" t="str">
        <f t="shared" si="21"/>
        <v>GASTOS</v>
      </c>
      <c r="I1351" s="19">
        <v>2025</v>
      </c>
    </row>
    <row r="1352" spans="1:9" hidden="1" x14ac:dyDescent="0.3">
      <c r="A1352" s="16" t="s">
        <v>68</v>
      </c>
      <c r="B1352" s="16" t="s">
        <v>171</v>
      </c>
      <c r="C1352" s="15">
        <v>9</v>
      </c>
      <c r="D1352" s="17">
        <v>271638</v>
      </c>
      <c r="E1352" s="17">
        <v>631475</v>
      </c>
      <c r="F1352" s="17">
        <v>359837</v>
      </c>
      <c r="G1352" s="18">
        <v>2.3246931578056089</v>
      </c>
      <c r="H1352" s="10" t="str">
        <f t="shared" si="21"/>
        <v>GASTOS</v>
      </c>
      <c r="I1352" s="19">
        <v>2025</v>
      </c>
    </row>
    <row r="1353" spans="1:9" hidden="1" x14ac:dyDescent="0.3">
      <c r="A1353" s="16" t="s">
        <v>68</v>
      </c>
      <c r="B1353" s="16" t="s">
        <v>171</v>
      </c>
      <c r="C1353" s="15">
        <v>10</v>
      </c>
      <c r="D1353" s="17">
        <v>271638</v>
      </c>
      <c r="E1353" s="17">
        <v>0</v>
      </c>
      <c r="F1353" s="17">
        <v>-271638</v>
      </c>
      <c r="G1353" s="18">
        <v>0</v>
      </c>
      <c r="H1353" s="10" t="str">
        <f t="shared" si="21"/>
        <v>GASTOS</v>
      </c>
      <c r="I1353" s="19">
        <v>2025</v>
      </c>
    </row>
    <row r="1354" spans="1:9" hidden="1" x14ac:dyDescent="0.3">
      <c r="A1354" s="16" t="s">
        <v>68</v>
      </c>
      <c r="B1354" s="16" t="s">
        <v>42</v>
      </c>
      <c r="C1354" s="15">
        <v>1</v>
      </c>
      <c r="D1354" s="17">
        <v>0</v>
      </c>
      <c r="E1354" s="17">
        <v>2249900</v>
      </c>
      <c r="F1354" s="17">
        <v>2249900</v>
      </c>
      <c r="G1354" s="18">
        <v>0</v>
      </c>
      <c r="H1354" s="10" t="str">
        <f t="shared" si="21"/>
        <v>GASTOS</v>
      </c>
      <c r="I1354" s="19">
        <v>2025</v>
      </c>
    </row>
    <row r="1355" spans="1:9" hidden="1" x14ac:dyDescent="0.3">
      <c r="A1355" s="16" t="s">
        <v>68</v>
      </c>
      <c r="B1355" s="16" t="s">
        <v>42</v>
      </c>
      <c r="C1355" s="15">
        <v>10</v>
      </c>
      <c r="D1355" s="17">
        <v>0</v>
      </c>
      <c r="E1355" s="17">
        <v>2250000</v>
      </c>
      <c r="F1355" s="17">
        <v>2250000</v>
      </c>
      <c r="G1355" s="18">
        <v>0</v>
      </c>
      <c r="H1355" s="10" t="str">
        <f t="shared" si="21"/>
        <v>GASTOS</v>
      </c>
      <c r="I1355" s="19">
        <v>2025</v>
      </c>
    </row>
    <row r="1356" spans="1:9" hidden="1" x14ac:dyDescent="0.3">
      <c r="A1356" s="16" t="s">
        <v>68</v>
      </c>
      <c r="B1356" s="16" t="s">
        <v>25</v>
      </c>
      <c r="C1356" s="15">
        <v>1</v>
      </c>
      <c r="D1356" s="17">
        <v>754584</v>
      </c>
      <c r="E1356" s="17">
        <v>754584</v>
      </c>
      <c r="F1356" s="17">
        <v>0</v>
      </c>
      <c r="G1356" s="18">
        <v>1</v>
      </c>
      <c r="H1356" s="10" t="str">
        <f t="shared" si="21"/>
        <v>GASTOS</v>
      </c>
      <c r="I1356" s="19">
        <v>2025</v>
      </c>
    </row>
    <row r="1357" spans="1:9" hidden="1" x14ac:dyDescent="0.3">
      <c r="A1357" s="16" t="s">
        <v>68</v>
      </c>
      <c r="B1357" s="16" t="s">
        <v>25</v>
      </c>
      <c r="C1357" s="15">
        <v>2</v>
      </c>
      <c r="D1357" s="17">
        <v>754584</v>
      </c>
      <c r="E1357" s="17">
        <v>754584</v>
      </c>
      <c r="F1357" s="17">
        <v>0</v>
      </c>
      <c r="G1357" s="18">
        <v>1</v>
      </c>
      <c r="H1357" s="10" t="str">
        <f t="shared" si="21"/>
        <v>GASTOS</v>
      </c>
      <c r="I1357" s="19">
        <v>2025</v>
      </c>
    </row>
    <row r="1358" spans="1:9" hidden="1" x14ac:dyDescent="0.3">
      <c r="A1358" s="16" t="s">
        <v>68</v>
      </c>
      <c r="B1358" s="16" t="s">
        <v>25</v>
      </c>
      <c r="C1358" s="15">
        <v>3</v>
      </c>
      <c r="D1358" s="17">
        <v>754584</v>
      </c>
      <c r="E1358" s="17">
        <v>754584</v>
      </c>
      <c r="F1358" s="17">
        <v>0</v>
      </c>
      <c r="G1358" s="18">
        <v>1</v>
      </c>
      <c r="H1358" s="10" t="str">
        <f t="shared" si="21"/>
        <v>GASTOS</v>
      </c>
      <c r="I1358" s="19">
        <v>2025</v>
      </c>
    </row>
    <row r="1359" spans="1:9" hidden="1" x14ac:dyDescent="0.3">
      <c r="A1359" s="16" t="s">
        <v>68</v>
      </c>
      <c r="B1359" s="16" t="s">
        <v>25</v>
      </c>
      <c r="C1359" s="15">
        <v>4</v>
      </c>
      <c r="D1359" s="17">
        <v>754584</v>
      </c>
      <c r="E1359" s="17">
        <v>754584</v>
      </c>
      <c r="F1359" s="17">
        <v>0</v>
      </c>
      <c r="G1359" s="18">
        <v>1</v>
      </c>
      <c r="H1359" s="10" t="str">
        <f t="shared" si="21"/>
        <v>GASTOS</v>
      </c>
      <c r="I1359" s="19">
        <v>2025</v>
      </c>
    </row>
    <row r="1360" spans="1:9" hidden="1" x14ac:dyDescent="0.3">
      <c r="A1360" s="16" t="s">
        <v>68</v>
      </c>
      <c r="B1360" s="16" t="s">
        <v>25</v>
      </c>
      <c r="C1360" s="15">
        <v>5</v>
      </c>
      <c r="D1360" s="17">
        <v>754584</v>
      </c>
      <c r="E1360" s="17">
        <v>754584</v>
      </c>
      <c r="F1360" s="17">
        <v>0</v>
      </c>
      <c r="G1360" s="18">
        <v>1</v>
      </c>
      <c r="H1360" s="10" t="str">
        <f t="shared" si="21"/>
        <v>GASTOS</v>
      </c>
      <c r="I1360" s="19">
        <v>2025</v>
      </c>
    </row>
    <row r="1361" spans="1:9" hidden="1" x14ac:dyDescent="0.3">
      <c r="A1361" s="16" t="s">
        <v>68</v>
      </c>
      <c r="B1361" s="16" t="s">
        <v>25</v>
      </c>
      <c r="C1361" s="15">
        <v>6</v>
      </c>
      <c r="D1361" s="17">
        <v>754584</v>
      </c>
      <c r="E1361" s="17">
        <v>754584</v>
      </c>
      <c r="F1361" s="17">
        <v>0</v>
      </c>
      <c r="G1361" s="18">
        <v>1</v>
      </c>
      <c r="H1361" s="10" t="str">
        <f t="shared" si="21"/>
        <v>GASTOS</v>
      </c>
      <c r="I1361" s="19">
        <v>2025</v>
      </c>
    </row>
    <row r="1362" spans="1:9" hidden="1" x14ac:dyDescent="0.3">
      <c r="A1362" s="16" t="s">
        <v>68</v>
      </c>
      <c r="B1362" s="16" t="s">
        <v>25</v>
      </c>
      <c r="C1362" s="15">
        <v>7</v>
      </c>
      <c r="D1362" s="17">
        <v>754584</v>
      </c>
      <c r="E1362" s="17">
        <v>754584</v>
      </c>
      <c r="F1362" s="17">
        <v>0</v>
      </c>
      <c r="G1362" s="18">
        <v>1</v>
      </c>
      <c r="H1362" s="10" t="str">
        <f t="shared" si="21"/>
        <v>GASTOS</v>
      </c>
      <c r="I1362" s="19">
        <v>2025</v>
      </c>
    </row>
    <row r="1363" spans="1:9" hidden="1" x14ac:dyDescent="0.3">
      <c r="A1363" s="16" t="s">
        <v>68</v>
      </c>
      <c r="B1363" s="16" t="s">
        <v>25</v>
      </c>
      <c r="C1363" s="15">
        <v>8</v>
      </c>
      <c r="D1363" s="17">
        <v>754584</v>
      </c>
      <c r="E1363" s="17">
        <v>754584</v>
      </c>
      <c r="F1363" s="17">
        <v>0</v>
      </c>
      <c r="G1363" s="18">
        <v>1</v>
      </c>
      <c r="H1363" s="10" t="str">
        <f t="shared" si="21"/>
        <v>GASTOS</v>
      </c>
      <c r="I1363" s="19">
        <v>2025</v>
      </c>
    </row>
    <row r="1364" spans="1:9" hidden="1" x14ac:dyDescent="0.3">
      <c r="A1364" s="16" t="s">
        <v>68</v>
      </c>
      <c r="B1364" s="16" t="s">
        <v>25</v>
      </c>
      <c r="C1364" s="15">
        <v>9</v>
      </c>
      <c r="D1364" s="17">
        <v>754584</v>
      </c>
      <c r="E1364" s="17">
        <v>754584</v>
      </c>
      <c r="F1364" s="17">
        <v>0</v>
      </c>
      <c r="G1364" s="18">
        <v>1</v>
      </c>
      <c r="H1364" s="10" t="str">
        <f t="shared" si="21"/>
        <v>GASTOS</v>
      </c>
      <c r="I1364" s="19">
        <v>2025</v>
      </c>
    </row>
    <row r="1365" spans="1:9" hidden="1" x14ac:dyDescent="0.3">
      <c r="A1365" s="16" t="s">
        <v>68</v>
      </c>
      <c r="B1365" s="16" t="s">
        <v>25</v>
      </c>
      <c r="C1365" s="15">
        <v>10</v>
      </c>
      <c r="D1365" s="17">
        <v>754584</v>
      </c>
      <c r="E1365" s="17">
        <v>754584</v>
      </c>
      <c r="F1365" s="17">
        <v>0</v>
      </c>
      <c r="G1365" s="18">
        <v>1</v>
      </c>
      <c r="H1365" s="10" t="str">
        <f t="shared" si="21"/>
        <v>GASTOS</v>
      </c>
      <c r="I1365" s="19">
        <v>2025</v>
      </c>
    </row>
    <row r="1366" spans="1:9" hidden="1" x14ac:dyDescent="0.3">
      <c r="A1366" s="16" t="s">
        <v>68</v>
      </c>
      <c r="B1366" s="16" t="s">
        <v>27</v>
      </c>
      <c r="C1366" s="15">
        <v>1</v>
      </c>
      <c r="D1366" s="17">
        <v>104836</v>
      </c>
      <c r="E1366" s="17">
        <v>0</v>
      </c>
      <c r="F1366" s="17">
        <v>-104836</v>
      </c>
      <c r="G1366" s="18">
        <v>0</v>
      </c>
      <c r="H1366" s="10" t="str">
        <f t="shared" si="21"/>
        <v>GASTOS</v>
      </c>
      <c r="I1366" s="19">
        <v>2025</v>
      </c>
    </row>
    <row r="1367" spans="1:9" hidden="1" x14ac:dyDescent="0.3">
      <c r="A1367" s="16" t="s">
        <v>68</v>
      </c>
      <c r="B1367" s="16" t="s">
        <v>27</v>
      </c>
      <c r="C1367" s="15">
        <v>2</v>
      </c>
      <c r="D1367" s="17">
        <v>107208</v>
      </c>
      <c r="E1367" s="17">
        <v>105373</v>
      </c>
      <c r="F1367" s="17">
        <v>-1835</v>
      </c>
      <c r="G1367" s="18">
        <v>0.9828837400194016</v>
      </c>
      <c r="H1367" s="10" t="str">
        <f t="shared" si="21"/>
        <v>GASTOS</v>
      </c>
      <c r="I1367" s="19">
        <v>2025</v>
      </c>
    </row>
    <row r="1368" spans="1:9" hidden="1" x14ac:dyDescent="0.3">
      <c r="A1368" s="16" t="s">
        <v>68</v>
      </c>
      <c r="B1368" s="16" t="s">
        <v>27</v>
      </c>
      <c r="C1368" s="15">
        <v>3</v>
      </c>
      <c r="D1368" s="17">
        <v>112852</v>
      </c>
      <c r="E1368" s="17">
        <v>103291</v>
      </c>
      <c r="F1368" s="17">
        <v>-9561</v>
      </c>
      <c r="G1368" s="18">
        <v>0.9152784177506823</v>
      </c>
      <c r="H1368" s="10" t="str">
        <f t="shared" si="21"/>
        <v>GASTOS</v>
      </c>
      <c r="I1368" s="19">
        <v>2025</v>
      </c>
    </row>
    <row r="1369" spans="1:9" hidden="1" x14ac:dyDescent="0.3">
      <c r="A1369" s="16" t="s">
        <v>68</v>
      </c>
      <c r="B1369" s="16" t="s">
        <v>27</v>
      </c>
      <c r="C1369" s="15">
        <v>4</v>
      </c>
      <c r="D1369" s="17">
        <v>119871</v>
      </c>
      <c r="E1369" s="17">
        <v>116631</v>
      </c>
      <c r="F1369" s="17">
        <v>-3240</v>
      </c>
      <c r="G1369" s="18">
        <v>0.97297094376454696</v>
      </c>
      <c r="H1369" s="10" t="str">
        <f t="shared" si="21"/>
        <v>GASTOS</v>
      </c>
      <c r="I1369" s="19">
        <v>2025</v>
      </c>
    </row>
    <row r="1370" spans="1:9" hidden="1" x14ac:dyDescent="0.3">
      <c r="A1370" s="16" t="s">
        <v>68</v>
      </c>
      <c r="B1370" s="16" t="s">
        <v>27</v>
      </c>
      <c r="C1370" s="15">
        <v>5</v>
      </c>
      <c r="D1370" s="17">
        <v>116843</v>
      </c>
      <c r="E1370" s="17">
        <v>133629</v>
      </c>
      <c r="F1370" s="17">
        <v>16786</v>
      </c>
      <c r="G1370" s="18">
        <v>1.1436628638429345</v>
      </c>
      <c r="H1370" s="10" t="str">
        <f t="shared" si="21"/>
        <v>GASTOS</v>
      </c>
      <c r="I1370" s="19">
        <v>2025</v>
      </c>
    </row>
    <row r="1371" spans="1:9" hidden="1" x14ac:dyDescent="0.3">
      <c r="A1371" s="16" t="s">
        <v>68</v>
      </c>
      <c r="B1371" s="16" t="s">
        <v>27</v>
      </c>
      <c r="C1371" s="15">
        <v>6</v>
      </c>
      <c r="D1371" s="17">
        <v>130257</v>
      </c>
      <c r="E1371" s="17">
        <v>137275</v>
      </c>
      <c r="F1371" s="17">
        <v>7018</v>
      </c>
      <c r="G1371" s="18">
        <v>1.053878102520402</v>
      </c>
      <c r="H1371" s="10" t="str">
        <f t="shared" si="21"/>
        <v>GASTOS</v>
      </c>
      <c r="I1371" s="19">
        <v>2025</v>
      </c>
    </row>
    <row r="1372" spans="1:9" hidden="1" x14ac:dyDescent="0.3">
      <c r="A1372" s="16" t="s">
        <v>68</v>
      </c>
      <c r="B1372" s="16" t="s">
        <v>27</v>
      </c>
      <c r="C1372" s="15">
        <v>7</v>
      </c>
      <c r="D1372" s="17">
        <v>110964</v>
      </c>
      <c r="E1372" s="17">
        <v>145546</v>
      </c>
      <c r="F1372" s="17">
        <v>34582</v>
      </c>
      <c r="G1372" s="18">
        <v>1.3116506254280669</v>
      </c>
      <c r="H1372" s="10" t="str">
        <f t="shared" si="21"/>
        <v>GASTOS</v>
      </c>
      <c r="I1372" s="19">
        <v>2025</v>
      </c>
    </row>
    <row r="1373" spans="1:9" hidden="1" x14ac:dyDescent="0.3">
      <c r="A1373" s="16" t="s">
        <v>68</v>
      </c>
      <c r="B1373" s="16" t="s">
        <v>27</v>
      </c>
      <c r="C1373" s="15">
        <v>8</v>
      </c>
      <c r="D1373" s="17">
        <v>98427</v>
      </c>
      <c r="E1373" s="17">
        <v>128748</v>
      </c>
      <c r="F1373" s="17">
        <v>30321</v>
      </c>
      <c r="G1373" s="18">
        <v>1.3080557164192752</v>
      </c>
      <c r="H1373" s="10" t="str">
        <f t="shared" si="21"/>
        <v>GASTOS</v>
      </c>
      <c r="I1373" s="19">
        <v>2025</v>
      </c>
    </row>
    <row r="1374" spans="1:9" hidden="1" x14ac:dyDescent="0.3">
      <c r="A1374" s="16" t="s">
        <v>68</v>
      </c>
      <c r="B1374" s="16" t="s">
        <v>27</v>
      </c>
      <c r="C1374" s="15">
        <v>9</v>
      </c>
      <c r="D1374" s="17">
        <v>126679</v>
      </c>
      <c r="E1374" s="17">
        <v>166388</v>
      </c>
      <c r="F1374" s="17">
        <v>39709</v>
      </c>
      <c r="G1374" s="18">
        <v>1.3134615840036628</v>
      </c>
      <c r="H1374" s="10" t="str">
        <f t="shared" si="21"/>
        <v>GASTOS</v>
      </c>
      <c r="I1374" s="19">
        <v>2025</v>
      </c>
    </row>
    <row r="1375" spans="1:9" hidden="1" x14ac:dyDescent="0.3">
      <c r="A1375" s="16" t="s">
        <v>68</v>
      </c>
      <c r="B1375" s="16" t="s">
        <v>27</v>
      </c>
      <c r="C1375" s="15">
        <v>10</v>
      </c>
      <c r="D1375" s="17">
        <v>131353</v>
      </c>
      <c r="E1375" s="17">
        <v>177367</v>
      </c>
      <c r="F1375" s="17">
        <v>46014</v>
      </c>
      <c r="G1375" s="18">
        <v>1.3503079488096961</v>
      </c>
      <c r="H1375" s="10" t="str">
        <f t="shared" si="21"/>
        <v>GASTOS</v>
      </c>
      <c r="I1375" s="19">
        <v>2025</v>
      </c>
    </row>
    <row r="1376" spans="1:9" hidden="1" x14ac:dyDescent="0.3">
      <c r="A1376" s="16" t="s">
        <v>68</v>
      </c>
      <c r="B1376" s="16" t="s">
        <v>28</v>
      </c>
      <c r="C1376" s="15">
        <v>1</v>
      </c>
      <c r="D1376" s="17">
        <v>252935</v>
      </c>
      <c r="E1376" s="17">
        <v>613210</v>
      </c>
      <c r="F1376" s="17">
        <v>360275</v>
      </c>
      <c r="G1376" s="18">
        <v>2.4243778045742976</v>
      </c>
      <c r="H1376" s="10" t="str">
        <f t="shared" si="21"/>
        <v>GASTOS</v>
      </c>
      <c r="I1376" s="19">
        <v>2025</v>
      </c>
    </row>
    <row r="1377" spans="1:9" hidden="1" x14ac:dyDescent="0.3">
      <c r="A1377" s="16" t="s">
        <v>68</v>
      </c>
      <c r="B1377" s="16" t="s">
        <v>28</v>
      </c>
      <c r="C1377" s="15">
        <v>2</v>
      </c>
      <c r="D1377" s="17">
        <v>252935</v>
      </c>
      <c r="E1377" s="17">
        <v>38943</v>
      </c>
      <c r="F1377" s="17">
        <v>-213992</v>
      </c>
      <c r="G1377" s="18">
        <v>0.15396445727163105</v>
      </c>
      <c r="H1377" s="10" t="str">
        <f t="shared" si="21"/>
        <v>GASTOS</v>
      </c>
      <c r="I1377" s="19">
        <v>2025</v>
      </c>
    </row>
    <row r="1378" spans="1:9" hidden="1" x14ac:dyDescent="0.3">
      <c r="A1378" s="16" t="s">
        <v>68</v>
      </c>
      <c r="B1378" s="16" t="s">
        <v>28</v>
      </c>
      <c r="C1378" s="15">
        <v>3</v>
      </c>
      <c r="D1378" s="17">
        <v>252935</v>
      </c>
      <c r="E1378" s="17">
        <v>59422</v>
      </c>
      <c r="F1378" s="17">
        <v>-193513</v>
      </c>
      <c r="G1378" s="18">
        <v>0.23492992270741495</v>
      </c>
      <c r="H1378" s="10" t="str">
        <f t="shared" si="21"/>
        <v>GASTOS</v>
      </c>
      <c r="I1378" s="19">
        <v>2025</v>
      </c>
    </row>
    <row r="1379" spans="1:9" hidden="1" x14ac:dyDescent="0.3">
      <c r="A1379" s="16" t="s">
        <v>68</v>
      </c>
      <c r="B1379" s="16" t="s">
        <v>28</v>
      </c>
      <c r="C1379" s="15">
        <v>4</v>
      </c>
      <c r="D1379" s="17">
        <v>252935</v>
      </c>
      <c r="E1379" s="17">
        <v>203167</v>
      </c>
      <c r="F1379" s="17">
        <v>-49768</v>
      </c>
      <c r="G1379" s="18">
        <v>0.80323798604384533</v>
      </c>
      <c r="H1379" s="10" t="str">
        <f t="shared" si="21"/>
        <v>GASTOS</v>
      </c>
      <c r="I1379" s="19">
        <v>2025</v>
      </c>
    </row>
    <row r="1380" spans="1:9" hidden="1" x14ac:dyDescent="0.3">
      <c r="A1380" s="16" t="s">
        <v>68</v>
      </c>
      <c r="B1380" s="16" t="s">
        <v>28</v>
      </c>
      <c r="C1380" s="15">
        <v>5</v>
      </c>
      <c r="D1380" s="17">
        <v>252935</v>
      </c>
      <c r="E1380" s="17">
        <v>66663</v>
      </c>
      <c r="F1380" s="17">
        <v>-186272</v>
      </c>
      <c r="G1380" s="18">
        <v>0.26355783106331665</v>
      </c>
      <c r="H1380" s="10" t="str">
        <f t="shared" si="21"/>
        <v>GASTOS</v>
      </c>
      <c r="I1380" s="19">
        <v>2025</v>
      </c>
    </row>
    <row r="1381" spans="1:9" hidden="1" x14ac:dyDescent="0.3">
      <c r="A1381" s="16" t="s">
        <v>68</v>
      </c>
      <c r="B1381" s="16" t="s">
        <v>28</v>
      </c>
      <c r="C1381" s="15">
        <v>6</v>
      </c>
      <c r="D1381" s="17">
        <v>252935</v>
      </c>
      <c r="E1381" s="17">
        <v>337257</v>
      </c>
      <c r="F1381" s="17">
        <v>84322</v>
      </c>
      <c r="G1381" s="18">
        <v>1.3333741870441023</v>
      </c>
      <c r="H1381" s="10" t="str">
        <f t="shared" si="21"/>
        <v>GASTOS</v>
      </c>
      <c r="I1381" s="19">
        <v>2025</v>
      </c>
    </row>
    <row r="1382" spans="1:9" hidden="1" x14ac:dyDescent="0.3">
      <c r="A1382" s="16" t="s">
        <v>68</v>
      </c>
      <c r="B1382" s="16" t="s">
        <v>28</v>
      </c>
      <c r="C1382" s="15">
        <v>7</v>
      </c>
      <c r="D1382" s="17">
        <v>252935</v>
      </c>
      <c r="E1382" s="17">
        <v>193093</v>
      </c>
      <c r="F1382" s="17">
        <v>-59842</v>
      </c>
      <c r="G1382" s="18">
        <v>0.76340957162907475</v>
      </c>
      <c r="H1382" s="10" t="str">
        <f t="shared" si="21"/>
        <v>GASTOS</v>
      </c>
      <c r="I1382" s="19">
        <v>2025</v>
      </c>
    </row>
    <row r="1383" spans="1:9" hidden="1" x14ac:dyDescent="0.3">
      <c r="A1383" s="16" t="s">
        <v>68</v>
      </c>
      <c r="B1383" s="16" t="s">
        <v>28</v>
      </c>
      <c r="C1383" s="15">
        <v>8</v>
      </c>
      <c r="D1383" s="17">
        <v>252935</v>
      </c>
      <c r="E1383" s="17">
        <v>43440</v>
      </c>
      <c r="F1383" s="17">
        <v>-209495</v>
      </c>
      <c r="G1383" s="18">
        <v>0.17174372862593157</v>
      </c>
      <c r="H1383" s="10" t="str">
        <f t="shared" si="21"/>
        <v>GASTOS</v>
      </c>
      <c r="I1383" s="19">
        <v>2025</v>
      </c>
    </row>
    <row r="1384" spans="1:9" hidden="1" x14ac:dyDescent="0.3">
      <c r="A1384" s="16" t="s">
        <v>68</v>
      </c>
      <c r="B1384" s="16" t="s">
        <v>28</v>
      </c>
      <c r="C1384" s="15">
        <v>9</v>
      </c>
      <c r="D1384" s="17">
        <v>252935</v>
      </c>
      <c r="E1384" s="17">
        <v>813424</v>
      </c>
      <c r="F1384" s="17">
        <v>560489</v>
      </c>
      <c r="G1384" s="18">
        <v>3.2159408543696997</v>
      </c>
      <c r="H1384" s="10" t="str">
        <f t="shared" si="21"/>
        <v>GASTOS</v>
      </c>
      <c r="I1384" s="19">
        <v>2025</v>
      </c>
    </row>
    <row r="1385" spans="1:9" hidden="1" x14ac:dyDescent="0.3">
      <c r="A1385" s="16" t="s">
        <v>68</v>
      </c>
      <c r="B1385" s="16" t="s">
        <v>28</v>
      </c>
      <c r="C1385" s="15">
        <v>10</v>
      </c>
      <c r="D1385" s="17">
        <v>252935</v>
      </c>
      <c r="E1385" s="17">
        <v>293055</v>
      </c>
      <c r="F1385" s="17">
        <v>40120</v>
      </c>
      <c r="G1385" s="18">
        <v>1.1586178267143734</v>
      </c>
      <c r="H1385" s="10" t="str">
        <f t="shared" si="21"/>
        <v>GASTOS</v>
      </c>
      <c r="I1385" s="19">
        <v>2025</v>
      </c>
    </row>
    <row r="1386" spans="1:9" hidden="1" x14ac:dyDescent="0.3">
      <c r="A1386" s="16" t="s">
        <v>68</v>
      </c>
      <c r="B1386" s="16" t="s">
        <v>52</v>
      </c>
      <c r="C1386" s="15">
        <v>1</v>
      </c>
      <c r="D1386" s="17">
        <v>320461</v>
      </c>
      <c r="E1386" s="17">
        <v>509997</v>
      </c>
      <c r="F1386" s="17">
        <v>189536</v>
      </c>
      <c r="G1386" s="18">
        <v>1.5914479453037969</v>
      </c>
      <c r="H1386" s="10" t="str">
        <f t="shared" si="21"/>
        <v>GASTOS</v>
      </c>
      <c r="I1386" s="19">
        <v>2025</v>
      </c>
    </row>
    <row r="1387" spans="1:9" hidden="1" x14ac:dyDescent="0.3">
      <c r="A1387" s="16" t="s">
        <v>68</v>
      </c>
      <c r="B1387" s="16" t="s">
        <v>52</v>
      </c>
      <c r="C1387" s="15">
        <v>2</v>
      </c>
      <c r="D1387" s="17">
        <v>320461</v>
      </c>
      <c r="E1387" s="17">
        <v>340000</v>
      </c>
      <c r="F1387" s="17">
        <v>19539</v>
      </c>
      <c r="G1387" s="18">
        <v>1.0609715378782443</v>
      </c>
      <c r="H1387" s="10" t="str">
        <f t="shared" si="21"/>
        <v>GASTOS</v>
      </c>
      <c r="I1387" s="19">
        <v>2025</v>
      </c>
    </row>
    <row r="1388" spans="1:9" hidden="1" x14ac:dyDescent="0.3">
      <c r="A1388" s="16" t="s">
        <v>68</v>
      </c>
      <c r="B1388" s="16" t="s">
        <v>52</v>
      </c>
      <c r="C1388" s="15">
        <v>3</v>
      </c>
      <c r="D1388" s="17">
        <v>320461</v>
      </c>
      <c r="E1388" s="17">
        <v>509995</v>
      </c>
      <c r="F1388" s="17">
        <v>189534</v>
      </c>
      <c r="G1388" s="18">
        <v>1.5914417042947504</v>
      </c>
      <c r="H1388" s="10" t="str">
        <f t="shared" si="21"/>
        <v>GASTOS</v>
      </c>
      <c r="I1388" s="19">
        <v>2025</v>
      </c>
    </row>
    <row r="1389" spans="1:9" hidden="1" x14ac:dyDescent="0.3">
      <c r="A1389" s="16" t="s">
        <v>68</v>
      </c>
      <c r="B1389" s="16" t="s">
        <v>52</v>
      </c>
      <c r="C1389" s="15">
        <v>4</v>
      </c>
      <c r="D1389" s="17">
        <v>320461</v>
      </c>
      <c r="E1389" s="17">
        <v>509988</v>
      </c>
      <c r="F1389" s="17">
        <v>189527</v>
      </c>
      <c r="G1389" s="18">
        <v>1.5914198607630883</v>
      </c>
      <c r="H1389" s="10" t="str">
        <f t="shared" si="21"/>
        <v>GASTOS</v>
      </c>
      <c r="I1389" s="19">
        <v>2025</v>
      </c>
    </row>
    <row r="1390" spans="1:9" hidden="1" x14ac:dyDescent="0.3">
      <c r="A1390" s="16" t="s">
        <v>68</v>
      </c>
      <c r="B1390" s="16" t="s">
        <v>52</v>
      </c>
      <c r="C1390" s="15">
        <v>5</v>
      </c>
      <c r="D1390" s="17">
        <v>320461</v>
      </c>
      <c r="E1390" s="17">
        <v>509997</v>
      </c>
      <c r="F1390" s="17">
        <v>189536</v>
      </c>
      <c r="G1390" s="18">
        <v>1.5914479453037969</v>
      </c>
      <c r="H1390" s="10" t="str">
        <f t="shared" si="21"/>
        <v>GASTOS</v>
      </c>
      <c r="I1390" s="19">
        <v>2025</v>
      </c>
    </row>
    <row r="1391" spans="1:9" hidden="1" x14ac:dyDescent="0.3">
      <c r="A1391" s="16" t="s">
        <v>68</v>
      </c>
      <c r="B1391" s="16" t="s">
        <v>52</v>
      </c>
      <c r="C1391" s="15">
        <v>6</v>
      </c>
      <c r="D1391" s="17">
        <v>320461</v>
      </c>
      <c r="E1391" s="17">
        <v>521866</v>
      </c>
      <c r="F1391" s="17">
        <v>201405</v>
      </c>
      <c r="G1391" s="18">
        <v>1.6284852134893171</v>
      </c>
      <c r="H1391" s="10" t="str">
        <f t="shared" si="21"/>
        <v>GASTOS</v>
      </c>
      <c r="I1391" s="19">
        <v>2025</v>
      </c>
    </row>
    <row r="1392" spans="1:9" hidden="1" x14ac:dyDescent="0.3">
      <c r="A1392" s="16" t="s">
        <v>68</v>
      </c>
      <c r="B1392" s="16" t="s">
        <v>52</v>
      </c>
      <c r="C1392" s="15">
        <v>7</v>
      </c>
      <c r="D1392" s="17">
        <v>320461</v>
      </c>
      <c r="E1392" s="17">
        <v>496700</v>
      </c>
      <c r="F1392" s="17">
        <v>176239</v>
      </c>
      <c r="G1392" s="18">
        <v>1.5499545966591879</v>
      </c>
      <c r="H1392" s="10" t="str">
        <f t="shared" si="21"/>
        <v>GASTOS</v>
      </c>
      <c r="I1392" s="19">
        <v>2025</v>
      </c>
    </row>
    <row r="1393" spans="1:9" hidden="1" x14ac:dyDescent="0.3">
      <c r="A1393" s="16" t="s">
        <v>68</v>
      </c>
      <c r="B1393" s="16" t="s">
        <v>52</v>
      </c>
      <c r="C1393" s="15">
        <v>8</v>
      </c>
      <c r="D1393" s="17">
        <v>320461</v>
      </c>
      <c r="E1393" s="17">
        <v>390010</v>
      </c>
      <c r="F1393" s="17">
        <v>69549</v>
      </c>
      <c r="G1393" s="18">
        <v>1.2170279690820411</v>
      </c>
      <c r="H1393" s="10" t="str">
        <f t="shared" si="21"/>
        <v>GASTOS</v>
      </c>
      <c r="I1393" s="19">
        <v>2025</v>
      </c>
    </row>
    <row r="1394" spans="1:9" hidden="1" x14ac:dyDescent="0.3">
      <c r="A1394" s="16" t="s">
        <v>68</v>
      </c>
      <c r="B1394" s="16" t="s">
        <v>52</v>
      </c>
      <c r="C1394" s="15">
        <v>9</v>
      </c>
      <c r="D1394" s="17">
        <v>320461</v>
      </c>
      <c r="E1394" s="17">
        <v>510063</v>
      </c>
      <c r="F1394" s="17">
        <v>189602</v>
      </c>
      <c r="G1394" s="18">
        <v>1.5916538986023261</v>
      </c>
      <c r="H1394" s="10" t="str">
        <f t="shared" si="21"/>
        <v>GASTOS</v>
      </c>
      <c r="I1394" s="19">
        <v>2025</v>
      </c>
    </row>
    <row r="1395" spans="1:9" hidden="1" x14ac:dyDescent="0.3">
      <c r="A1395" s="16" t="s">
        <v>68</v>
      </c>
      <c r="B1395" s="16" t="s">
        <v>52</v>
      </c>
      <c r="C1395" s="15">
        <v>10</v>
      </c>
      <c r="D1395" s="17">
        <v>320461</v>
      </c>
      <c r="E1395" s="17">
        <v>559976</v>
      </c>
      <c r="F1395" s="17">
        <v>239515</v>
      </c>
      <c r="G1395" s="18">
        <v>1.7474076408673755</v>
      </c>
      <c r="H1395" s="10" t="str">
        <f t="shared" si="21"/>
        <v>GASTOS</v>
      </c>
      <c r="I1395" s="19">
        <v>2025</v>
      </c>
    </row>
    <row r="1396" spans="1:9" hidden="1" x14ac:dyDescent="0.3">
      <c r="A1396" s="16" t="s">
        <v>68</v>
      </c>
      <c r="B1396" s="16" t="s">
        <v>29</v>
      </c>
      <c r="C1396" s="15">
        <v>1</v>
      </c>
      <c r="D1396" s="17">
        <v>93231</v>
      </c>
      <c r="E1396" s="17">
        <v>0</v>
      </c>
      <c r="F1396" s="17">
        <v>-93231</v>
      </c>
      <c r="G1396" s="18">
        <v>0</v>
      </c>
      <c r="H1396" s="10" t="str">
        <f t="shared" si="21"/>
        <v>GASTOS</v>
      </c>
      <c r="I1396" s="19">
        <v>2025</v>
      </c>
    </row>
    <row r="1397" spans="1:9" hidden="1" x14ac:dyDescent="0.3">
      <c r="A1397" s="16" t="s">
        <v>68</v>
      </c>
      <c r="B1397" s="16" t="s">
        <v>29</v>
      </c>
      <c r="C1397" s="15">
        <v>2</v>
      </c>
      <c r="D1397" s="17">
        <v>93231</v>
      </c>
      <c r="E1397" s="17">
        <v>65800</v>
      </c>
      <c r="F1397" s="17">
        <v>-27431</v>
      </c>
      <c r="G1397" s="18">
        <v>0.70577383059282861</v>
      </c>
      <c r="H1397" s="10" t="str">
        <f t="shared" si="21"/>
        <v>GASTOS</v>
      </c>
      <c r="I1397" s="19">
        <v>2025</v>
      </c>
    </row>
    <row r="1398" spans="1:9" hidden="1" x14ac:dyDescent="0.3">
      <c r="A1398" s="16" t="s">
        <v>68</v>
      </c>
      <c r="B1398" s="16" t="s">
        <v>29</v>
      </c>
      <c r="C1398" s="15">
        <v>3</v>
      </c>
      <c r="D1398" s="17">
        <v>93231</v>
      </c>
      <c r="E1398" s="17">
        <v>376772</v>
      </c>
      <c r="F1398" s="17">
        <v>283541</v>
      </c>
      <c r="G1398" s="18">
        <v>4.0412738252298057</v>
      </c>
      <c r="H1398" s="10" t="str">
        <f t="shared" si="21"/>
        <v>GASTOS</v>
      </c>
      <c r="I1398" s="19">
        <v>2025</v>
      </c>
    </row>
    <row r="1399" spans="1:9" hidden="1" x14ac:dyDescent="0.3">
      <c r="A1399" s="16" t="s">
        <v>68</v>
      </c>
      <c r="B1399" s="16" t="s">
        <v>29</v>
      </c>
      <c r="C1399" s="15">
        <v>4</v>
      </c>
      <c r="D1399" s="17">
        <v>93231</v>
      </c>
      <c r="E1399" s="17">
        <v>9500</v>
      </c>
      <c r="F1399" s="17">
        <v>-83731</v>
      </c>
      <c r="G1399" s="18">
        <v>0.10189743754759684</v>
      </c>
      <c r="H1399" s="10" t="str">
        <f t="shared" si="21"/>
        <v>GASTOS</v>
      </c>
      <c r="I1399" s="19">
        <v>2025</v>
      </c>
    </row>
    <row r="1400" spans="1:9" hidden="1" x14ac:dyDescent="0.3">
      <c r="A1400" s="16" t="s">
        <v>68</v>
      </c>
      <c r="B1400" s="16" t="s">
        <v>29</v>
      </c>
      <c r="C1400" s="15">
        <v>5</v>
      </c>
      <c r="D1400" s="17">
        <v>93231</v>
      </c>
      <c r="E1400" s="17">
        <v>92600</v>
      </c>
      <c r="F1400" s="17">
        <v>-631</v>
      </c>
      <c r="G1400" s="18">
        <v>0.99323186493762805</v>
      </c>
      <c r="H1400" s="10" t="str">
        <f t="shared" si="21"/>
        <v>GASTOS</v>
      </c>
      <c r="I1400" s="19">
        <v>2025</v>
      </c>
    </row>
    <row r="1401" spans="1:9" hidden="1" x14ac:dyDescent="0.3">
      <c r="A1401" s="16" t="s">
        <v>68</v>
      </c>
      <c r="B1401" s="16" t="s">
        <v>29</v>
      </c>
      <c r="C1401" s="15">
        <v>6</v>
      </c>
      <c r="D1401" s="17">
        <v>93231</v>
      </c>
      <c r="E1401" s="17">
        <v>149000</v>
      </c>
      <c r="F1401" s="17">
        <v>55769</v>
      </c>
      <c r="G1401" s="18">
        <v>1.598180862588624</v>
      </c>
      <c r="H1401" s="10" t="str">
        <f t="shared" si="21"/>
        <v>GASTOS</v>
      </c>
      <c r="I1401" s="19">
        <v>2025</v>
      </c>
    </row>
    <row r="1402" spans="1:9" hidden="1" x14ac:dyDescent="0.3">
      <c r="A1402" s="16" t="s">
        <v>68</v>
      </c>
      <c r="B1402" s="16" t="s">
        <v>29</v>
      </c>
      <c r="C1402" s="15">
        <v>7</v>
      </c>
      <c r="D1402" s="17">
        <v>93231</v>
      </c>
      <c r="E1402" s="17">
        <v>137000</v>
      </c>
      <c r="F1402" s="17">
        <v>43769</v>
      </c>
      <c r="G1402" s="18">
        <v>1.4694683098969228</v>
      </c>
      <c r="H1402" s="10" t="str">
        <f t="shared" si="21"/>
        <v>GASTOS</v>
      </c>
      <c r="I1402" s="19">
        <v>2025</v>
      </c>
    </row>
    <row r="1403" spans="1:9" hidden="1" x14ac:dyDescent="0.3">
      <c r="A1403" s="16" t="s">
        <v>68</v>
      </c>
      <c r="B1403" s="16" t="s">
        <v>29</v>
      </c>
      <c r="C1403" s="15">
        <v>8</v>
      </c>
      <c r="D1403" s="17">
        <v>93231</v>
      </c>
      <c r="E1403" s="17">
        <v>93000</v>
      </c>
      <c r="F1403" s="17">
        <v>-231</v>
      </c>
      <c r="G1403" s="18">
        <v>0.99752228336068482</v>
      </c>
      <c r="H1403" s="10" t="str">
        <f t="shared" si="21"/>
        <v>GASTOS</v>
      </c>
      <c r="I1403" s="19">
        <v>2025</v>
      </c>
    </row>
    <row r="1404" spans="1:9" hidden="1" x14ac:dyDescent="0.3">
      <c r="A1404" s="16" t="s">
        <v>68</v>
      </c>
      <c r="B1404" s="16" t="s">
        <v>29</v>
      </c>
      <c r="C1404" s="15">
        <v>9</v>
      </c>
      <c r="D1404" s="17">
        <v>93231</v>
      </c>
      <c r="E1404" s="17">
        <v>332500</v>
      </c>
      <c r="F1404" s="17">
        <v>239269</v>
      </c>
      <c r="G1404" s="18">
        <v>3.5664103141658892</v>
      </c>
      <c r="H1404" s="10" t="str">
        <f t="shared" si="21"/>
        <v>GASTOS</v>
      </c>
      <c r="I1404" s="19">
        <v>2025</v>
      </c>
    </row>
    <row r="1405" spans="1:9" hidden="1" x14ac:dyDescent="0.3">
      <c r="A1405" s="16" t="s">
        <v>68</v>
      </c>
      <c r="B1405" s="16" t="s">
        <v>29</v>
      </c>
      <c r="C1405" s="15">
        <v>10</v>
      </c>
      <c r="D1405" s="17">
        <v>93231</v>
      </c>
      <c r="E1405" s="17">
        <v>251400</v>
      </c>
      <c r="F1405" s="17">
        <v>158169</v>
      </c>
      <c r="G1405" s="18">
        <v>2.6965279788911416</v>
      </c>
      <c r="H1405" s="10" t="str">
        <f t="shared" si="21"/>
        <v>GASTOS</v>
      </c>
      <c r="I1405" s="19">
        <v>2025</v>
      </c>
    </row>
    <row r="1406" spans="1:9" hidden="1" x14ac:dyDescent="0.3">
      <c r="A1406" s="16" t="s">
        <v>68</v>
      </c>
      <c r="B1406" s="16" t="s">
        <v>14</v>
      </c>
      <c r="C1406" s="15">
        <v>11</v>
      </c>
      <c r="D1406" s="17">
        <v>369198</v>
      </c>
      <c r="E1406" s="17">
        <v>370188</v>
      </c>
      <c r="F1406" s="17">
        <v>990</v>
      </c>
      <c r="G1406" s="18">
        <v>1.0026814879820585</v>
      </c>
      <c r="H1406" s="10" t="str">
        <f t="shared" si="21"/>
        <v>GASTOS</v>
      </c>
      <c r="I1406" s="19">
        <v>2025</v>
      </c>
    </row>
    <row r="1407" spans="1:9" hidden="1" x14ac:dyDescent="0.3">
      <c r="A1407" s="16" t="s">
        <v>68</v>
      </c>
      <c r="B1407" s="16" t="s">
        <v>16</v>
      </c>
      <c r="C1407" s="15">
        <v>11</v>
      </c>
      <c r="D1407" s="17">
        <v>146970000</v>
      </c>
      <c r="E1407" s="17">
        <v>171008370</v>
      </c>
      <c r="F1407" s="17">
        <v>24038370</v>
      </c>
      <c r="G1407" s="18">
        <v>1.1635597060624618</v>
      </c>
      <c r="H1407" s="10" t="str">
        <f t="shared" si="21"/>
        <v>GASTOS</v>
      </c>
      <c r="I1407" s="19">
        <v>2025</v>
      </c>
    </row>
    <row r="1408" spans="1:9" hidden="1" x14ac:dyDescent="0.3">
      <c r="A1408" s="16" t="s">
        <v>68</v>
      </c>
      <c r="B1408" s="16" t="s">
        <v>62</v>
      </c>
      <c r="C1408" s="15">
        <v>11</v>
      </c>
      <c r="D1408" s="17">
        <v>343377</v>
      </c>
      <c r="E1408" s="17">
        <v>188284</v>
      </c>
      <c r="F1408" s="17">
        <v>-155093</v>
      </c>
      <c r="G1408" s="18">
        <v>0.54833026090856407</v>
      </c>
      <c r="H1408" s="10" t="str">
        <f t="shared" si="21"/>
        <v>GASTOS</v>
      </c>
      <c r="I1408" s="19">
        <v>2025</v>
      </c>
    </row>
    <row r="1409" spans="1:9" hidden="1" x14ac:dyDescent="0.3">
      <c r="A1409" s="16" t="s">
        <v>68</v>
      </c>
      <c r="B1409" s="16" t="s">
        <v>171</v>
      </c>
      <c r="C1409" s="15">
        <v>11</v>
      </c>
      <c r="D1409" s="17">
        <v>271638</v>
      </c>
      <c r="E1409" s="17">
        <v>120000</v>
      </c>
      <c r="F1409" s="17">
        <v>-151638</v>
      </c>
      <c r="G1409" s="18">
        <v>0.44176440704172465</v>
      </c>
      <c r="H1409" s="10" t="str">
        <f t="shared" si="21"/>
        <v>GASTOS</v>
      </c>
      <c r="I1409" s="19">
        <v>2025</v>
      </c>
    </row>
    <row r="1410" spans="1:9" hidden="1" x14ac:dyDescent="0.3">
      <c r="A1410" s="16" t="s">
        <v>68</v>
      </c>
      <c r="B1410" s="16" t="s">
        <v>25</v>
      </c>
      <c r="C1410" s="15">
        <v>11</v>
      </c>
      <c r="D1410" s="17">
        <v>754584</v>
      </c>
      <c r="E1410" s="17">
        <v>754584</v>
      </c>
      <c r="F1410" s="17">
        <v>0</v>
      </c>
      <c r="G1410" s="18">
        <v>1</v>
      </c>
      <c r="H1410" s="10" t="str">
        <f t="shared" si="21"/>
        <v>GASTOS</v>
      </c>
      <c r="I1410" s="19">
        <v>2025</v>
      </c>
    </row>
    <row r="1411" spans="1:9" hidden="1" x14ac:dyDescent="0.3">
      <c r="A1411" s="16" t="s">
        <v>68</v>
      </c>
      <c r="B1411" s="16" t="s">
        <v>27</v>
      </c>
      <c r="C1411" s="15">
        <v>11</v>
      </c>
      <c r="D1411" s="17">
        <v>124409</v>
      </c>
      <c r="E1411" s="17">
        <v>179559</v>
      </c>
      <c r="F1411" s="17">
        <v>55150</v>
      </c>
      <c r="G1411" s="18">
        <v>1.4432959030295236</v>
      </c>
      <c r="H1411" s="10" t="str">
        <f t="shared" ref="H1411:H1474" si="22">+IF(OR(A1411="ADMINISTRACION",A1411="COMERCIAL",A1411="COMERCIAL-EXPORTACIONES",A1411="LEASING DE LA BODEGA",A1411="LOGISTICA-SALIDA",A1411="OTROS GASTOS",A1411="BODEGA ALQUILADA", A1411="BODEGA CARTOPLAST", A1411="BODEGA CARTOPLAS", A1411= "GESTION HUMANA-OTROS GASTOS"),"GASTOS","COSTOS")</f>
        <v>GASTOS</v>
      </c>
      <c r="I1411" s="19">
        <v>2025</v>
      </c>
    </row>
    <row r="1412" spans="1:9" hidden="1" x14ac:dyDescent="0.3">
      <c r="A1412" s="16" t="s">
        <v>68</v>
      </c>
      <c r="B1412" s="16" t="s">
        <v>28</v>
      </c>
      <c r="C1412" s="15">
        <v>11</v>
      </c>
      <c r="D1412" s="17">
        <v>252935</v>
      </c>
      <c r="E1412" s="17">
        <v>39880</v>
      </c>
      <c r="F1412" s="17">
        <v>-213055</v>
      </c>
      <c r="G1412" s="18">
        <v>0.15766896633522448</v>
      </c>
      <c r="H1412" s="10" t="str">
        <f t="shared" si="22"/>
        <v>GASTOS</v>
      </c>
      <c r="I1412" s="19">
        <v>2025</v>
      </c>
    </row>
    <row r="1413" spans="1:9" hidden="1" x14ac:dyDescent="0.3">
      <c r="A1413" s="16" t="s">
        <v>68</v>
      </c>
      <c r="B1413" s="16" t="s">
        <v>52</v>
      </c>
      <c r="C1413" s="15">
        <v>11</v>
      </c>
      <c r="D1413" s="17">
        <v>320461</v>
      </c>
      <c r="E1413" s="17">
        <v>684230</v>
      </c>
      <c r="F1413" s="17">
        <v>363769</v>
      </c>
      <c r="G1413" s="18">
        <v>2.1351428098895031</v>
      </c>
      <c r="H1413" s="10" t="str">
        <f t="shared" si="22"/>
        <v>GASTOS</v>
      </c>
      <c r="I1413" s="19">
        <v>2025</v>
      </c>
    </row>
    <row r="1414" spans="1:9" hidden="1" x14ac:dyDescent="0.3">
      <c r="A1414" s="16" t="s">
        <v>68</v>
      </c>
      <c r="B1414" s="16" t="s">
        <v>29</v>
      </c>
      <c r="C1414" s="15">
        <v>11</v>
      </c>
      <c r="D1414" s="17">
        <v>93231</v>
      </c>
      <c r="E1414" s="17">
        <v>154300</v>
      </c>
      <c r="F1414" s="17">
        <v>61069</v>
      </c>
      <c r="G1414" s="18">
        <v>1.6550289066941255</v>
      </c>
      <c r="H1414" s="10" t="str">
        <f t="shared" si="22"/>
        <v>GASTOS</v>
      </c>
      <c r="I1414" s="19">
        <v>2025</v>
      </c>
    </row>
    <row r="1415" spans="1:9" hidden="1" x14ac:dyDescent="0.3">
      <c r="A1415" s="16" t="s">
        <v>68</v>
      </c>
      <c r="B1415" s="16" t="s">
        <v>14</v>
      </c>
      <c r="C1415" s="15">
        <v>12</v>
      </c>
      <c r="D1415" s="17">
        <v>441198</v>
      </c>
      <c r="E1415" s="17">
        <v>425768</v>
      </c>
      <c r="F1415" s="17">
        <v>-15430</v>
      </c>
      <c r="G1415" s="18">
        <v>0.9650270400137807</v>
      </c>
      <c r="H1415" s="10" t="str">
        <f t="shared" si="22"/>
        <v>GASTOS</v>
      </c>
      <c r="I1415" s="19">
        <v>2025</v>
      </c>
    </row>
    <row r="1416" spans="1:9" hidden="1" x14ac:dyDescent="0.3">
      <c r="A1416" s="16" t="s">
        <v>68</v>
      </c>
      <c r="B1416" s="16" t="s">
        <v>16</v>
      </c>
      <c r="C1416" s="15">
        <v>12</v>
      </c>
      <c r="D1416" s="17">
        <v>146970000</v>
      </c>
      <c r="E1416" s="17">
        <v>169674882</v>
      </c>
      <c r="F1416" s="17">
        <v>22704882</v>
      </c>
      <c r="G1416" s="18">
        <v>1.1544865074505002</v>
      </c>
      <c r="H1416" s="10" t="str">
        <f t="shared" si="22"/>
        <v>GASTOS</v>
      </c>
      <c r="I1416" s="19">
        <v>2025</v>
      </c>
    </row>
    <row r="1417" spans="1:9" hidden="1" x14ac:dyDescent="0.3">
      <c r="A1417" s="16" t="s">
        <v>68</v>
      </c>
      <c r="B1417" s="16" t="s">
        <v>62</v>
      </c>
      <c r="C1417" s="15">
        <v>12</v>
      </c>
      <c r="D1417" s="17">
        <v>240041</v>
      </c>
      <c r="E1417" s="17">
        <v>190012</v>
      </c>
      <c r="F1417" s="17">
        <v>-50029</v>
      </c>
      <c r="G1417" s="18">
        <v>0.79158143817097915</v>
      </c>
      <c r="H1417" s="10" t="str">
        <f t="shared" si="22"/>
        <v>GASTOS</v>
      </c>
      <c r="I1417" s="19">
        <v>2025</v>
      </c>
    </row>
    <row r="1418" spans="1:9" hidden="1" x14ac:dyDescent="0.3">
      <c r="A1418" s="16" t="s">
        <v>68</v>
      </c>
      <c r="B1418" s="16" t="s">
        <v>171</v>
      </c>
      <c r="C1418" s="15">
        <v>12</v>
      </c>
      <c r="D1418" s="17">
        <v>271638</v>
      </c>
      <c r="E1418" s="17">
        <v>0</v>
      </c>
      <c r="F1418" s="17">
        <v>-271638</v>
      </c>
      <c r="G1418" s="18">
        <v>0</v>
      </c>
      <c r="H1418" s="10" t="str">
        <f t="shared" si="22"/>
        <v>GASTOS</v>
      </c>
      <c r="I1418" s="19">
        <v>2025</v>
      </c>
    </row>
    <row r="1419" spans="1:9" hidden="1" x14ac:dyDescent="0.3">
      <c r="A1419" s="16" t="s">
        <v>68</v>
      </c>
      <c r="B1419" s="16" t="s">
        <v>25</v>
      </c>
      <c r="C1419" s="15">
        <v>12</v>
      </c>
      <c r="D1419" s="17">
        <v>754584</v>
      </c>
      <c r="E1419" s="17">
        <v>754584</v>
      </c>
      <c r="F1419" s="17">
        <v>0</v>
      </c>
      <c r="G1419" s="18">
        <v>1</v>
      </c>
      <c r="H1419" s="10" t="str">
        <f t="shared" si="22"/>
        <v>GASTOS</v>
      </c>
      <c r="I1419" s="19">
        <v>2025</v>
      </c>
    </row>
    <row r="1420" spans="1:9" hidden="1" x14ac:dyDescent="0.3">
      <c r="A1420" s="16" t="s">
        <v>68</v>
      </c>
      <c r="B1420" s="16" t="s">
        <v>27</v>
      </c>
      <c r="C1420" s="15">
        <v>12</v>
      </c>
      <c r="D1420" s="17">
        <v>238827</v>
      </c>
      <c r="E1420" s="17">
        <v>343103</v>
      </c>
      <c r="F1420" s="17">
        <v>104276</v>
      </c>
      <c r="G1420" s="18">
        <v>1.4366173003889846</v>
      </c>
      <c r="H1420" s="10" t="str">
        <f t="shared" si="22"/>
        <v>GASTOS</v>
      </c>
      <c r="I1420" s="19">
        <v>2025</v>
      </c>
    </row>
    <row r="1421" spans="1:9" hidden="1" x14ac:dyDescent="0.3">
      <c r="A1421" s="16" t="s">
        <v>68</v>
      </c>
      <c r="B1421" s="16" t="s">
        <v>28</v>
      </c>
      <c r="C1421" s="15">
        <v>12</v>
      </c>
      <c r="D1421" s="17">
        <v>252935</v>
      </c>
      <c r="E1421" s="17">
        <v>36750</v>
      </c>
      <c r="F1421" s="17">
        <v>-216185</v>
      </c>
      <c r="G1421" s="18">
        <v>0.14529424555715895</v>
      </c>
      <c r="H1421" s="10" t="str">
        <f t="shared" si="22"/>
        <v>GASTOS</v>
      </c>
      <c r="I1421" s="19">
        <v>2025</v>
      </c>
    </row>
    <row r="1422" spans="1:9" hidden="1" x14ac:dyDescent="0.3">
      <c r="A1422" s="16" t="s">
        <v>68</v>
      </c>
      <c r="B1422" s="16" t="s">
        <v>52</v>
      </c>
      <c r="C1422" s="15">
        <v>12</v>
      </c>
      <c r="D1422" s="17">
        <v>320461</v>
      </c>
      <c r="E1422" s="17">
        <v>339990</v>
      </c>
      <c r="F1422" s="17">
        <v>19529</v>
      </c>
      <c r="G1422" s="18">
        <v>1.0609403328330125</v>
      </c>
      <c r="H1422" s="10" t="str">
        <f t="shared" si="22"/>
        <v>GASTOS</v>
      </c>
      <c r="I1422" s="19">
        <v>2025</v>
      </c>
    </row>
    <row r="1423" spans="1:9" hidden="1" x14ac:dyDescent="0.3">
      <c r="A1423" s="16" t="s">
        <v>68</v>
      </c>
      <c r="B1423" s="16" t="s">
        <v>29</v>
      </c>
      <c r="C1423" s="15">
        <v>12</v>
      </c>
      <c r="D1423" s="17">
        <v>93231</v>
      </c>
      <c r="E1423" s="17">
        <v>100300</v>
      </c>
      <c r="F1423" s="17">
        <v>7069</v>
      </c>
      <c r="G1423" s="18">
        <v>1.0758224195814696</v>
      </c>
      <c r="H1423" s="10" t="str">
        <f t="shared" si="22"/>
        <v>GASTOS</v>
      </c>
      <c r="I1423" s="19">
        <v>2025</v>
      </c>
    </row>
    <row r="1424" spans="1:9" hidden="1" x14ac:dyDescent="0.3">
      <c r="A1424" s="16" t="s">
        <v>110</v>
      </c>
      <c r="B1424" s="16" t="s">
        <v>54</v>
      </c>
      <c r="C1424" s="15">
        <v>5</v>
      </c>
      <c r="D1424" s="17">
        <v>3000000</v>
      </c>
      <c r="E1424" s="17">
        <v>0</v>
      </c>
      <c r="F1424" s="17">
        <v>-3000000</v>
      </c>
      <c r="G1424" s="18">
        <v>0</v>
      </c>
      <c r="H1424" s="10" t="str">
        <f t="shared" si="22"/>
        <v>COSTOS</v>
      </c>
      <c r="I1424" s="19">
        <v>2025</v>
      </c>
    </row>
    <row r="1425" spans="1:9" hidden="1" x14ac:dyDescent="0.3">
      <c r="A1425" s="16" t="s">
        <v>110</v>
      </c>
      <c r="B1425" s="16" t="s">
        <v>38</v>
      </c>
      <c r="C1425" s="15">
        <v>3</v>
      </c>
      <c r="D1425" s="17">
        <v>800000</v>
      </c>
      <c r="E1425" s="17">
        <v>0</v>
      </c>
      <c r="F1425" s="17">
        <v>-800000</v>
      </c>
      <c r="G1425" s="18">
        <v>0</v>
      </c>
      <c r="H1425" s="10" t="str">
        <f t="shared" si="22"/>
        <v>COSTOS</v>
      </c>
      <c r="I1425" s="19">
        <v>2025</v>
      </c>
    </row>
    <row r="1426" spans="1:9" hidden="1" x14ac:dyDescent="0.3">
      <c r="A1426" s="16" t="s">
        <v>110</v>
      </c>
      <c r="B1426" s="16" t="s">
        <v>38</v>
      </c>
      <c r="C1426" s="15">
        <v>6</v>
      </c>
      <c r="D1426" s="17">
        <v>800000</v>
      </c>
      <c r="E1426" s="17">
        <v>0</v>
      </c>
      <c r="F1426" s="17">
        <v>-800000</v>
      </c>
      <c r="G1426" s="18">
        <v>0</v>
      </c>
      <c r="H1426" s="10" t="str">
        <f t="shared" si="22"/>
        <v>COSTOS</v>
      </c>
      <c r="I1426" s="19">
        <v>2025</v>
      </c>
    </row>
    <row r="1427" spans="1:9" hidden="1" x14ac:dyDescent="0.3">
      <c r="A1427" s="16" t="s">
        <v>110</v>
      </c>
      <c r="B1427" s="16" t="s">
        <v>38</v>
      </c>
      <c r="C1427" s="15">
        <v>9</v>
      </c>
      <c r="D1427" s="17">
        <v>800000</v>
      </c>
      <c r="E1427" s="17">
        <v>0</v>
      </c>
      <c r="F1427" s="17">
        <v>-800000</v>
      </c>
      <c r="G1427" s="18">
        <v>0</v>
      </c>
      <c r="H1427" s="10" t="str">
        <f t="shared" si="22"/>
        <v>COSTOS</v>
      </c>
      <c r="I1427" s="19">
        <v>2025</v>
      </c>
    </row>
    <row r="1428" spans="1:9" hidden="1" x14ac:dyDescent="0.3">
      <c r="A1428" s="16" t="s">
        <v>110</v>
      </c>
      <c r="B1428" s="16" t="s">
        <v>38</v>
      </c>
      <c r="C1428" s="15">
        <v>12</v>
      </c>
      <c r="D1428" s="17">
        <v>800000</v>
      </c>
      <c r="E1428" s="17">
        <v>0</v>
      </c>
      <c r="F1428" s="17">
        <v>-800000</v>
      </c>
      <c r="G1428" s="18">
        <v>0</v>
      </c>
      <c r="H1428" s="10" t="str">
        <f t="shared" si="22"/>
        <v>COSTOS</v>
      </c>
      <c r="I1428" s="19">
        <v>2025</v>
      </c>
    </row>
    <row r="1429" spans="1:9" hidden="1" x14ac:dyDescent="0.3">
      <c r="A1429" s="16" t="s">
        <v>111</v>
      </c>
      <c r="B1429" s="16" t="s">
        <v>14</v>
      </c>
      <c r="C1429" s="15">
        <v>2</v>
      </c>
      <c r="D1429" s="17">
        <v>2500000</v>
      </c>
      <c r="E1429" s="17">
        <v>2624575</v>
      </c>
      <c r="F1429" s="17">
        <v>124575</v>
      </c>
      <c r="G1429" s="18">
        <v>1.04983</v>
      </c>
      <c r="H1429" s="10" t="str">
        <f t="shared" si="22"/>
        <v>COSTOS</v>
      </c>
      <c r="I1429" s="19">
        <v>2025</v>
      </c>
    </row>
    <row r="1430" spans="1:9" hidden="1" x14ac:dyDescent="0.3">
      <c r="A1430" s="16" t="s">
        <v>111</v>
      </c>
      <c r="B1430" s="16" t="s">
        <v>14</v>
      </c>
      <c r="C1430" s="15">
        <v>10</v>
      </c>
      <c r="D1430" s="17">
        <v>2500000</v>
      </c>
      <c r="E1430" s="17">
        <v>0</v>
      </c>
      <c r="F1430" s="17">
        <v>-2500000</v>
      </c>
      <c r="G1430" s="18">
        <v>0</v>
      </c>
      <c r="H1430" s="10" t="str">
        <f t="shared" si="22"/>
        <v>COSTOS</v>
      </c>
      <c r="I1430" s="19">
        <v>2025</v>
      </c>
    </row>
    <row r="1431" spans="1:9" hidden="1" x14ac:dyDescent="0.3">
      <c r="A1431" s="16" t="s">
        <v>111</v>
      </c>
      <c r="B1431" s="16" t="s">
        <v>22</v>
      </c>
      <c r="C1431" s="15">
        <v>5</v>
      </c>
      <c r="D1431" s="17">
        <v>0</v>
      </c>
      <c r="E1431" s="17">
        <v>70000</v>
      </c>
      <c r="F1431" s="17">
        <v>70000</v>
      </c>
      <c r="G1431" s="18">
        <v>0</v>
      </c>
      <c r="H1431" s="10" t="str">
        <f t="shared" si="22"/>
        <v>COSTOS</v>
      </c>
      <c r="I1431" s="19">
        <v>2025</v>
      </c>
    </row>
    <row r="1432" spans="1:9" hidden="1" x14ac:dyDescent="0.3">
      <c r="A1432" s="16" t="s">
        <v>111</v>
      </c>
      <c r="B1432" s="16" t="s">
        <v>39</v>
      </c>
      <c r="C1432" s="15">
        <v>5</v>
      </c>
      <c r="D1432" s="17">
        <v>150000</v>
      </c>
      <c r="E1432" s="17">
        <v>0</v>
      </c>
      <c r="F1432" s="17">
        <v>-150000</v>
      </c>
      <c r="G1432" s="18">
        <v>0</v>
      </c>
      <c r="H1432" s="10" t="str">
        <f t="shared" si="22"/>
        <v>COSTOS</v>
      </c>
      <c r="I1432" s="19">
        <v>2025</v>
      </c>
    </row>
    <row r="1433" spans="1:9" hidden="1" x14ac:dyDescent="0.3">
      <c r="A1433" s="16" t="s">
        <v>111</v>
      </c>
      <c r="B1433" s="16" t="s">
        <v>39</v>
      </c>
      <c r="C1433" s="15">
        <v>6</v>
      </c>
      <c r="D1433" s="17">
        <v>150000</v>
      </c>
      <c r="E1433" s="17">
        <v>0</v>
      </c>
      <c r="F1433" s="17">
        <v>-150000</v>
      </c>
      <c r="G1433" s="18">
        <v>0</v>
      </c>
      <c r="H1433" s="10" t="str">
        <f t="shared" si="22"/>
        <v>COSTOS</v>
      </c>
      <c r="I1433" s="19">
        <v>2025</v>
      </c>
    </row>
    <row r="1434" spans="1:9" hidden="1" x14ac:dyDescent="0.3">
      <c r="A1434" s="16" t="s">
        <v>111</v>
      </c>
      <c r="B1434" s="16" t="s">
        <v>39</v>
      </c>
      <c r="C1434" s="15">
        <v>7</v>
      </c>
      <c r="D1434" s="17">
        <v>150000</v>
      </c>
      <c r="E1434" s="17">
        <v>0</v>
      </c>
      <c r="F1434" s="17">
        <v>-150000</v>
      </c>
      <c r="G1434" s="18">
        <v>0</v>
      </c>
      <c r="H1434" s="10" t="str">
        <f t="shared" si="22"/>
        <v>COSTOS</v>
      </c>
      <c r="I1434" s="19">
        <v>2025</v>
      </c>
    </row>
    <row r="1435" spans="1:9" hidden="1" x14ac:dyDescent="0.3">
      <c r="A1435" s="16" t="s">
        <v>111</v>
      </c>
      <c r="B1435" s="16" t="s">
        <v>39</v>
      </c>
      <c r="C1435" s="15">
        <v>8</v>
      </c>
      <c r="D1435" s="17">
        <v>150000</v>
      </c>
      <c r="E1435" s="17">
        <v>0</v>
      </c>
      <c r="F1435" s="17">
        <v>-150000</v>
      </c>
      <c r="G1435" s="18">
        <v>0</v>
      </c>
      <c r="H1435" s="10" t="str">
        <f t="shared" si="22"/>
        <v>COSTOS</v>
      </c>
      <c r="I1435" s="19">
        <v>2025</v>
      </c>
    </row>
    <row r="1436" spans="1:9" hidden="1" x14ac:dyDescent="0.3">
      <c r="A1436" s="16" t="s">
        <v>111</v>
      </c>
      <c r="B1436" s="16" t="s">
        <v>39</v>
      </c>
      <c r="C1436" s="15">
        <v>9</v>
      </c>
      <c r="D1436" s="17">
        <v>216667</v>
      </c>
      <c r="E1436" s="17">
        <v>0</v>
      </c>
      <c r="F1436" s="17">
        <v>-216667</v>
      </c>
      <c r="G1436" s="18">
        <v>0</v>
      </c>
      <c r="H1436" s="10" t="str">
        <f t="shared" si="22"/>
        <v>COSTOS</v>
      </c>
      <c r="I1436" s="19">
        <v>2025</v>
      </c>
    </row>
    <row r="1437" spans="1:9" hidden="1" x14ac:dyDescent="0.3">
      <c r="A1437" s="16" t="s">
        <v>111</v>
      </c>
      <c r="B1437" s="16" t="s">
        <v>39</v>
      </c>
      <c r="C1437" s="15">
        <v>10</v>
      </c>
      <c r="D1437" s="17">
        <v>216667</v>
      </c>
      <c r="E1437" s="17">
        <v>0</v>
      </c>
      <c r="F1437" s="17">
        <v>-216667</v>
      </c>
      <c r="G1437" s="18">
        <v>0</v>
      </c>
      <c r="H1437" s="10" t="str">
        <f t="shared" si="22"/>
        <v>COSTOS</v>
      </c>
      <c r="I1437" s="19">
        <v>2025</v>
      </c>
    </row>
    <row r="1438" spans="1:9" hidden="1" x14ac:dyDescent="0.3">
      <c r="A1438" s="16" t="s">
        <v>111</v>
      </c>
      <c r="B1438" s="16" t="s">
        <v>39</v>
      </c>
      <c r="C1438" s="15">
        <v>11</v>
      </c>
      <c r="D1438" s="17">
        <v>216667</v>
      </c>
      <c r="E1438" s="17">
        <v>0</v>
      </c>
      <c r="F1438" s="17">
        <v>-216667</v>
      </c>
      <c r="G1438" s="18">
        <v>0</v>
      </c>
      <c r="H1438" s="10" t="str">
        <f t="shared" si="22"/>
        <v>COSTOS</v>
      </c>
      <c r="I1438" s="19">
        <v>2025</v>
      </c>
    </row>
    <row r="1439" spans="1:9" hidden="1" x14ac:dyDescent="0.3">
      <c r="A1439" s="16" t="s">
        <v>111</v>
      </c>
      <c r="B1439" s="16" t="s">
        <v>39</v>
      </c>
      <c r="C1439" s="15">
        <v>12</v>
      </c>
      <c r="D1439" s="17">
        <v>216667</v>
      </c>
      <c r="E1439" s="17">
        <v>0</v>
      </c>
      <c r="F1439" s="17">
        <v>-216667</v>
      </c>
      <c r="G1439" s="18">
        <v>0</v>
      </c>
      <c r="H1439" s="10" t="str">
        <f t="shared" si="22"/>
        <v>COSTOS</v>
      </c>
      <c r="I1439" s="19">
        <v>2025</v>
      </c>
    </row>
    <row r="1440" spans="1:9" hidden="1" x14ac:dyDescent="0.3">
      <c r="A1440" s="16" t="s">
        <v>112</v>
      </c>
      <c r="B1440" s="16" t="s">
        <v>38</v>
      </c>
      <c r="C1440" s="15">
        <v>3</v>
      </c>
      <c r="D1440" s="17">
        <v>6866528</v>
      </c>
      <c r="E1440" s="17">
        <v>6866528</v>
      </c>
      <c r="F1440" s="17">
        <v>0</v>
      </c>
      <c r="G1440" s="18">
        <v>1</v>
      </c>
      <c r="H1440" s="10" t="str">
        <f t="shared" si="22"/>
        <v>COSTOS</v>
      </c>
      <c r="I1440" s="19">
        <v>2025</v>
      </c>
    </row>
    <row r="1441" spans="1:9" hidden="1" x14ac:dyDescent="0.3">
      <c r="A1441" s="16" t="s">
        <v>112</v>
      </c>
      <c r="B1441" s="16" t="s">
        <v>39</v>
      </c>
      <c r="C1441" s="15">
        <v>9</v>
      </c>
      <c r="D1441" s="17">
        <v>108333</v>
      </c>
      <c r="E1441" s="17">
        <v>0</v>
      </c>
      <c r="F1441" s="17">
        <v>-108333</v>
      </c>
      <c r="G1441" s="18">
        <v>0</v>
      </c>
      <c r="H1441" s="10" t="str">
        <f t="shared" si="22"/>
        <v>COSTOS</v>
      </c>
      <c r="I1441" s="19">
        <v>2025</v>
      </c>
    </row>
    <row r="1442" spans="1:9" hidden="1" x14ac:dyDescent="0.3">
      <c r="A1442" s="16" t="s">
        <v>112</v>
      </c>
      <c r="B1442" s="16" t="s">
        <v>39</v>
      </c>
      <c r="C1442" s="15">
        <v>10</v>
      </c>
      <c r="D1442" s="17">
        <v>108333</v>
      </c>
      <c r="E1442" s="17">
        <v>0</v>
      </c>
      <c r="F1442" s="17">
        <v>-108333</v>
      </c>
      <c r="G1442" s="18">
        <v>0</v>
      </c>
      <c r="H1442" s="10" t="str">
        <f t="shared" si="22"/>
        <v>COSTOS</v>
      </c>
      <c r="I1442" s="19">
        <v>2025</v>
      </c>
    </row>
    <row r="1443" spans="1:9" hidden="1" x14ac:dyDescent="0.3">
      <c r="A1443" s="16" t="s">
        <v>112</v>
      </c>
      <c r="B1443" s="16" t="s">
        <v>38</v>
      </c>
      <c r="C1443" s="15">
        <v>11</v>
      </c>
      <c r="D1443" s="17">
        <v>0</v>
      </c>
      <c r="E1443" s="17">
        <v>4288592</v>
      </c>
      <c r="F1443" s="17">
        <v>4288592</v>
      </c>
      <c r="G1443" s="18">
        <v>0</v>
      </c>
      <c r="H1443" s="10" t="str">
        <f t="shared" si="22"/>
        <v>COSTOS</v>
      </c>
      <c r="I1443" s="19">
        <v>2025</v>
      </c>
    </row>
    <row r="1444" spans="1:9" hidden="1" x14ac:dyDescent="0.3">
      <c r="A1444" s="16" t="s">
        <v>112</v>
      </c>
      <c r="B1444" s="16" t="s">
        <v>39</v>
      </c>
      <c r="C1444" s="15">
        <v>11</v>
      </c>
      <c r="D1444" s="17">
        <v>108333</v>
      </c>
      <c r="E1444" s="17">
        <v>0</v>
      </c>
      <c r="F1444" s="17">
        <v>-108333</v>
      </c>
      <c r="G1444" s="18">
        <v>0</v>
      </c>
      <c r="H1444" s="10" t="str">
        <f t="shared" si="22"/>
        <v>COSTOS</v>
      </c>
      <c r="I1444" s="19">
        <v>2025</v>
      </c>
    </row>
    <row r="1445" spans="1:9" hidden="1" x14ac:dyDescent="0.3">
      <c r="A1445" s="16" t="s">
        <v>112</v>
      </c>
      <c r="B1445" s="16" t="s">
        <v>39</v>
      </c>
      <c r="C1445" s="15">
        <v>12</v>
      </c>
      <c r="D1445" s="17">
        <v>108333</v>
      </c>
      <c r="E1445" s="17">
        <v>0</v>
      </c>
      <c r="F1445" s="17">
        <v>-108333</v>
      </c>
      <c r="G1445" s="18">
        <v>0</v>
      </c>
      <c r="H1445" s="10" t="str">
        <f t="shared" si="22"/>
        <v>COSTOS</v>
      </c>
      <c r="I1445" s="19">
        <v>2025</v>
      </c>
    </row>
    <row r="1446" spans="1:9" hidden="1" x14ac:dyDescent="0.3">
      <c r="A1446" s="16" t="s">
        <v>113</v>
      </c>
      <c r="B1446" s="16" t="s">
        <v>14</v>
      </c>
      <c r="C1446" s="15">
        <v>2</v>
      </c>
      <c r="D1446" s="17">
        <v>0</v>
      </c>
      <c r="E1446" s="17">
        <v>12000</v>
      </c>
      <c r="F1446" s="17">
        <v>12000</v>
      </c>
      <c r="G1446" s="18">
        <v>0</v>
      </c>
      <c r="H1446" s="10" t="str">
        <f t="shared" si="22"/>
        <v>COSTOS</v>
      </c>
      <c r="I1446" s="19">
        <v>2025</v>
      </c>
    </row>
    <row r="1447" spans="1:9" hidden="1" x14ac:dyDescent="0.3">
      <c r="A1447" s="16" t="s">
        <v>113</v>
      </c>
      <c r="B1447" s="16" t="s">
        <v>14</v>
      </c>
      <c r="C1447" s="15">
        <v>3</v>
      </c>
      <c r="D1447" s="17">
        <v>46844.9</v>
      </c>
      <c r="E1447" s="17">
        <v>0</v>
      </c>
      <c r="F1447" s="17">
        <v>-46844.9</v>
      </c>
      <c r="G1447" s="18">
        <v>0</v>
      </c>
      <c r="H1447" s="10" t="str">
        <f t="shared" si="22"/>
        <v>COSTOS</v>
      </c>
      <c r="I1447" s="19">
        <v>2025</v>
      </c>
    </row>
    <row r="1448" spans="1:9" hidden="1" x14ac:dyDescent="0.3">
      <c r="A1448" s="16" t="s">
        <v>113</v>
      </c>
      <c r="B1448" s="16" t="s">
        <v>14</v>
      </c>
      <c r="C1448" s="15">
        <v>4</v>
      </c>
      <c r="D1448" s="17">
        <v>22844.9</v>
      </c>
      <c r="E1448" s="17">
        <v>0</v>
      </c>
      <c r="F1448" s="17">
        <v>-22844.9</v>
      </c>
      <c r="G1448" s="18">
        <v>0</v>
      </c>
      <c r="H1448" s="10" t="str">
        <f t="shared" si="22"/>
        <v>COSTOS</v>
      </c>
      <c r="I1448" s="19">
        <v>2025</v>
      </c>
    </row>
    <row r="1449" spans="1:9" hidden="1" x14ac:dyDescent="0.3">
      <c r="A1449" s="16" t="s">
        <v>113</v>
      </c>
      <c r="B1449" s="16" t="s">
        <v>14</v>
      </c>
      <c r="C1449" s="15">
        <v>5</v>
      </c>
      <c r="D1449" s="17">
        <v>22844.9</v>
      </c>
      <c r="E1449" s="17">
        <v>0</v>
      </c>
      <c r="F1449" s="17">
        <v>-22844.9</v>
      </c>
      <c r="G1449" s="18">
        <v>0</v>
      </c>
      <c r="H1449" s="10" t="str">
        <f t="shared" si="22"/>
        <v>COSTOS</v>
      </c>
      <c r="I1449" s="19">
        <v>2025</v>
      </c>
    </row>
    <row r="1450" spans="1:9" hidden="1" x14ac:dyDescent="0.3">
      <c r="A1450" s="16" t="s">
        <v>113</v>
      </c>
      <c r="B1450" s="16" t="s">
        <v>14</v>
      </c>
      <c r="C1450" s="15">
        <v>6</v>
      </c>
      <c r="D1450" s="17">
        <v>46844.9</v>
      </c>
      <c r="E1450" s="17">
        <v>0</v>
      </c>
      <c r="F1450" s="17">
        <v>-46844.9</v>
      </c>
      <c r="G1450" s="18">
        <v>0</v>
      </c>
      <c r="H1450" s="10" t="str">
        <f t="shared" si="22"/>
        <v>COSTOS</v>
      </c>
      <c r="I1450" s="19">
        <v>2025</v>
      </c>
    </row>
    <row r="1451" spans="1:9" hidden="1" x14ac:dyDescent="0.3">
      <c r="A1451" s="16" t="s">
        <v>113</v>
      </c>
      <c r="B1451" s="16" t="s">
        <v>14</v>
      </c>
      <c r="C1451" s="15">
        <v>7</v>
      </c>
      <c r="D1451" s="17">
        <v>46844.9</v>
      </c>
      <c r="E1451" s="17">
        <v>0</v>
      </c>
      <c r="F1451" s="17">
        <v>-46844.9</v>
      </c>
      <c r="G1451" s="18">
        <v>0</v>
      </c>
      <c r="H1451" s="10" t="str">
        <f t="shared" si="22"/>
        <v>COSTOS</v>
      </c>
      <c r="I1451" s="19">
        <v>2025</v>
      </c>
    </row>
    <row r="1452" spans="1:9" hidden="1" x14ac:dyDescent="0.3">
      <c r="A1452" s="16" t="s">
        <v>113</v>
      </c>
      <c r="B1452" s="16" t="s">
        <v>14</v>
      </c>
      <c r="C1452" s="15">
        <v>8</v>
      </c>
      <c r="D1452" s="17">
        <v>22844.9</v>
      </c>
      <c r="E1452" s="17">
        <v>0</v>
      </c>
      <c r="F1452" s="17">
        <v>-22844.9</v>
      </c>
      <c r="G1452" s="18">
        <v>0</v>
      </c>
      <c r="H1452" s="10" t="str">
        <f t="shared" si="22"/>
        <v>COSTOS</v>
      </c>
      <c r="I1452" s="19">
        <v>2025</v>
      </c>
    </row>
    <row r="1453" spans="1:9" hidden="1" x14ac:dyDescent="0.3">
      <c r="A1453" s="16" t="s">
        <v>113</v>
      </c>
      <c r="B1453" s="16" t="s">
        <v>14</v>
      </c>
      <c r="C1453" s="15">
        <v>9</v>
      </c>
      <c r="D1453" s="17">
        <v>46844.9</v>
      </c>
      <c r="E1453" s="17">
        <v>0</v>
      </c>
      <c r="F1453" s="17">
        <v>-46844.9</v>
      </c>
      <c r="G1453" s="18">
        <v>0</v>
      </c>
      <c r="H1453" s="10" t="str">
        <f t="shared" si="22"/>
        <v>COSTOS</v>
      </c>
      <c r="I1453" s="19">
        <v>2025</v>
      </c>
    </row>
    <row r="1454" spans="1:9" hidden="1" x14ac:dyDescent="0.3">
      <c r="A1454" s="16" t="s">
        <v>113</v>
      </c>
      <c r="B1454" s="16" t="s">
        <v>14</v>
      </c>
      <c r="C1454" s="15">
        <v>10</v>
      </c>
      <c r="D1454" s="17">
        <v>46844.9</v>
      </c>
      <c r="E1454" s="17">
        <v>0</v>
      </c>
      <c r="F1454" s="17">
        <v>-46844.9</v>
      </c>
      <c r="G1454" s="18">
        <v>0</v>
      </c>
      <c r="H1454" s="10" t="str">
        <f t="shared" si="22"/>
        <v>COSTOS</v>
      </c>
      <c r="I1454" s="19">
        <v>2025</v>
      </c>
    </row>
    <row r="1455" spans="1:9" hidden="1" x14ac:dyDescent="0.3">
      <c r="A1455" s="16" t="s">
        <v>113</v>
      </c>
      <c r="B1455" s="16" t="s">
        <v>16</v>
      </c>
      <c r="C1455" s="15">
        <v>1</v>
      </c>
      <c r="D1455" s="17">
        <v>20000</v>
      </c>
      <c r="E1455" s="17">
        <v>10000</v>
      </c>
      <c r="F1455" s="17">
        <v>-10000</v>
      </c>
      <c r="G1455" s="18">
        <v>0.5</v>
      </c>
      <c r="H1455" s="10" t="str">
        <f t="shared" si="22"/>
        <v>COSTOS</v>
      </c>
      <c r="I1455" s="19">
        <v>2025</v>
      </c>
    </row>
    <row r="1456" spans="1:9" hidden="1" x14ac:dyDescent="0.3">
      <c r="A1456" s="16" t="s">
        <v>113</v>
      </c>
      <c r="B1456" s="16" t="s">
        <v>16</v>
      </c>
      <c r="C1456" s="15">
        <v>2</v>
      </c>
      <c r="D1456" s="17">
        <v>20000</v>
      </c>
      <c r="E1456" s="17">
        <v>0</v>
      </c>
      <c r="F1456" s="17">
        <v>-20000</v>
      </c>
      <c r="G1456" s="18">
        <v>0</v>
      </c>
      <c r="H1456" s="10" t="str">
        <f t="shared" si="22"/>
        <v>COSTOS</v>
      </c>
      <c r="I1456" s="19">
        <v>2025</v>
      </c>
    </row>
    <row r="1457" spans="1:9" hidden="1" x14ac:dyDescent="0.3">
      <c r="A1457" s="16" t="s">
        <v>113</v>
      </c>
      <c r="B1457" s="16" t="s">
        <v>16</v>
      </c>
      <c r="C1457" s="15">
        <v>3</v>
      </c>
      <c r="D1457" s="17">
        <v>20000</v>
      </c>
      <c r="E1457" s="17">
        <v>70000</v>
      </c>
      <c r="F1457" s="17">
        <v>50000</v>
      </c>
      <c r="G1457" s="18">
        <v>3.5</v>
      </c>
      <c r="H1457" s="10" t="str">
        <f t="shared" si="22"/>
        <v>COSTOS</v>
      </c>
      <c r="I1457" s="19">
        <v>2025</v>
      </c>
    </row>
    <row r="1458" spans="1:9" hidden="1" x14ac:dyDescent="0.3">
      <c r="A1458" s="16" t="s">
        <v>113</v>
      </c>
      <c r="B1458" s="16" t="s">
        <v>16</v>
      </c>
      <c r="C1458" s="15">
        <v>4</v>
      </c>
      <c r="D1458" s="17">
        <v>20000</v>
      </c>
      <c r="E1458" s="17">
        <v>10000</v>
      </c>
      <c r="F1458" s="17">
        <v>-10000</v>
      </c>
      <c r="G1458" s="18">
        <v>0.5</v>
      </c>
      <c r="H1458" s="10" t="str">
        <f t="shared" si="22"/>
        <v>COSTOS</v>
      </c>
      <c r="I1458" s="19">
        <v>2025</v>
      </c>
    </row>
    <row r="1459" spans="1:9" hidden="1" x14ac:dyDescent="0.3">
      <c r="A1459" s="16" t="s">
        <v>113</v>
      </c>
      <c r="B1459" s="16" t="s">
        <v>16</v>
      </c>
      <c r="C1459" s="15">
        <v>5</v>
      </c>
      <c r="D1459" s="17">
        <v>20000</v>
      </c>
      <c r="E1459" s="17">
        <v>30000</v>
      </c>
      <c r="F1459" s="17">
        <v>10000</v>
      </c>
      <c r="G1459" s="18">
        <v>1.5</v>
      </c>
      <c r="H1459" s="10" t="str">
        <f t="shared" si="22"/>
        <v>COSTOS</v>
      </c>
      <c r="I1459" s="19">
        <v>2025</v>
      </c>
    </row>
    <row r="1460" spans="1:9" hidden="1" x14ac:dyDescent="0.3">
      <c r="A1460" s="16" t="s">
        <v>113</v>
      </c>
      <c r="B1460" s="16" t="s">
        <v>16</v>
      </c>
      <c r="C1460" s="15">
        <v>6</v>
      </c>
      <c r="D1460" s="17">
        <v>20000</v>
      </c>
      <c r="E1460" s="17">
        <v>0</v>
      </c>
      <c r="F1460" s="17">
        <v>-20000</v>
      </c>
      <c r="G1460" s="18">
        <v>0</v>
      </c>
      <c r="H1460" s="10" t="str">
        <f t="shared" si="22"/>
        <v>COSTOS</v>
      </c>
      <c r="I1460" s="19">
        <v>2025</v>
      </c>
    </row>
    <row r="1461" spans="1:9" hidden="1" x14ac:dyDescent="0.3">
      <c r="A1461" s="16" t="s">
        <v>113</v>
      </c>
      <c r="B1461" s="16" t="s">
        <v>16</v>
      </c>
      <c r="C1461" s="15">
        <v>7</v>
      </c>
      <c r="D1461" s="17">
        <v>20000</v>
      </c>
      <c r="E1461" s="17">
        <v>40000</v>
      </c>
      <c r="F1461" s="17">
        <v>20000</v>
      </c>
      <c r="G1461" s="18">
        <v>2</v>
      </c>
      <c r="H1461" s="10" t="str">
        <f t="shared" si="22"/>
        <v>COSTOS</v>
      </c>
      <c r="I1461" s="19">
        <v>2025</v>
      </c>
    </row>
    <row r="1462" spans="1:9" hidden="1" x14ac:dyDescent="0.3">
      <c r="A1462" s="16" t="s">
        <v>113</v>
      </c>
      <c r="B1462" s="16" t="s">
        <v>16</v>
      </c>
      <c r="C1462" s="15">
        <v>8</v>
      </c>
      <c r="D1462" s="17">
        <v>20000</v>
      </c>
      <c r="E1462" s="17">
        <v>0</v>
      </c>
      <c r="F1462" s="17">
        <v>-20000</v>
      </c>
      <c r="G1462" s="18">
        <v>0</v>
      </c>
      <c r="H1462" s="10" t="str">
        <f t="shared" si="22"/>
        <v>COSTOS</v>
      </c>
      <c r="I1462" s="19">
        <v>2025</v>
      </c>
    </row>
    <row r="1463" spans="1:9" hidden="1" x14ac:dyDescent="0.3">
      <c r="A1463" s="16" t="s">
        <v>113</v>
      </c>
      <c r="B1463" s="16" t="s">
        <v>16</v>
      </c>
      <c r="C1463" s="15">
        <v>9</v>
      </c>
      <c r="D1463" s="17">
        <v>20000</v>
      </c>
      <c r="E1463" s="17">
        <v>0</v>
      </c>
      <c r="F1463" s="17">
        <v>-20000</v>
      </c>
      <c r="G1463" s="18">
        <v>0</v>
      </c>
      <c r="H1463" s="10" t="str">
        <f t="shared" si="22"/>
        <v>COSTOS</v>
      </c>
      <c r="I1463" s="19">
        <v>2025</v>
      </c>
    </row>
    <row r="1464" spans="1:9" hidden="1" x14ac:dyDescent="0.3">
      <c r="A1464" s="16" t="s">
        <v>113</v>
      </c>
      <c r="B1464" s="16" t="s">
        <v>16</v>
      </c>
      <c r="C1464" s="15">
        <v>10</v>
      </c>
      <c r="D1464" s="17">
        <v>20000</v>
      </c>
      <c r="E1464" s="17">
        <v>0</v>
      </c>
      <c r="F1464" s="17">
        <v>-20000</v>
      </c>
      <c r="G1464" s="18">
        <v>0</v>
      </c>
      <c r="H1464" s="10" t="str">
        <f t="shared" si="22"/>
        <v>COSTOS</v>
      </c>
      <c r="I1464" s="19">
        <v>2025</v>
      </c>
    </row>
    <row r="1465" spans="1:9" hidden="1" x14ac:dyDescent="0.3">
      <c r="A1465" s="16" t="s">
        <v>113</v>
      </c>
      <c r="B1465" s="16" t="s">
        <v>94</v>
      </c>
      <c r="C1465" s="15">
        <v>1</v>
      </c>
      <c r="D1465" s="17">
        <v>188152</v>
      </c>
      <c r="E1465" s="17">
        <v>99958</v>
      </c>
      <c r="F1465" s="17">
        <v>-88194</v>
      </c>
      <c r="G1465" s="18">
        <v>0.5312619584165994</v>
      </c>
      <c r="H1465" s="10" t="str">
        <f t="shared" si="22"/>
        <v>COSTOS</v>
      </c>
      <c r="I1465" s="19">
        <v>2025</v>
      </c>
    </row>
    <row r="1466" spans="1:9" hidden="1" x14ac:dyDescent="0.3">
      <c r="A1466" s="16" t="s">
        <v>113</v>
      </c>
      <c r="B1466" s="16" t="s">
        <v>94</v>
      </c>
      <c r="C1466" s="15">
        <v>2</v>
      </c>
      <c r="D1466" s="17">
        <v>93460</v>
      </c>
      <c r="E1466" s="17">
        <v>95263</v>
      </c>
      <c r="F1466" s="17">
        <v>1803</v>
      </c>
      <c r="G1466" s="18">
        <v>1.0192916755831372</v>
      </c>
      <c r="H1466" s="10" t="str">
        <f t="shared" si="22"/>
        <v>COSTOS</v>
      </c>
      <c r="I1466" s="19">
        <v>2025</v>
      </c>
    </row>
    <row r="1467" spans="1:9" hidden="1" x14ac:dyDescent="0.3">
      <c r="A1467" s="16" t="s">
        <v>113</v>
      </c>
      <c r="B1467" s="16" t="s">
        <v>94</v>
      </c>
      <c r="C1467" s="15">
        <v>3</v>
      </c>
      <c r="D1467" s="17">
        <v>93511</v>
      </c>
      <c r="E1467" s="17">
        <v>119863</v>
      </c>
      <c r="F1467" s="17">
        <v>26352</v>
      </c>
      <c r="G1467" s="18">
        <v>1.2818064184962197</v>
      </c>
      <c r="H1467" s="10" t="str">
        <f t="shared" si="22"/>
        <v>COSTOS</v>
      </c>
      <c r="I1467" s="19">
        <v>2025</v>
      </c>
    </row>
    <row r="1468" spans="1:9" hidden="1" x14ac:dyDescent="0.3">
      <c r="A1468" s="16" t="s">
        <v>113</v>
      </c>
      <c r="B1468" s="16" t="s">
        <v>94</v>
      </c>
      <c r="C1468" s="15">
        <v>4</v>
      </c>
      <c r="D1468" s="17">
        <v>93277</v>
      </c>
      <c r="E1468" s="17">
        <v>102024</v>
      </c>
      <c r="F1468" s="17">
        <v>8747</v>
      </c>
      <c r="G1468" s="18">
        <v>1.0937744567256666</v>
      </c>
      <c r="H1468" s="10" t="str">
        <f t="shared" si="22"/>
        <v>COSTOS</v>
      </c>
      <c r="I1468" s="19">
        <v>2025</v>
      </c>
    </row>
    <row r="1469" spans="1:9" hidden="1" x14ac:dyDescent="0.3">
      <c r="A1469" s="16" t="s">
        <v>113</v>
      </c>
      <c r="B1469" s="16" t="s">
        <v>94</v>
      </c>
      <c r="C1469" s="15">
        <v>5</v>
      </c>
      <c r="D1469" s="17">
        <v>92613</v>
      </c>
      <c r="E1469" s="17">
        <v>182794</v>
      </c>
      <c r="F1469" s="17">
        <v>90181</v>
      </c>
      <c r="G1469" s="18">
        <v>1.973740187662639</v>
      </c>
      <c r="H1469" s="10" t="str">
        <f t="shared" si="22"/>
        <v>COSTOS</v>
      </c>
      <c r="I1469" s="19">
        <v>2025</v>
      </c>
    </row>
    <row r="1470" spans="1:9" hidden="1" x14ac:dyDescent="0.3">
      <c r="A1470" s="16" t="s">
        <v>113</v>
      </c>
      <c r="B1470" s="16" t="s">
        <v>94</v>
      </c>
      <c r="C1470" s="15">
        <v>6</v>
      </c>
      <c r="D1470" s="17">
        <v>91897</v>
      </c>
      <c r="E1470" s="17">
        <v>308643</v>
      </c>
      <c r="F1470" s="17">
        <v>216746</v>
      </c>
      <c r="G1470" s="18">
        <v>3.3585753615460789</v>
      </c>
      <c r="H1470" s="10" t="str">
        <f t="shared" si="22"/>
        <v>COSTOS</v>
      </c>
      <c r="I1470" s="19">
        <v>2025</v>
      </c>
    </row>
    <row r="1471" spans="1:9" hidden="1" x14ac:dyDescent="0.3">
      <c r="A1471" s="16" t="s">
        <v>113</v>
      </c>
      <c r="B1471" s="16" t="s">
        <v>94</v>
      </c>
      <c r="C1471" s="15">
        <v>7</v>
      </c>
      <c r="D1471" s="17">
        <v>98410</v>
      </c>
      <c r="E1471" s="17">
        <v>99406</v>
      </c>
      <c r="F1471" s="17">
        <v>996</v>
      </c>
      <c r="G1471" s="18">
        <v>1.0101209226704604</v>
      </c>
      <c r="H1471" s="10" t="str">
        <f t="shared" si="22"/>
        <v>COSTOS</v>
      </c>
      <c r="I1471" s="19">
        <v>2025</v>
      </c>
    </row>
    <row r="1472" spans="1:9" hidden="1" x14ac:dyDescent="0.3">
      <c r="A1472" s="16" t="s">
        <v>113</v>
      </c>
      <c r="B1472" s="16" t="s">
        <v>94</v>
      </c>
      <c r="C1472" s="15">
        <v>8</v>
      </c>
      <c r="D1472" s="17">
        <v>100335</v>
      </c>
      <c r="E1472" s="17">
        <v>100362</v>
      </c>
      <c r="F1472" s="17">
        <v>27</v>
      </c>
      <c r="G1472" s="18">
        <v>1.0002690985199583</v>
      </c>
      <c r="H1472" s="10" t="str">
        <f t="shared" si="22"/>
        <v>COSTOS</v>
      </c>
      <c r="I1472" s="19">
        <v>2025</v>
      </c>
    </row>
    <row r="1473" spans="1:9" hidden="1" x14ac:dyDescent="0.3">
      <c r="A1473" s="16" t="s">
        <v>113</v>
      </c>
      <c r="B1473" s="16" t="s">
        <v>94</v>
      </c>
      <c r="C1473" s="15">
        <v>9</v>
      </c>
      <c r="D1473" s="17">
        <v>106457</v>
      </c>
      <c r="E1473" s="17">
        <v>96738</v>
      </c>
      <c r="F1473" s="17">
        <v>-9719</v>
      </c>
      <c r="G1473" s="18">
        <v>0.90870492311449702</v>
      </c>
      <c r="H1473" s="10" t="str">
        <f t="shared" si="22"/>
        <v>COSTOS</v>
      </c>
      <c r="I1473" s="19">
        <v>2025</v>
      </c>
    </row>
    <row r="1474" spans="1:9" hidden="1" x14ac:dyDescent="0.3">
      <c r="A1474" s="16" t="s">
        <v>113</v>
      </c>
      <c r="B1474" s="16" t="s">
        <v>94</v>
      </c>
      <c r="C1474" s="15">
        <v>10</v>
      </c>
      <c r="D1474" s="17">
        <v>106457</v>
      </c>
      <c r="E1474" s="17">
        <v>96444</v>
      </c>
      <c r="F1474" s="17">
        <v>-10013</v>
      </c>
      <c r="G1474" s="18">
        <v>0.90594324469034448</v>
      </c>
      <c r="H1474" s="10" t="str">
        <f t="shared" si="22"/>
        <v>COSTOS</v>
      </c>
      <c r="I1474" s="19">
        <v>2025</v>
      </c>
    </row>
    <row r="1475" spans="1:9" hidden="1" x14ac:dyDescent="0.3">
      <c r="A1475" s="16" t="s">
        <v>113</v>
      </c>
      <c r="B1475" s="16" t="s">
        <v>27</v>
      </c>
      <c r="C1475" s="15">
        <v>1</v>
      </c>
      <c r="D1475" s="17">
        <v>105314</v>
      </c>
      <c r="E1475" s="17">
        <v>0</v>
      </c>
      <c r="F1475" s="17">
        <v>-105314</v>
      </c>
      <c r="G1475" s="18">
        <v>0</v>
      </c>
      <c r="H1475" s="10" t="str">
        <f t="shared" ref="H1475:H1538" si="23">+IF(OR(A1475="ADMINISTRACION",A1475="COMERCIAL",A1475="COMERCIAL-EXPORTACIONES",A1475="LEASING DE LA BODEGA",A1475="LOGISTICA-SALIDA",A1475="OTROS GASTOS",A1475="BODEGA ALQUILADA", A1475="BODEGA CARTOPLAST", A1475="BODEGA CARTOPLAS", A1475= "GESTION HUMANA-OTROS GASTOS"),"GASTOS","COSTOS")</f>
        <v>COSTOS</v>
      </c>
      <c r="I1475" s="19">
        <v>2025</v>
      </c>
    </row>
    <row r="1476" spans="1:9" hidden="1" x14ac:dyDescent="0.3">
      <c r="A1476" s="16" t="s">
        <v>113</v>
      </c>
      <c r="B1476" s="16" t="s">
        <v>27</v>
      </c>
      <c r="C1476" s="15">
        <v>2</v>
      </c>
      <c r="D1476" s="17">
        <v>107697</v>
      </c>
      <c r="E1476" s="17">
        <v>87798</v>
      </c>
      <c r="F1476" s="17">
        <v>-19899</v>
      </c>
      <c r="G1476" s="18">
        <v>0.8152316220507535</v>
      </c>
      <c r="H1476" s="10" t="str">
        <f t="shared" si="23"/>
        <v>COSTOS</v>
      </c>
      <c r="I1476" s="19">
        <v>2025</v>
      </c>
    </row>
    <row r="1477" spans="1:9" hidden="1" x14ac:dyDescent="0.3">
      <c r="A1477" s="16" t="s">
        <v>113</v>
      </c>
      <c r="B1477" s="16" t="s">
        <v>27</v>
      </c>
      <c r="C1477" s="15">
        <v>3</v>
      </c>
      <c r="D1477" s="17">
        <v>113366</v>
      </c>
      <c r="E1477" s="17">
        <v>85716</v>
      </c>
      <c r="F1477" s="17">
        <v>-27650</v>
      </c>
      <c r="G1477" s="18">
        <v>0.7560997124358273</v>
      </c>
      <c r="H1477" s="10" t="str">
        <f t="shared" si="23"/>
        <v>COSTOS</v>
      </c>
      <c r="I1477" s="19">
        <v>2025</v>
      </c>
    </row>
    <row r="1478" spans="1:9" hidden="1" x14ac:dyDescent="0.3">
      <c r="A1478" s="16" t="s">
        <v>113</v>
      </c>
      <c r="B1478" s="16" t="s">
        <v>27</v>
      </c>
      <c r="C1478" s="15">
        <v>4</v>
      </c>
      <c r="D1478" s="17">
        <v>120418</v>
      </c>
      <c r="E1478" s="17">
        <v>116631</v>
      </c>
      <c r="F1478" s="17">
        <v>-3787</v>
      </c>
      <c r="G1478" s="18">
        <v>0.96855121327376315</v>
      </c>
      <c r="H1478" s="10" t="str">
        <f t="shared" si="23"/>
        <v>COSTOS</v>
      </c>
      <c r="I1478" s="19">
        <v>2025</v>
      </c>
    </row>
    <row r="1479" spans="1:9" hidden="1" x14ac:dyDescent="0.3">
      <c r="A1479" s="16" t="s">
        <v>113</v>
      </c>
      <c r="B1479" s="16" t="s">
        <v>27</v>
      </c>
      <c r="C1479" s="15">
        <v>5</v>
      </c>
      <c r="D1479" s="17">
        <v>117377</v>
      </c>
      <c r="E1479" s="17">
        <v>133629</v>
      </c>
      <c r="F1479" s="17">
        <v>16252</v>
      </c>
      <c r="G1479" s="18">
        <v>1.1384598345502102</v>
      </c>
      <c r="H1479" s="10" t="str">
        <f t="shared" si="23"/>
        <v>COSTOS</v>
      </c>
      <c r="I1479" s="19">
        <v>2025</v>
      </c>
    </row>
    <row r="1480" spans="1:9" hidden="1" x14ac:dyDescent="0.3">
      <c r="A1480" s="16" t="s">
        <v>113</v>
      </c>
      <c r="B1480" s="16" t="s">
        <v>27</v>
      </c>
      <c r="C1480" s="15">
        <v>6</v>
      </c>
      <c r="D1480" s="17">
        <v>129488</v>
      </c>
      <c r="E1480" s="17">
        <v>137275</v>
      </c>
      <c r="F1480" s="17">
        <v>7787</v>
      </c>
      <c r="G1480" s="18">
        <v>1.0601368466576053</v>
      </c>
      <c r="H1480" s="10" t="str">
        <f t="shared" si="23"/>
        <v>COSTOS</v>
      </c>
      <c r="I1480" s="19">
        <v>2025</v>
      </c>
    </row>
    <row r="1481" spans="1:9" hidden="1" x14ac:dyDescent="0.3">
      <c r="A1481" s="16" t="s">
        <v>113</v>
      </c>
      <c r="B1481" s="16" t="s">
        <v>27</v>
      </c>
      <c r="C1481" s="15">
        <v>7</v>
      </c>
      <c r="D1481" s="17">
        <v>111471</v>
      </c>
      <c r="E1481" s="17">
        <v>145546</v>
      </c>
      <c r="F1481" s="17">
        <v>34075</v>
      </c>
      <c r="G1481" s="18">
        <v>1.3056848866521338</v>
      </c>
      <c r="H1481" s="10" t="str">
        <f t="shared" si="23"/>
        <v>COSTOS</v>
      </c>
      <c r="I1481" s="19">
        <v>2025</v>
      </c>
    </row>
    <row r="1482" spans="1:9" hidden="1" x14ac:dyDescent="0.3">
      <c r="A1482" s="16" t="s">
        <v>113</v>
      </c>
      <c r="B1482" s="16" t="s">
        <v>27</v>
      </c>
      <c r="C1482" s="15">
        <v>8</v>
      </c>
      <c r="D1482" s="17">
        <v>98876</v>
      </c>
      <c r="E1482" s="17">
        <v>128748</v>
      </c>
      <c r="F1482" s="17">
        <v>29872</v>
      </c>
      <c r="G1482" s="18">
        <v>1.302115781382742</v>
      </c>
      <c r="H1482" s="10" t="str">
        <f t="shared" si="23"/>
        <v>COSTOS</v>
      </c>
      <c r="I1482" s="19">
        <v>2025</v>
      </c>
    </row>
    <row r="1483" spans="1:9" hidden="1" x14ac:dyDescent="0.3">
      <c r="A1483" s="16" t="s">
        <v>113</v>
      </c>
      <c r="B1483" s="16" t="s">
        <v>27</v>
      </c>
      <c r="C1483" s="15">
        <v>9</v>
      </c>
      <c r="D1483" s="17">
        <v>113001</v>
      </c>
      <c r="E1483" s="17">
        <v>166388</v>
      </c>
      <c r="F1483" s="17">
        <v>53387</v>
      </c>
      <c r="G1483" s="18">
        <v>1.4724471464854294</v>
      </c>
      <c r="H1483" s="10" t="str">
        <f t="shared" si="23"/>
        <v>COSTOS</v>
      </c>
      <c r="I1483" s="19">
        <v>2025</v>
      </c>
    </row>
    <row r="1484" spans="1:9" hidden="1" x14ac:dyDescent="0.3">
      <c r="A1484" s="16" t="s">
        <v>113</v>
      </c>
      <c r="B1484" s="16" t="s">
        <v>27</v>
      </c>
      <c r="C1484" s="15">
        <v>10</v>
      </c>
      <c r="D1484" s="17">
        <v>113001</v>
      </c>
      <c r="E1484" s="17">
        <v>177367</v>
      </c>
      <c r="F1484" s="17">
        <v>64366</v>
      </c>
      <c r="G1484" s="18">
        <v>1.5696055787116929</v>
      </c>
      <c r="H1484" s="10" t="str">
        <f t="shared" si="23"/>
        <v>COSTOS</v>
      </c>
      <c r="I1484" s="19">
        <v>2025</v>
      </c>
    </row>
    <row r="1485" spans="1:9" hidden="1" x14ac:dyDescent="0.3">
      <c r="A1485" s="16" t="s">
        <v>113</v>
      </c>
      <c r="B1485" s="16" t="s">
        <v>28</v>
      </c>
      <c r="C1485" s="15">
        <v>1</v>
      </c>
      <c r="D1485" s="17">
        <v>167378</v>
      </c>
      <c r="E1485" s="17">
        <v>30151</v>
      </c>
      <c r="F1485" s="17">
        <v>-137227</v>
      </c>
      <c r="G1485" s="18">
        <v>0.18013717453906727</v>
      </c>
      <c r="H1485" s="10" t="str">
        <f t="shared" si="23"/>
        <v>COSTOS</v>
      </c>
      <c r="I1485" s="19">
        <v>2025</v>
      </c>
    </row>
    <row r="1486" spans="1:9" hidden="1" x14ac:dyDescent="0.3">
      <c r="A1486" s="16" t="s">
        <v>113</v>
      </c>
      <c r="B1486" s="16" t="s">
        <v>28</v>
      </c>
      <c r="C1486" s="15">
        <v>2</v>
      </c>
      <c r="D1486" s="17">
        <v>38194</v>
      </c>
      <c r="E1486" s="17">
        <v>34343</v>
      </c>
      <c r="F1486" s="17">
        <v>-3851</v>
      </c>
      <c r="G1486" s="18">
        <v>0.89917264491805005</v>
      </c>
      <c r="H1486" s="10" t="str">
        <f t="shared" si="23"/>
        <v>COSTOS</v>
      </c>
      <c r="I1486" s="19">
        <v>2025</v>
      </c>
    </row>
    <row r="1487" spans="1:9" hidden="1" x14ac:dyDescent="0.3">
      <c r="A1487" s="16" t="s">
        <v>113</v>
      </c>
      <c r="B1487" s="16" t="s">
        <v>28</v>
      </c>
      <c r="C1487" s="15">
        <v>3</v>
      </c>
      <c r="D1487" s="17">
        <v>78194</v>
      </c>
      <c r="E1487" s="17">
        <v>54820</v>
      </c>
      <c r="F1487" s="17">
        <v>-23374</v>
      </c>
      <c r="G1487" s="18">
        <v>0.70107680896232449</v>
      </c>
      <c r="H1487" s="10" t="str">
        <f t="shared" si="23"/>
        <v>COSTOS</v>
      </c>
      <c r="I1487" s="19">
        <v>2025</v>
      </c>
    </row>
    <row r="1488" spans="1:9" hidden="1" x14ac:dyDescent="0.3">
      <c r="A1488" s="16" t="s">
        <v>113</v>
      </c>
      <c r="B1488" s="16" t="s">
        <v>28</v>
      </c>
      <c r="C1488" s="15">
        <v>4</v>
      </c>
      <c r="D1488" s="17">
        <v>14462</v>
      </c>
      <c r="E1488" s="17">
        <v>116374</v>
      </c>
      <c r="F1488" s="17">
        <v>101912</v>
      </c>
      <c r="G1488" s="18">
        <v>8.0468814825058779</v>
      </c>
      <c r="H1488" s="10" t="str">
        <f t="shared" si="23"/>
        <v>COSTOS</v>
      </c>
      <c r="I1488" s="19">
        <v>2025</v>
      </c>
    </row>
    <row r="1489" spans="1:9" hidden="1" x14ac:dyDescent="0.3">
      <c r="A1489" s="16" t="s">
        <v>113</v>
      </c>
      <c r="B1489" s="16" t="s">
        <v>28</v>
      </c>
      <c r="C1489" s="15">
        <v>5</v>
      </c>
      <c r="D1489" s="17">
        <v>22710</v>
      </c>
      <c r="E1489" s="17">
        <v>118330</v>
      </c>
      <c r="F1489" s="17">
        <v>95620</v>
      </c>
      <c r="G1489" s="18">
        <v>5.2104799647732278</v>
      </c>
      <c r="H1489" s="10" t="str">
        <f t="shared" si="23"/>
        <v>COSTOS</v>
      </c>
      <c r="I1489" s="19">
        <v>2025</v>
      </c>
    </row>
    <row r="1490" spans="1:9" hidden="1" x14ac:dyDescent="0.3">
      <c r="A1490" s="16" t="s">
        <v>113</v>
      </c>
      <c r="B1490" s="16" t="s">
        <v>28</v>
      </c>
      <c r="C1490" s="15">
        <v>6</v>
      </c>
      <c r="D1490" s="17">
        <v>78194</v>
      </c>
      <c r="E1490" s="17">
        <v>34735</v>
      </c>
      <c r="F1490" s="17">
        <v>-43459</v>
      </c>
      <c r="G1490" s="18">
        <v>0.44421566872138529</v>
      </c>
      <c r="H1490" s="10" t="str">
        <f t="shared" si="23"/>
        <v>COSTOS</v>
      </c>
      <c r="I1490" s="19">
        <v>2025</v>
      </c>
    </row>
    <row r="1491" spans="1:9" hidden="1" x14ac:dyDescent="0.3">
      <c r="A1491" s="16" t="s">
        <v>113</v>
      </c>
      <c r="B1491" s="16" t="s">
        <v>28</v>
      </c>
      <c r="C1491" s="15">
        <v>7</v>
      </c>
      <c r="D1491" s="17">
        <v>89555</v>
      </c>
      <c r="E1491" s="17">
        <v>34483</v>
      </c>
      <c r="F1491" s="17">
        <v>-55072</v>
      </c>
      <c r="G1491" s="18">
        <v>0.38504829434425775</v>
      </c>
      <c r="H1491" s="10" t="str">
        <f t="shared" si="23"/>
        <v>COSTOS</v>
      </c>
      <c r="I1491" s="19">
        <v>2025</v>
      </c>
    </row>
    <row r="1492" spans="1:9" hidden="1" x14ac:dyDescent="0.3">
      <c r="A1492" s="16" t="s">
        <v>113</v>
      </c>
      <c r="B1492" s="16" t="s">
        <v>28</v>
      </c>
      <c r="C1492" s="15">
        <v>8</v>
      </c>
      <c r="D1492" s="17">
        <v>20201</v>
      </c>
      <c r="E1492" s="17">
        <v>27840</v>
      </c>
      <c r="F1492" s="17">
        <v>7639</v>
      </c>
      <c r="G1492" s="18">
        <v>1.378149596554626</v>
      </c>
      <c r="H1492" s="10" t="str">
        <f t="shared" si="23"/>
        <v>COSTOS</v>
      </c>
      <c r="I1492" s="19">
        <v>2025</v>
      </c>
    </row>
    <row r="1493" spans="1:9" hidden="1" x14ac:dyDescent="0.3">
      <c r="A1493" s="16" t="s">
        <v>113</v>
      </c>
      <c r="B1493" s="16" t="s">
        <v>28</v>
      </c>
      <c r="C1493" s="15">
        <v>9</v>
      </c>
      <c r="D1493" s="17">
        <v>78194</v>
      </c>
      <c r="E1493" s="17">
        <v>33146</v>
      </c>
      <c r="F1493" s="17">
        <v>-45048</v>
      </c>
      <c r="G1493" s="18">
        <v>0.42389441645139014</v>
      </c>
      <c r="H1493" s="10" t="str">
        <f t="shared" si="23"/>
        <v>COSTOS</v>
      </c>
      <c r="I1493" s="19">
        <v>2025</v>
      </c>
    </row>
    <row r="1494" spans="1:9" hidden="1" x14ac:dyDescent="0.3">
      <c r="A1494" s="16" t="s">
        <v>113</v>
      </c>
      <c r="B1494" s="16" t="s">
        <v>28</v>
      </c>
      <c r="C1494" s="15">
        <v>10</v>
      </c>
      <c r="D1494" s="17">
        <v>51441</v>
      </c>
      <c r="E1494" s="17">
        <v>45736</v>
      </c>
      <c r="F1494" s="17">
        <v>-5705</v>
      </c>
      <c r="G1494" s="18">
        <v>0.88909624618494976</v>
      </c>
      <c r="H1494" s="10" t="str">
        <f t="shared" si="23"/>
        <v>COSTOS</v>
      </c>
      <c r="I1494" s="19">
        <v>2025</v>
      </c>
    </row>
    <row r="1495" spans="1:9" hidden="1" x14ac:dyDescent="0.3">
      <c r="A1495" s="16" t="s">
        <v>113</v>
      </c>
      <c r="B1495" s="16" t="s">
        <v>29</v>
      </c>
      <c r="C1495" s="15">
        <v>1</v>
      </c>
      <c r="D1495" s="17">
        <v>174848</v>
      </c>
      <c r="E1495" s="17">
        <v>0</v>
      </c>
      <c r="F1495" s="17">
        <v>-174848</v>
      </c>
      <c r="G1495" s="18">
        <v>0</v>
      </c>
      <c r="H1495" s="10" t="str">
        <f t="shared" si="23"/>
        <v>COSTOS</v>
      </c>
      <c r="I1495" s="19">
        <v>2025</v>
      </c>
    </row>
    <row r="1496" spans="1:9" hidden="1" x14ac:dyDescent="0.3">
      <c r="A1496" s="16" t="s">
        <v>113</v>
      </c>
      <c r="B1496" s="16" t="s">
        <v>29</v>
      </c>
      <c r="C1496" s="15">
        <v>2</v>
      </c>
      <c r="D1496" s="17">
        <v>161140</v>
      </c>
      <c r="E1496" s="17">
        <v>0</v>
      </c>
      <c r="F1496" s="17">
        <v>-161140</v>
      </c>
      <c r="G1496" s="18">
        <v>0</v>
      </c>
      <c r="H1496" s="10" t="str">
        <f t="shared" si="23"/>
        <v>COSTOS</v>
      </c>
      <c r="I1496" s="19">
        <v>2025</v>
      </c>
    </row>
    <row r="1497" spans="1:9" hidden="1" x14ac:dyDescent="0.3">
      <c r="A1497" s="16" t="s">
        <v>113</v>
      </c>
      <c r="B1497" s="16" t="s">
        <v>29</v>
      </c>
      <c r="C1497" s="15">
        <v>3</v>
      </c>
      <c r="D1497" s="17">
        <v>161676</v>
      </c>
      <c r="E1497" s="17">
        <v>323528</v>
      </c>
      <c r="F1497" s="17">
        <v>161852</v>
      </c>
      <c r="G1497" s="18">
        <v>2.0010885969469805</v>
      </c>
      <c r="H1497" s="10" t="str">
        <f t="shared" si="23"/>
        <v>COSTOS</v>
      </c>
      <c r="I1497" s="19">
        <v>2025</v>
      </c>
    </row>
    <row r="1498" spans="1:9" hidden="1" x14ac:dyDescent="0.3">
      <c r="A1498" s="16" t="s">
        <v>113</v>
      </c>
      <c r="B1498" s="16" t="s">
        <v>29</v>
      </c>
      <c r="C1498" s="15">
        <v>4</v>
      </c>
      <c r="D1498" s="17">
        <v>455243</v>
      </c>
      <c r="E1498" s="17">
        <v>0</v>
      </c>
      <c r="F1498" s="17">
        <v>-455243</v>
      </c>
      <c r="G1498" s="18">
        <v>0</v>
      </c>
      <c r="H1498" s="10" t="str">
        <f t="shared" si="23"/>
        <v>COSTOS</v>
      </c>
      <c r="I1498" s="19">
        <v>2025</v>
      </c>
    </row>
    <row r="1499" spans="1:9" hidden="1" x14ac:dyDescent="0.3">
      <c r="A1499" s="16" t="s">
        <v>113</v>
      </c>
      <c r="B1499" s="16" t="s">
        <v>29</v>
      </c>
      <c r="C1499" s="15">
        <v>5</v>
      </c>
      <c r="D1499" s="17">
        <v>0</v>
      </c>
      <c r="E1499" s="17">
        <v>160000</v>
      </c>
      <c r="F1499" s="17">
        <v>160000</v>
      </c>
      <c r="G1499" s="18">
        <v>0</v>
      </c>
      <c r="H1499" s="10" t="str">
        <f t="shared" si="23"/>
        <v>COSTOS</v>
      </c>
      <c r="I1499" s="19">
        <v>2025</v>
      </c>
    </row>
    <row r="1500" spans="1:9" hidden="1" x14ac:dyDescent="0.3">
      <c r="A1500" s="16" t="s">
        <v>113</v>
      </c>
      <c r="B1500" s="16" t="s">
        <v>29</v>
      </c>
      <c r="C1500" s="15">
        <v>6</v>
      </c>
      <c r="D1500" s="17">
        <v>50726</v>
      </c>
      <c r="E1500" s="17">
        <v>68000</v>
      </c>
      <c r="F1500" s="17">
        <v>17274</v>
      </c>
      <c r="G1500" s="18">
        <v>1.3405354256199977</v>
      </c>
      <c r="H1500" s="10" t="str">
        <f t="shared" si="23"/>
        <v>COSTOS</v>
      </c>
      <c r="I1500" s="19">
        <v>2025</v>
      </c>
    </row>
    <row r="1501" spans="1:9" hidden="1" x14ac:dyDescent="0.3">
      <c r="A1501" s="16" t="s">
        <v>113</v>
      </c>
      <c r="B1501" s="16" t="s">
        <v>29</v>
      </c>
      <c r="C1501" s="15">
        <v>7</v>
      </c>
      <c r="D1501" s="17">
        <v>177542</v>
      </c>
      <c r="E1501" s="17">
        <v>176000</v>
      </c>
      <c r="F1501" s="17">
        <v>-1542</v>
      </c>
      <c r="G1501" s="18">
        <v>0.99131473116220392</v>
      </c>
      <c r="H1501" s="10" t="str">
        <f t="shared" si="23"/>
        <v>COSTOS</v>
      </c>
      <c r="I1501" s="19">
        <v>2025</v>
      </c>
    </row>
    <row r="1502" spans="1:9" hidden="1" x14ac:dyDescent="0.3">
      <c r="A1502" s="16" t="s">
        <v>113</v>
      </c>
      <c r="B1502" s="16" t="s">
        <v>29</v>
      </c>
      <c r="C1502" s="15">
        <v>8</v>
      </c>
      <c r="D1502" s="17">
        <v>107236</v>
      </c>
      <c r="E1502" s="17">
        <v>105000</v>
      </c>
      <c r="F1502" s="17">
        <v>-2236</v>
      </c>
      <c r="G1502" s="18">
        <v>0.97914879331567761</v>
      </c>
      <c r="H1502" s="10" t="str">
        <f t="shared" si="23"/>
        <v>COSTOS</v>
      </c>
      <c r="I1502" s="19">
        <v>2025</v>
      </c>
    </row>
    <row r="1503" spans="1:9" hidden="1" x14ac:dyDescent="0.3">
      <c r="A1503" s="16" t="s">
        <v>113</v>
      </c>
      <c r="B1503" s="16" t="s">
        <v>29</v>
      </c>
      <c r="C1503" s="15">
        <v>9</v>
      </c>
      <c r="D1503" s="17">
        <v>161051</v>
      </c>
      <c r="E1503" s="17">
        <v>262000</v>
      </c>
      <c r="F1503" s="17">
        <v>100949</v>
      </c>
      <c r="G1503" s="18">
        <v>1.6268138664149867</v>
      </c>
      <c r="H1503" s="10" t="str">
        <f t="shared" si="23"/>
        <v>COSTOS</v>
      </c>
      <c r="I1503" s="19">
        <v>2025</v>
      </c>
    </row>
    <row r="1504" spans="1:9" hidden="1" x14ac:dyDescent="0.3">
      <c r="A1504" s="16" t="s">
        <v>113</v>
      </c>
      <c r="B1504" s="16" t="s">
        <v>29</v>
      </c>
      <c r="C1504" s="15">
        <v>10</v>
      </c>
      <c r="D1504" s="17">
        <v>161051</v>
      </c>
      <c r="E1504" s="17">
        <v>251217</v>
      </c>
      <c r="F1504" s="17">
        <v>90166</v>
      </c>
      <c r="G1504" s="18">
        <v>1.5598599201495178</v>
      </c>
      <c r="H1504" s="10" t="str">
        <f t="shared" si="23"/>
        <v>COSTOS</v>
      </c>
      <c r="I1504" s="19">
        <v>2025</v>
      </c>
    </row>
    <row r="1505" spans="1:9" hidden="1" x14ac:dyDescent="0.3">
      <c r="A1505" s="16" t="s">
        <v>113</v>
      </c>
      <c r="B1505" s="16" t="s">
        <v>14</v>
      </c>
      <c r="C1505" s="15">
        <v>11</v>
      </c>
      <c r="D1505" s="17">
        <v>22844.9</v>
      </c>
      <c r="E1505" s="17">
        <v>0</v>
      </c>
      <c r="F1505" s="17">
        <v>-22844.9</v>
      </c>
      <c r="G1505" s="18">
        <v>0</v>
      </c>
      <c r="H1505" s="10" t="str">
        <f t="shared" si="23"/>
        <v>COSTOS</v>
      </c>
      <c r="I1505" s="19">
        <v>2025</v>
      </c>
    </row>
    <row r="1506" spans="1:9" hidden="1" x14ac:dyDescent="0.3">
      <c r="A1506" s="16" t="s">
        <v>113</v>
      </c>
      <c r="B1506" s="16" t="s">
        <v>16</v>
      </c>
      <c r="C1506" s="15">
        <v>11</v>
      </c>
      <c r="D1506" s="17">
        <v>20000</v>
      </c>
      <c r="E1506" s="17">
        <v>20000</v>
      </c>
      <c r="F1506" s="17">
        <v>0</v>
      </c>
      <c r="G1506" s="18">
        <v>1</v>
      </c>
      <c r="H1506" s="10" t="str">
        <f t="shared" si="23"/>
        <v>COSTOS</v>
      </c>
      <c r="I1506" s="19">
        <v>2025</v>
      </c>
    </row>
    <row r="1507" spans="1:9" hidden="1" x14ac:dyDescent="0.3">
      <c r="A1507" s="16" t="s">
        <v>113</v>
      </c>
      <c r="B1507" s="16" t="s">
        <v>94</v>
      </c>
      <c r="C1507" s="15">
        <v>11</v>
      </c>
      <c r="D1507" s="17">
        <v>106457</v>
      </c>
      <c r="E1507" s="17">
        <v>94142</v>
      </c>
      <c r="F1507" s="17">
        <v>-12315</v>
      </c>
      <c r="G1507" s="18">
        <v>0.88431949049851122</v>
      </c>
      <c r="H1507" s="10" t="str">
        <f t="shared" si="23"/>
        <v>COSTOS</v>
      </c>
      <c r="I1507" s="19">
        <v>2025</v>
      </c>
    </row>
    <row r="1508" spans="1:9" hidden="1" x14ac:dyDescent="0.3">
      <c r="A1508" s="16" t="s">
        <v>113</v>
      </c>
      <c r="B1508" s="16" t="s">
        <v>27</v>
      </c>
      <c r="C1508" s="15">
        <v>11</v>
      </c>
      <c r="D1508" s="17">
        <v>113001</v>
      </c>
      <c r="E1508" s="17">
        <v>179559</v>
      </c>
      <c r="F1508" s="17">
        <v>66558</v>
      </c>
      <c r="G1508" s="18">
        <v>1.5890036371359546</v>
      </c>
      <c r="H1508" s="10" t="str">
        <f t="shared" si="23"/>
        <v>COSTOS</v>
      </c>
      <c r="I1508" s="19">
        <v>2025</v>
      </c>
    </row>
    <row r="1509" spans="1:9" hidden="1" x14ac:dyDescent="0.3">
      <c r="A1509" s="16" t="s">
        <v>113</v>
      </c>
      <c r="B1509" s="16" t="s">
        <v>28</v>
      </c>
      <c r="C1509" s="15">
        <v>11</v>
      </c>
      <c r="D1509" s="17">
        <v>51441</v>
      </c>
      <c r="E1509" s="17">
        <v>39880</v>
      </c>
      <c r="F1509" s="17">
        <v>-11561</v>
      </c>
      <c r="G1509" s="18">
        <v>0.77525709064753801</v>
      </c>
      <c r="H1509" s="10" t="str">
        <f t="shared" si="23"/>
        <v>COSTOS</v>
      </c>
      <c r="I1509" s="19">
        <v>2025</v>
      </c>
    </row>
    <row r="1510" spans="1:9" hidden="1" x14ac:dyDescent="0.3">
      <c r="A1510" s="16" t="s">
        <v>113</v>
      </c>
      <c r="B1510" s="16" t="s">
        <v>29</v>
      </c>
      <c r="C1510" s="15">
        <v>11</v>
      </c>
      <c r="D1510" s="17">
        <v>161051</v>
      </c>
      <c r="E1510" s="17">
        <v>90000</v>
      </c>
      <c r="F1510" s="17">
        <v>-71051</v>
      </c>
      <c r="G1510" s="18">
        <v>0.55882919075323967</v>
      </c>
      <c r="H1510" s="10" t="str">
        <f t="shared" si="23"/>
        <v>COSTOS</v>
      </c>
      <c r="I1510" s="19">
        <v>2025</v>
      </c>
    </row>
    <row r="1511" spans="1:9" hidden="1" x14ac:dyDescent="0.3">
      <c r="A1511" s="16" t="s">
        <v>113</v>
      </c>
      <c r="B1511" s="16" t="s">
        <v>14</v>
      </c>
      <c r="C1511" s="15">
        <v>12</v>
      </c>
      <c r="D1511" s="17">
        <v>46844.9</v>
      </c>
      <c r="E1511" s="17">
        <v>0</v>
      </c>
      <c r="F1511" s="17">
        <v>-46844.9</v>
      </c>
      <c r="G1511" s="18">
        <v>0</v>
      </c>
      <c r="H1511" s="10" t="str">
        <f t="shared" si="23"/>
        <v>COSTOS</v>
      </c>
      <c r="I1511" s="19">
        <v>2025</v>
      </c>
    </row>
    <row r="1512" spans="1:9" hidden="1" x14ac:dyDescent="0.3">
      <c r="A1512" s="16" t="s">
        <v>113</v>
      </c>
      <c r="B1512" s="16" t="s">
        <v>16</v>
      </c>
      <c r="C1512" s="15">
        <v>12</v>
      </c>
      <c r="D1512" s="17">
        <v>20000</v>
      </c>
      <c r="E1512" s="17">
        <v>0</v>
      </c>
      <c r="F1512" s="17">
        <v>-20000</v>
      </c>
      <c r="G1512" s="18">
        <v>0</v>
      </c>
      <c r="H1512" s="10" t="str">
        <f t="shared" si="23"/>
        <v>COSTOS</v>
      </c>
      <c r="I1512" s="19">
        <v>2025</v>
      </c>
    </row>
    <row r="1513" spans="1:9" hidden="1" x14ac:dyDescent="0.3">
      <c r="A1513" s="16" t="s">
        <v>113</v>
      </c>
      <c r="B1513" s="16" t="s">
        <v>94</v>
      </c>
      <c r="C1513" s="15">
        <v>12</v>
      </c>
      <c r="D1513" s="17">
        <v>106457</v>
      </c>
      <c r="E1513" s="17">
        <v>95006</v>
      </c>
      <c r="F1513" s="17">
        <v>-11451</v>
      </c>
      <c r="G1513" s="18">
        <v>0.89243544341846948</v>
      </c>
      <c r="H1513" s="10" t="str">
        <f t="shared" si="23"/>
        <v>COSTOS</v>
      </c>
      <c r="I1513" s="19">
        <v>2025</v>
      </c>
    </row>
    <row r="1514" spans="1:9" hidden="1" x14ac:dyDescent="0.3">
      <c r="A1514" s="16" t="s">
        <v>113</v>
      </c>
      <c r="B1514" s="16" t="s">
        <v>27</v>
      </c>
      <c r="C1514" s="15">
        <v>12</v>
      </c>
      <c r="D1514" s="17">
        <v>113001</v>
      </c>
      <c r="E1514" s="17">
        <v>343103</v>
      </c>
      <c r="F1514" s="17">
        <v>230102</v>
      </c>
      <c r="G1514" s="18">
        <v>3.0362828647534092</v>
      </c>
      <c r="H1514" s="10" t="str">
        <f t="shared" si="23"/>
        <v>COSTOS</v>
      </c>
      <c r="I1514" s="19">
        <v>2025</v>
      </c>
    </row>
    <row r="1515" spans="1:9" hidden="1" x14ac:dyDescent="0.3">
      <c r="A1515" s="16" t="s">
        <v>113</v>
      </c>
      <c r="B1515" s="16" t="s">
        <v>28</v>
      </c>
      <c r="C1515" s="15">
        <v>12</v>
      </c>
      <c r="D1515" s="17">
        <v>78194</v>
      </c>
      <c r="E1515" s="17">
        <v>36750</v>
      </c>
      <c r="F1515" s="17">
        <v>-41444</v>
      </c>
      <c r="G1515" s="18">
        <v>0.46998490932808146</v>
      </c>
      <c r="H1515" s="10" t="str">
        <f t="shared" si="23"/>
        <v>COSTOS</v>
      </c>
      <c r="I1515" s="19">
        <v>2025</v>
      </c>
    </row>
    <row r="1516" spans="1:9" hidden="1" x14ac:dyDescent="0.3">
      <c r="A1516" s="16" t="s">
        <v>113</v>
      </c>
      <c r="B1516" s="16" t="s">
        <v>29</v>
      </c>
      <c r="C1516" s="15">
        <v>12</v>
      </c>
      <c r="D1516" s="17">
        <v>161051</v>
      </c>
      <c r="E1516" s="17">
        <v>72000</v>
      </c>
      <c r="F1516" s="17">
        <v>-89051</v>
      </c>
      <c r="G1516" s="18">
        <v>0.44706335260259172</v>
      </c>
      <c r="H1516" s="10" t="str">
        <f t="shared" si="23"/>
        <v>COSTOS</v>
      </c>
      <c r="I1516" s="19">
        <v>2025</v>
      </c>
    </row>
    <row r="1517" spans="1:9" hidden="1" x14ac:dyDescent="0.3">
      <c r="A1517" s="16" t="s">
        <v>114</v>
      </c>
      <c r="B1517" s="16" t="s">
        <v>54</v>
      </c>
      <c r="C1517" s="15">
        <v>1</v>
      </c>
      <c r="D1517" s="17">
        <v>0</v>
      </c>
      <c r="E1517" s="17">
        <v>114000</v>
      </c>
      <c r="F1517" s="17">
        <v>114000</v>
      </c>
      <c r="G1517" s="18">
        <v>0</v>
      </c>
      <c r="H1517" s="10" t="str">
        <f t="shared" si="23"/>
        <v>COSTOS</v>
      </c>
      <c r="I1517" s="19">
        <v>2025</v>
      </c>
    </row>
    <row r="1518" spans="1:9" hidden="1" x14ac:dyDescent="0.3">
      <c r="A1518" s="16" t="s">
        <v>114</v>
      </c>
      <c r="B1518" s="16" t="s">
        <v>54</v>
      </c>
      <c r="C1518" s="15">
        <v>4</v>
      </c>
      <c r="D1518" s="17">
        <v>720000</v>
      </c>
      <c r="E1518" s="17">
        <v>748800</v>
      </c>
      <c r="F1518" s="17">
        <v>28800</v>
      </c>
      <c r="G1518" s="18">
        <v>1.04</v>
      </c>
      <c r="H1518" s="10" t="str">
        <f t="shared" si="23"/>
        <v>COSTOS</v>
      </c>
      <c r="I1518" s="19">
        <v>2025</v>
      </c>
    </row>
    <row r="1519" spans="1:9" hidden="1" x14ac:dyDescent="0.3">
      <c r="A1519" s="16" t="s">
        <v>114</v>
      </c>
      <c r="B1519" s="16" t="s">
        <v>54</v>
      </c>
      <c r="C1519" s="15">
        <v>8</v>
      </c>
      <c r="D1519" s="17">
        <v>0</v>
      </c>
      <c r="E1519" s="17">
        <v>97999</v>
      </c>
      <c r="F1519" s="17">
        <v>97999</v>
      </c>
      <c r="G1519" s="18">
        <v>0</v>
      </c>
      <c r="H1519" s="10" t="str">
        <f t="shared" si="23"/>
        <v>COSTOS</v>
      </c>
      <c r="I1519" s="19">
        <v>2025</v>
      </c>
    </row>
    <row r="1520" spans="1:9" hidden="1" x14ac:dyDescent="0.3">
      <c r="A1520" s="16" t="s">
        <v>114</v>
      </c>
      <c r="B1520" s="16" t="s">
        <v>38</v>
      </c>
      <c r="C1520" s="15">
        <v>1</v>
      </c>
      <c r="D1520" s="17">
        <v>150000</v>
      </c>
      <c r="E1520" s="17">
        <v>0</v>
      </c>
      <c r="F1520" s="17">
        <v>-150000</v>
      </c>
      <c r="G1520" s="18">
        <v>0</v>
      </c>
      <c r="H1520" s="10" t="str">
        <f t="shared" si="23"/>
        <v>COSTOS</v>
      </c>
      <c r="I1520" s="19">
        <v>2025</v>
      </c>
    </row>
    <row r="1521" spans="1:9" hidden="1" x14ac:dyDescent="0.3">
      <c r="A1521" s="16" t="s">
        <v>114</v>
      </c>
      <c r="B1521" s="16" t="s">
        <v>38</v>
      </c>
      <c r="C1521" s="15">
        <v>2</v>
      </c>
      <c r="D1521" s="17">
        <v>150000</v>
      </c>
      <c r="E1521" s="17">
        <v>0</v>
      </c>
      <c r="F1521" s="17">
        <v>-150000</v>
      </c>
      <c r="G1521" s="18">
        <v>0</v>
      </c>
      <c r="H1521" s="10" t="str">
        <f t="shared" si="23"/>
        <v>COSTOS</v>
      </c>
      <c r="I1521" s="19">
        <v>2025</v>
      </c>
    </row>
    <row r="1522" spans="1:9" hidden="1" x14ac:dyDescent="0.3">
      <c r="A1522" s="16" t="s">
        <v>114</v>
      </c>
      <c r="B1522" s="16" t="s">
        <v>38</v>
      </c>
      <c r="C1522" s="15">
        <v>3</v>
      </c>
      <c r="D1522" s="17">
        <v>150000</v>
      </c>
      <c r="E1522" s="17">
        <v>58800</v>
      </c>
      <c r="F1522" s="17">
        <v>-91200</v>
      </c>
      <c r="G1522" s="18">
        <v>0.39200000000000002</v>
      </c>
      <c r="H1522" s="10" t="str">
        <f t="shared" si="23"/>
        <v>COSTOS</v>
      </c>
      <c r="I1522" s="19">
        <v>2025</v>
      </c>
    </row>
    <row r="1523" spans="1:9" hidden="1" x14ac:dyDescent="0.3">
      <c r="A1523" s="16" t="s">
        <v>114</v>
      </c>
      <c r="B1523" s="16" t="s">
        <v>38</v>
      </c>
      <c r="C1523" s="15">
        <v>4</v>
      </c>
      <c r="D1523" s="17">
        <v>150000</v>
      </c>
      <c r="E1523" s="17">
        <v>0</v>
      </c>
      <c r="F1523" s="17">
        <v>-150000</v>
      </c>
      <c r="G1523" s="18">
        <v>0</v>
      </c>
      <c r="H1523" s="10" t="str">
        <f t="shared" si="23"/>
        <v>COSTOS</v>
      </c>
      <c r="I1523" s="19">
        <v>2025</v>
      </c>
    </row>
    <row r="1524" spans="1:9" hidden="1" x14ac:dyDescent="0.3">
      <c r="A1524" s="16" t="s">
        <v>114</v>
      </c>
      <c r="B1524" s="16" t="s">
        <v>38</v>
      </c>
      <c r="C1524" s="15">
        <v>5</v>
      </c>
      <c r="D1524" s="17">
        <v>150000</v>
      </c>
      <c r="E1524" s="17">
        <v>0</v>
      </c>
      <c r="F1524" s="17">
        <v>-150000</v>
      </c>
      <c r="G1524" s="18">
        <v>0</v>
      </c>
      <c r="H1524" s="10" t="str">
        <f t="shared" si="23"/>
        <v>COSTOS</v>
      </c>
      <c r="I1524" s="19">
        <v>2025</v>
      </c>
    </row>
    <row r="1525" spans="1:9" hidden="1" x14ac:dyDescent="0.3">
      <c r="A1525" s="16" t="s">
        <v>114</v>
      </c>
      <c r="B1525" s="16" t="s">
        <v>38</v>
      </c>
      <c r="C1525" s="15">
        <v>6</v>
      </c>
      <c r="D1525" s="17">
        <v>150000</v>
      </c>
      <c r="E1525" s="17">
        <v>267735</v>
      </c>
      <c r="F1525" s="17">
        <v>117735</v>
      </c>
      <c r="G1525" s="18">
        <v>1.7848999999999999</v>
      </c>
      <c r="H1525" s="10" t="str">
        <f t="shared" si="23"/>
        <v>COSTOS</v>
      </c>
      <c r="I1525" s="19">
        <v>2025</v>
      </c>
    </row>
    <row r="1526" spans="1:9" hidden="1" x14ac:dyDescent="0.3">
      <c r="A1526" s="16" t="s">
        <v>114</v>
      </c>
      <c r="B1526" s="16" t="s">
        <v>38</v>
      </c>
      <c r="C1526" s="15">
        <v>7</v>
      </c>
      <c r="D1526" s="17">
        <v>150000</v>
      </c>
      <c r="E1526" s="17">
        <v>0</v>
      </c>
      <c r="F1526" s="17">
        <v>-150000</v>
      </c>
      <c r="G1526" s="18">
        <v>0</v>
      </c>
      <c r="H1526" s="10" t="str">
        <f t="shared" si="23"/>
        <v>COSTOS</v>
      </c>
      <c r="I1526" s="19">
        <v>2025</v>
      </c>
    </row>
    <row r="1527" spans="1:9" hidden="1" x14ac:dyDescent="0.3">
      <c r="A1527" s="16" t="s">
        <v>114</v>
      </c>
      <c r="B1527" s="16" t="s">
        <v>38</v>
      </c>
      <c r="C1527" s="15">
        <v>8</v>
      </c>
      <c r="D1527" s="17">
        <v>150000</v>
      </c>
      <c r="E1527" s="17">
        <v>0</v>
      </c>
      <c r="F1527" s="17">
        <v>-150000</v>
      </c>
      <c r="G1527" s="18">
        <v>0</v>
      </c>
      <c r="H1527" s="10" t="str">
        <f t="shared" si="23"/>
        <v>COSTOS</v>
      </c>
      <c r="I1527" s="19">
        <v>2025</v>
      </c>
    </row>
    <row r="1528" spans="1:9" hidden="1" x14ac:dyDescent="0.3">
      <c r="A1528" s="16" t="s">
        <v>114</v>
      </c>
      <c r="B1528" s="16" t="s">
        <v>38</v>
      </c>
      <c r="C1528" s="15">
        <v>9</v>
      </c>
      <c r="D1528" s="17">
        <v>150000</v>
      </c>
      <c r="E1528" s="17">
        <v>70000</v>
      </c>
      <c r="F1528" s="17">
        <v>-80000</v>
      </c>
      <c r="G1528" s="18">
        <v>0.46666666666666667</v>
      </c>
      <c r="H1528" s="10" t="str">
        <f t="shared" si="23"/>
        <v>COSTOS</v>
      </c>
      <c r="I1528" s="19">
        <v>2025</v>
      </c>
    </row>
    <row r="1529" spans="1:9" hidden="1" x14ac:dyDescent="0.3">
      <c r="A1529" s="16" t="s">
        <v>114</v>
      </c>
      <c r="B1529" s="16" t="s">
        <v>38</v>
      </c>
      <c r="C1529" s="15">
        <v>10</v>
      </c>
      <c r="D1529" s="17">
        <v>150000</v>
      </c>
      <c r="E1529" s="17">
        <v>0</v>
      </c>
      <c r="F1529" s="17">
        <v>-150000</v>
      </c>
      <c r="G1529" s="18">
        <v>0</v>
      </c>
      <c r="H1529" s="10" t="str">
        <f t="shared" si="23"/>
        <v>COSTOS</v>
      </c>
      <c r="I1529" s="19">
        <v>2025</v>
      </c>
    </row>
    <row r="1530" spans="1:9" hidden="1" x14ac:dyDescent="0.3">
      <c r="A1530" s="16" t="s">
        <v>114</v>
      </c>
      <c r="B1530" s="16" t="s">
        <v>55</v>
      </c>
      <c r="C1530" s="15">
        <v>2</v>
      </c>
      <c r="D1530" s="17">
        <v>0</v>
      </c>
      <c r="E1530" s="17">
        <v>64800</v>
      </c>
      <c r="F1530" s="17">
        <v>64800</v>
      </c>
      <c r="G1530" s="18">
        <v>0</v>
      </c>
      <c r="H1530" s="10" t="str">
        <f t="shared" si="23"/>
        <v>COSTOS</v>
      </c>
      <c r="I1530" s="19">
        <v>2025</v>
      </c>
    </row>
    <row r="1531" spans="1:9" hidden="1" x14ac:dyDescent="0.3">
      <c r="A1531" s="16" t="s">
        <v>114</v>
      </c>
      <c r="B1531" s="16" t="s">
        <v>63</v>
      </c>
      <c r="C1531" s="15">
        <v>6</v>
      </c>
      <c r="D1531" s="17">
        <v>0</v>
      </c>
      <c r="E1531" s="17">
        <v>174840</v>
      </c>
      <c r="F1531" s="17">
        <v>174840</v>
      </c>
      <c r="G1531" s="18">
        <v>0</v>
      </c>
      <c r="H1531" s="10" t="str">
        <f t="shared" si="23"/>
        <v>COSTOS</v>
      </c>
      <c r="I1531" s="19">
        <v>2025</v>
      </c>
    </row>
    <row r="1532" spans="1:9" hidden="1" x14ac:dyDescent="0.3">
      <c r="A1532" s="16" t="s">
        <v>114</v>
      </c>
      <c r="B1532" s="16" t="s">
        <v>63</v>
      </c>
      <c r="C1532" s="15">
        <v>7</v>
      </c>
      <c r="D1532" s="17">
        <v>0</v>
      </c>
      <c r="E1532" s="17">
        <v>255600</v>
      </c>
      <c r="F1532" s="17">
        <v>255600</v>
      </c>
      <c r="G1532" s="18">
        <v>0</v>
      </c>
      <c r="H1532" s="10" t="str">
        <f t="shared" si="23"/>
        <v>COSTOS</v>
      </c>
      <c r="I1532" s="19">
        <v>2025</v>
      </c>
    </row>
    <row r="1533" spans="1:9" hidden="1" x14ac:dyDescent="0.3">
      <c r="A1533" s="16" t="s">
        <v>114</v>
      </c>
      <c r="B1533" s="16" t="s">
        <v>38</v>
      </c>
      <c r="C1533" s="15">
        <v>11</v>
      </c>
      <c r="D1533" s="17">
        <v>150000</v>
      </c>
      <c r="E1533" s="17">
        <v>0</v>
      </c>
      <c r="F1533" s="17">
        <v>-150000</v>
      </c>
      <c r="G1533" s="18">
        <v>0</v>
      </c>
      <c r="H1533" s="10" t="str">
        <f t="shared" si="23"/>
        <v>COSTOS</v>
      </c>
      <c r="I1533" s="19">
        <v>2025</v>
      </c>
    </row>
    <row r="1534" spans="1:9" hidden="1" x14ac:dyDescent="0.3">
      <c r="A1534" s="16" t="s">
        <v>114</v>
      </c>
      <c r="B1534" s="16" t="s">
        <v>54</v>
      </c>
      <c r="C1534" s="15">
        <v>12</v>
      </c>
      <c r="D1534" s="17">
        <v>0</v>
      </c>
      <c r="E1534" s="17">
        <v>13445</v>
      </c>
      <c r="F1534" s="17">
        <v>13445</v>
      </c>
      <c r="G1534" s="18">
        <v>0</v>
      </c>
      <c r="H1534" s="10" t="str">
        <f t="shared" si="23"/>
        <v>COSTOS</v>
      </c>
      <c r="I1534" s="19">
        <v>2025</v>
      </c>
    </row>
    <row r="1535" spans="1:9" hidden="1" x14ac:dyDescent="0.3">
      <c r="A1535" s="16" t="s">
        <v>114</v>
      </c>
      <c r="B1535" s="16" t="s">
        <v>38</v>
      </c>
      <c r="C1535" s="15">
        <v>12</v>
      </c>
      <c r="D1535" s="17">
        <v>150000</v>
      </c>
      <c r="E1535" s="17">
        <v>0</v>
      </c>
      <c r="F1535" s="17">
        <v>-150000</v>
      </c>
      <c r="G1535" s="18">
        <v>0</v>
      </c>
      <c r="H1535" s="10" t="str">
        <f t="shared" si="23"/>
        <v>COSTOS</v>
      </c>
      <c r="I1535" s="19">
        <v>2025</v>
      </c>
    </row>
    <row r="1536" spans="1:9" hidden="1" x14ac:dyDescent="0.3">
      <c r="A1536" s="16" t="s">
        <v>115</v>
      </c>
      <c r="B1536" s="16" t="s">
        <v>16</v>
      </c>
      <c r="C1536" s="15">
        <v>1</v>
      </c>
      <c r="D1536" s="17">
        <v>28000</v>
      </c>
      <c r="E1536" s="17">
        <v>0</v>
      </c>
      <c r="F1536" s="17">
        <v>-28000</v>
      </c>
      <c r="G1536" s="18">
        <v>0</v>
      </c>
      <c r="H1536" s="10" t="str">
        <f t="shared" si="23"/>
        <v>COSTOS</v>
      </c>
      <c r="I1536" s="19">
        <v>2025</v>
      </c>
    </row>
    <row r="1537" spans="1:9" hidden="1" x14ac:dyDescent="0.3">
      <c r="A1537" s="16" t="s">
        <v>115</v>
      </c>
      <c r="B1537" s="16" t="s">
        <v>16</v>
      </c>
      <c r="C1537" s="15">
        <v>2</v>
      </c>
      <c r="D1537" s="17">
        <v>28000</v>
      </c>
      <c r="E1537" s="17">
        <v>0</v>
      </c>
      <c r="F1537" s="17">
        <v>-28000</v>
      </c>
      <c r="G1537" s="18">
        <v>0</v>
      </c>
      <c r="H1537" s="10" t="str">
        <f t="shared" si="23"/>
        <v>COSTOS</v>
      </c>
      <c r="I1537" s="19">
        <v>2025</v>
      </c>
    </row>
    <row r="1538" spans="1:9" hidden="1" x14ac:dyDescent="0.3">
      <c r="A1538" s="16" t="s">
        <v>115</v>
      </c>
      <c r="B1538" s="16" t="s">
        <v>16</v>
      </c>
      <c r="C1538" s="15">
        <v>3</v>
      </c>
      <c r="D1538" s="17">
        <v>28000</v>
      </c>
      <c r="E1538" s="17">
        <v>0</v>
      </c>
      <c r="F1538" s="17">
        <v>-28000</v>
      </c>
      <c r="G1538" s="18">
        <v>0</v>
      </c>
      <c r="H1538" s="10" t="str">
        <f t="shared" si="23"/>
        <v>COSTOS</v>
      </c>
      <c r="I1538" s="19">
        <v>2025</v>
      </c>
    </row>
    <row r="1539" spans="1:9" hidden="1" x14ac:dyDescent="0.3">
      <c r="A1539" s="16" t="s">
        <v>115</v>
      </c>
      <c r="B1539" s="16" t="s">
        <v>16</v>
      </c>
      <c r="C1539" s="15">
        <v>4</v>
      </c>
      <c r="D1539" s="17">
        <v>28000</v>
      </c>
      <c r="E1539" s="17">
        <v>0</v>
      </c>
      <c r="F1539" s="17">
        <v>-28000</v>
      </c>
      <c r="G1539" s="18">
        <v>0</v>
      </c>
      <c r="H1539" s="10" t="str">
        <f t="shared" ref="H1539:H1602" si="24">+IF(OR(A1539="ADMINISTRACION",A1539="COMERCIAL",A1539="COMERCIAL-EXPORTACIONES",A1539="LEASING DE LA BODEGA",A1539="LOGISTICA-SALIDA",A1539="OTROS GASTOS",A1539="BODEGA ALQUILADA", A1539="BODEGA CARTOPLAST", A1539="BODEGA CARTOPLAS", A1539= "GESTION HUMANA-OTROS GASTOS"),"GASTOS","COSTOS")</f>
        <v>COSTOS</v>
      </c>
      <c r="I1539" s="19">
        <v>2025</v>
      </c>
    </row>
    <row r="1540" spans="1:9" hidden="1" x14ac:dyDescent="0.3">
      <c r="A1540" s="16" t="s">
        <v>115</v>
      </c>
      <c r="B1540" s="16" t="s">
        <v>16</v>
      </c>
      <c r="C1540" s="15">
        <v>5</v>
      </c>
      <c r="D1540" s="17">
        <v>28000</v>
      </c>
      <c r="E1540" s="17">
        <v>0</v>
      </c>
      <c r="F1540" s="17">
        <v>-28000</v>
      </c>
      <c r="G1540" s="18">
        <v>0</v>
      </c>
      <c r="H1540" s="10" t="str">
        <f t="shared" si="24"/>
        <v>COSTOS</v>
      </c>
      <c r="I1540" s="19">
        <v>2025</v>
      </c>
    </row>
    <row r="1541" spans="1:9" hidden="1" x14ac:dyDescent="0.3">
      <c r="A1541" s="16" t="s">
        <v>115</v>
      </c>
      <c r="B1541" s="16" t="s">
        <v>16</v>
      </c>
      <c r="C1541" s="15">
        <v>6</v>
      </c>
      <c r="D1541" s="17">
        <v>28000</v>
      </c>
      <c r="E1541" s="17">
        <v>20000</v>
      </c>
      <c r="F1541" s="17">
        <v>-8000</v>
      </c>
      <c r="G1541" s="18">
        <v>0.7142857142857143</v>
      </c>
      <c r="H1541" s="10" t="str">
        <f t="shared" si="24"/>
        <v>COSTOS</v>
      </c>
      <c r="I1541" s="19">
        <v>2025</v>
      </c>
    </row>
    <row r="1542" spans="1:9" hidden="1" x14ac:dyDescent="0.3">
      <c r="A1542" s="16" t="s">
        <v>115</v>
      </c>
      <c r="B1542" s="16" t="s">
        <v>16</v>
      </c>
      <c r="C1542" s="15">
        <v>7</v>
      </c>
      <c r="D1542" s="17">
        <v>28000</v>
      </c>
      <c r="E1542" s="17">
        <v>0</v>
      </c>
      <c r="F1542" s="17">
        <v>-28000</v>
      </c>
      <c r="G1542" s="18">
        <v>0</v>
      </c>
      <c r="H1542" s="10" t="str">
        <f t="shared" si="24"/>
        <v>COSTOS</v>
      </c>
      <c r="I1542" s="19">
        <v>2025</v>
      </c>
    </row>
    <row r="1543" spans="1:9" hidden="1" x14ac:dyDescent="0.3">
      <c r="A1543" s="16" t="s">
        <v>115</v>
      </c>
      <c r="B1543" s="16" t="s">
        <v>16</v>
      </c>
      <c r="C1543" s="15">
        <v>8</v>
      </c>
      <c r="D1543" s="17">
        <v>28000</v>
      </c>
      <c r="E1543" s="17">
        <v>0</v>
      </c>
      <c r="F1543" s="17">
        <v>-28000</v>
      </c>
      <c r="G1543" s="18">
        <v>0</v>
      </c>
      <c r="H1543" s="10" t="str">
        <f t="shared" si="24"/>
        <v>COSTOS</v>
      </c>
      <c r="I1543" s="19">
        <v>2025</v>
      </c>
    </row>
    <row r="1544" spans="1:9" hidden="1" x14ac:dyDescent="0.3">
      <c r="A1544" s="16" t="s">
        <v>115</v>
      </c>
      <c r="B1544" s="16" t="s">
        <v>16</v>
      </c>
      <c r="C1544" s="15">
        <v>9</v>
      </c>
      <c r="D1544" s="17">
        <v>28000</v>
      </c>
      <c r="E1544" s="17">
        <v>0</v>
      </c>
      <c r="F1544" s="17">
        <v>-28000</v>
      </c>
      <c r="G1544" s="18">
        <v>0</v>
      </c>
      <c r="H1544" s="10" t="str">
        <f t="shared" si="24"/>
        <v>COSTOS</v>
      </c>
      <c r="I1544" s="19">
        <v>2025</v>
      </c>
    </row>
    <row r="1545" spans="1:9" hidden="1" x14ac:dyDescent="0.3">
      <c r="A1545" s="16" t="s">
        <v>115</v>
      </c>
      <c r="B1545" s="16" t="s">
        <v>16</v>
      </c>
      <c r="C1545" s="15">
        <v>10</v>
      </c>
      <c r="D1545" s="17">
        <v>28000</v>
      </c>
      <c r="E1545" s="17">
        <v>0</v>
      </c>
      <c r="F1545" s="17">
        <v>-28000</v>
      </c>
      <c r="G1545" s="18">
        <v>0</v>
      </c>
      <c r="H1545" s="10" t="str">
        <f t="shared" si="24"/>
        <v>COSTOS</v>
      </c>
      <c r="I1545" s="19">
        <v>2025</v>
      </c>
    </row>
    <row r="1546" spans="1:9" hidden="1" x14ac:dyDescent="0.3">
      <c r="A1546" s="16" t="s">
        <v>115</v>
      </c>
      <c r="B1546" s="16" t="s">
        <v>54</v>
      </c>
      <c r="C1546" s="15">
        <v>3</v>
      </c>
      <c r="D1546" s="17">
        <v>3190000</v>
      </c>
      <c r="E1546" s="17">
        <v>0</v>
      </c>
      <c r="F1546" s="17">
        <v>-3190000</v>
      </c>
      <c r="G1546" s="18">
        <v>0</v>
      </c>
      <c r="H1546" s="10" t="str">
        <f t="shared" si="24"/>
        <v>COSTOS</v>
      </c>
      <c r="I1546" s="19">
        <v>2025</v>
      </c>
    </row>
    <row r="1547" spans="1:9" hidden="1" x14ac:dyDescent="0.3">
      <c r="A1547" s="16" t="s">
        <v>115</v>
      </c>
      <c r="B1547" s="16" t="s">
        <v>38</v>
      </c>
      <c r="C1547" s="15">
        <v>4</v>
      </c>
      <c r="D1547" s="17">
        <v>1000000</v>
      </c>
      <c r="E1547" s="17">
        <v>0</v>
      </c>
      <c r="F1547" s="17">
        <v>-1000000</v>
      </c>
      <c r="G1547" s="18">
        <v>0</v>
      </c>
      <c r="H1547" s="10" t="str">
        <f t="shared" si="24"/>
        <v>COSTOS</v>
      </c>
      <c r="I1547" s="19">
        <v>2025</v>
      </c>
    </row>
    <row r="1548" spans="1:9" hidden="1" x14ac:dyDescent="0.3">
      <c r="A1548" s="16" t="s">
        <v>115</v>
      </c>
      <c r="B1548" s="16" t="s">
        <v>38</v>
      </c>
      <c r="C1548" s="15">
        <v>5</v>
      </c>
      <c r="D1548" s="17">
        <v>800000</v>
      </c>
      <c r="E1548" s="17">
        <v>0</v>
      </c>
      <c r="F1548" s="17">
        <v>-800000</v>
      </c>
      <c r="G1548" s="18">
        <v>0</v>
      </c>
      <c r="H1548" s="10" t="str">
        <f t="shared" si="24"/>
        <v>COSTOS</v>
      </c>
      <c r="I1548" s="19">
        <v>2025</v>
      </c>
    </row>
    <row r="1549" spans="1:9" hidden="1" x14ac:dyDescent="0.3">
      <c r="A1549" s="16" t="s">
        <v>115</v>
      </c>
      <c r="B1549" s="16" t="s">
        <v>38</v>
      </c>
      <c r="C1549" s="15">
        <v>7</v>
      </c>
      <c r="D1549" s="17">
        <v>5000000</v>
      </c>
      <c r="E1549" s="17">
        <v>0</v>
      </c>
      <c r="F1549" s="17">
        <v>-5000000</v>
      </c>
      <c r="G1549" s="18">
        <v>0</v>
      </c>
      <c r="H1549" s="10" t="str">
        <f t="shared" si="24"/>
        <v>COSTOS</v>
      </c>
      <c r="I1549" s="19">
        <v>2025</v>
      </c>
    </row>
    <row r="1550" spans="1:9" hidden="1" x14ac:dyDescent="0.3">
      <c r="A1550" s="16" t="s">
        <v>115</v>
      </c>
      <c r="B1550" s="16" t="s">
        <v>38</v>
      </c>
      <c r="C1550" s="15">
        <v>8</v>
      </c>
      <c r="D1550" s="17">
        <v>2782000</v>
      </c>
      <c r="E1550" s="17">
        <v>65000</v>
      </c>
      <c r="F1550" s="17">
        <v>-2717000</v>
      </c>
      <c r="G1550" s="18">
        <v>2.336448598130841E-2</v>
      </c>
      <c r="H1550" s="10" t="str">
        <f t="shared" si="24"/>
        <v>COSTOS</v>
      </c>
      <c r="I1550" s="19">
        <v>2025</v>
      </c>
    </row>
    <row r="1551" spans="1:9" hidden="1" x14ac:dyDescent="0.3">
      <c r="A1551" s="16" t="s">
        <v>115</v>
      </c>
      <c r="B1551" s="16" t="s">
        <v>63</v>
      </c>
      <c r="C1551" s="15">
        <v>5</v>
      </c>
      <c r="D1551" s="17">
        <v>0</v>
      </c>
      <c r="E1551" s="17">
        <v>220000</v>
      </c>
      <c r="F1551" s="17">
        <v>220000</v>
      </c>
      <c r="G1551" s="18">
        <v>0</v>
      </c>
      <c r="H1551" s="10" t="str">
        <f t="shared" si="24"/>
        <v>COSTOS</v>
      </c>
      <c r="I1551" s="19">
        <v>2025</v>
      </c>
    </row>
    <row r="1552" spans="1:9" hidden="1" x14ac:dyDescent="0.3">
      <c r="A1552" s="16" t="s">
        <v>115</v>
      </c>
      <c r="B1552" s="16" t="s">
        <v>28</v>
      </c>
      <c r="C1552" s="15">
        <v>7</v>
      </c>
      <c r="D1552" s="17">
        <v>0</v>
      </c>
      <c r="E1552" s="17">
        <v>-1833525</v>
      </c>
      <c r="F1552" s="17">
        <v>-1833525</v>
      </c>
      <c r="G1552" s="18">
        <v>0</v>
      </c>
      <c r="H1552" s="10" t="str">
        <f t="shared" si="24"/>
        <v>COSTOS</v>
      </c>
      <c r="I1552" s="19">
        <v>2025</v>
      </c>
    </row>
    <row r="1553" spans="1:9" hidden="1" x14ac:dyDescent="0.3">
      <c r="A1553" s="16" t="s">
        <v>115</v>
      </c>
      <c r="B1553" s="16" t="s">
        <v>52</v>
      </c>
      <c r="C1553" s="15">
        <v>8</v>
      </c>
      <c r="D1553" s="17">
        <v>0</v>
      </c>
      <c r="E1553" s="17">
        <v>145000</v>
      </c>
      <c r="F1553" s="17">
        <v>145000</v>
      </c>
      <c r="G1553" s="18">
        <v>0</v>
      </c>
      <c r="H1553" s="10" t="str">
        <f t="shared" si="24"/>
        <v>COSTOS</v>
      </c>
      <c r="I1553" s="19">
        <v>2025</v>
      </c>
    </row>
    <row r="1554" spans="1:9" hidden="1" x14ac:dyDescent="0.3">
      <c r="A1554" s="16" t="s">
        <v>115</v>
      </c>
      <c r="B1554" s="16" t="s">
        <v>58</v>
      </c>
      <c r="C1554" s="15">
        <v>1</v>
      </c>
      <c r="D1554" s="17">
        <v>1000000</v>
      </c>
      <c r="E1554" s="17">
        <v>232400</v>
      </c>
      <c r="F1554" s="17">
        <v>-767600</v>
      </c>
      <c r="G1554" s="18">
        <v>0.2324</v>
      </c>
      <c r="H1554" s="10" t="str">
        <f t="shared" si="24"/>
        <v>COSTOS</v>
      </c>
      <c r="I1554" s="19">
        <v>2025</v>
      </c>
    </row>
    <row r="1555" spans="1:9" hidden="1" x14ac:dyDescent="0.3">
      <c r="A1555" s="16" t="s">
        <v>115</v>
      </c>
      <c r="B1555" s="16" t="s">
        <v>58</v>
      </c>
      <c r="C1555" s="15">
        <v>2</v>
      </c>
      <c r="D1555" s="17">
        <v>1000000</v>
      </c>
      <c r="E1555" s="17">
        <v>0</v>
      </c>
      <c r="F1555" s="17">
        <v>-1000000</v>
      </c>
      <c r="G1555" s="18">
        <v>0</v>
      </c>
      <c r="H1555" s="10" t="str">
        <f t="shared" si="24"/>
        <v>COSTOS</v>
      </c>
      <c r="I1555" s="19">
        <v>2025</v>
      </c>
    </row>
    <row r="1556" spans="1:9" hidden="1" x14ac:dyDescent="0.3">
      <c r="A1556" s="16" t="s">
        <v>115</v>
      </c>
      <c r="B1556" s="16" t="s">
        <v>58</v>
      </c>
      <c r="C1556" s="15">
        <v>3</v>
      </c>
      <c r="D1556" s="17">
        <v>1000000</v>
      </c>
      <c r="E1556" s="17">
        <v>0</v>
      </c>
      <c r="F1556" s="17">
        <v>-1000000</v>
      </c>
      <c r="G1556" s="18">
        <v>0</v>
      </c>
      <c r="H1556" s="10" t="str">
        <f t="shared" si="24"/>
        <v>COSTOS</v>
      </c>
      <c r="I1556" s="19">
        <v>2025</v>
      </c>
    </row>
    <row r="1557" spans="1:9" hidden="1" x14ac:dyDescent="0.3">
      <c r="A1557" s="16" t="s">
        <v>115</v>
      </c>
      <c r="B1557" s="16" t="s">
        <v>58</v>
      </c>
      <c r="C1557" s="15">
        <v>4</v>
      </c>
      <c r="D1557" s="17">
        <v>1000000</v>
      </c>
      <c r="E1557" s="17">
        <v>406671</v>
      </c>
      <c r="F1557" s="17">
        <v>-593329</v>
      </c>
      <c r="G1557" s="18">
        <v>0.406671</v>
      </c>
      <c r="H1557" s="10" t="str">
        <f t="shared" si="24"/>
        <v>COSTOS</v>
      </c>
      <c r="I1557" s="19">
        <v>2025</v>
      </c>
    </row>
    <row r="1558" spans="1:9" hidden="1" x14ac:dyDescent="0.3">
      <c r="A1558" s="16" t="s">
        <v>115</v>
      </c>
      <c r="B1558" s="16" t="s">
        <v>58</v>
      </c>
      <c r="C1558" s="15">
        <v>5</v>
      </c>
      <c r="D1558" s="17">
        <v>2600000</v>
      </c>
      <c r="E1558" s="17">
        <v>1558062</v>
      </c>
      <c r="F1558" s="17">
        <v>-1041938</v>
      </c>
      <c r="G1558" s="18">
        <v>0.59925461538461544</v>
      </c>
      <c r="H1558" s="10" t="str">
        <f t="shared" si="24"/>
        <v>COSTOS</v>
      </c>
      <c r="I1558" s="19">
        <v>2025</v>
      </c>
    </row>
    <row r="1559" spans="1:9" hidden="1" x14ac:dyDescent="0.3">
      <c r="A1559" s="16" t="s">
        <v>115</v>
      </c>
      <c r="B1559" s="16" t="s">
        <v>58</v>
      </c>
      <c r="C1559" s="15">
        <v>6</v>
      </c>
      <c r="D1559" s="17">
        <v>1000000</v>
      </c>
      <c r="E1559" s="17">
        <v>87000</v>
      </c>
      <c r="F1559" s="17">
        <v>-913000</v>
      </c>
      <c r="G1559" s="18">
        <v>8.6999999999999994E-2</v>
      </c>
      <c r="H1559" s="10" t="str">
        <f t="shared" si="24"/>
        <v>COSTOS</v>
      </c>
      <c r="I1559" s="19">
        <v>2025</v>
      </c>
    </row>
    <row r="1560" spans="1:9" hidden="1" x14ac:dyDescent="0.3">
      <c r="A1560" s="16" t="s">
        <v>115</v>
      </c>
      <c r="B1560" s="16" t="s">
        <v>58</v>
      </c>
      <c r="C1560" s="15">
        <v>7</v>
      </c>
      <c r="D1560" s="17">
        <v>1000000</v>
      </c>
      <c r="E1560" s="17">
        <v>396200</v>
      </c>
      <c r="F1560" s="17">
        <v>-603800</v>
      </c>
      <c r="G1560" s="18">
        <v>0.3962</v>
      </c>
      <c r="H1560" s="10" t="str">
        <f t="shared" si="24"/>
        <v>COSTOS</v>
      </c>
      <c r="I1560" s="19">
        <v>2025</v>
      </c>
    </row>
    <row r="1561" spans="1:9" hidden="1" x14ac:dyDescent="0.3">
      <c r="A1561" s="16" t="s">
        <v>115</v>
      </c>
      <c r="B1561" s="16" t="s">
        <v>58</v>
      </c>
      <c r="C1561" s="15">
        <v>8</v>
      </c>
      <c r="D1561" s="17">
        <v>1000000</v>
      </c>
      <c r="E1561" s="17">
        <v>1219186</v>
      </c>
      <c r="F1561" s="17">
        <v>219186</v>
      </c>
      <c r="G1561" s="18">
        <v>1.2191860000000001</v>
      </c>
      <c r="H1561" s="10" t="str">
        <f t="shared" si="24"/>
        <v>COSTOS</v>
      </c>
      <c r="I1561" s="19">
        <v>2025</v>
      </c>
    </row>
    <row r="1562" spans="1:9" hidden="1" x14ac:dyDescent="0.3">
      <c r="A1562" s="16" t="s">
        <v>115</v>
      </c>
      <c r="B1562" s="16" t="s">
        <v>58</v>
      </c>
      <c r="C1562" s="15">
        <v>9</v>
      </c>
      <c r="D1562" s="17">
        <v>1000000</v>
      </c>
      <c r="E1562" s="17">
        <v>1129800</v>
      </c>
      <c r="F1562" s="17">
        <v>129800</v>
      </c>
      <c r="G1562" s="18">
        <v>1.1297999999999999</v>
      </c>
      <c r="H1562" s="10" t="str">
        <f t="shared" si="24"/>
        <v>COSTOS</v>
      </c>
      <c r="I1562" s="19">
        <v>2025</v>
      </c>
    </row>
    <row r="1563" spans="1:9" hidden="1" x14ac:dyDescent="0.3">
      <c r="A1563" s="16" t="s">
        <v>115</v>
      </c>
      <c r="B1563" s="16" t="s">
        <v>58</v>
      </c>
      <c r="C1563" s="15">
        <v>10</v>
      </c>
      <c r="D1563" s="17">
        <v>1000000</v>
      </c>
      <c r="E1563" s="17">
        <v>306900</v>
      </c>
      <c r="F1563" s="17">
        <v>-693100</v>
      </c>
      <c r="G1563" s="18">
        <v>0.30690000000000001</v>
      </c>
      <c r="H1563" s="10" t="str">
        <f t="shared" si="24"/>
        <v>COSTOS</v>
      </c>
      <c r="I1563" s="19">
        <v>2025</v>
      </c>
    </row>
    <row r="1564" spans="1:9" hidden="1" x14ac:dyDescent="0.3">
      <c r="A1564" s="16" t="s">
        <v>115</v>
      </c>
      <c r="B1564" s="16" t="s">
        <v>59</v>
      </c>
      <c r="C1564" s="15">
        <v>1</v>
      </c>
      <c r="D1564" s="17">
        <v>330000</v>
      </c>
      <c r="E1564" s="17">
        <v>458910</v>
      </c>
      <c r="F1564" s="17">
        <v>128910</v>
      </c>
      <c r="G1564" s="18">
        <v>1.3906363636363637</v>
      </c>
      <c r="H1564" s="10" t="str">
        <f t="shared" si="24"/>
        <v>COSTOS</v>
      </c>
      <c r="I1564" s="19">
        <v>2025</v>
      </c>
    </row>
    <row r="1565" spans="1:9" hidden="1" x14ac:dyDescent="0.3">
      <c r="A1565" s="16" t="s">
        <v>115</v>
      </c>
      <c r="B1565" s="16" t="s">
        <v>59</v>
      </c>
      <c r="C1565" s="15">
        <v>2</v>
      </c>
      <c r="D1565" s="17">
        <v>330000</v>
      </c>
      <c r="E1565" s="17">
        <v>739150</v>
      </c>
      <c r="F1565" s="17">
        <v>409150</v>
      </c>
      <c r="G1565" s="18">
        <v>2.2398484848484848</v>
      </c>
      <c r="H1565" s="10" t="str">
        <f t="shared" si="24"/>
        <v>COSTOS</v>
      </c>
      <c r="I1565" s="19">
        <v>2025</v>
      </c>
    </row>
    <row r="1566" spans="1:9" hidden="1" x14ac:dyDescent="0.3">
      <c r="A1566" s="16" t="s">
        <v>115</v>
      </c>
      <c r="B1566" s="16" t="s">
        <v>59</v>
      </c>
      <c r="C1566" s="15">
        <v>3</v>
      </c>
      <c r="D1566" s="17">
        <v>330000</v>
      </c>
      <c r="E1566" s="17">
        <v>4250950</v>
      </c>
      <c r="F1566" s="17">
        <v>3920950</v>
      </c>
      <c r="G1566" s="18">
        <v>12.881666666666666</v>
      </c>
      <c r="H1566" s="10" t="str">
        <f t="shared" si="24"/>
        <v>COSTOS</v>
      </c>
      <c r="I1566" s="19">
        <v>2025</v>
      </c>
    </row>
    <row r="1567" spans="1:9" hidden="1" x14ac:dyDescent="0.3">
      <c r="A1567" s="16" t="s">
        <v>115</v>
      </c>
      <c r="B1567" s="16" t="s">
        <v>59</v>
      </c>
      <c r="C1567" s="15">
        <v>4</v>
      </c>
      <c r="D1567" s="17">
        <v>330000</v>
      </c>
      <c r="E1567" s="17">
        <v>526852</v>
      </c>
      <c r="F1567" s="17">
        <v>196852</v>
      </c>
      <c r="G1567" s="18">
        <v>1.5965212121212122</v>
      </c>
      <c r="H1567" s="10" t="str">
        <f t="shared" si="24"/>
        <v>COSTOS</v>
      </c>
      <c r="I1567" s="19">
        <v>2025</v>
      </c>
    </row>
    <row r="1568" spans="1:9" hidden="1" x14ac:dyDescent="0.3">
      <c r="A1568" s="16" t="s">
        <v>115</v>
      </c>
      <c r="B1568" s="16" t="s">
        <v>59</v>
      </c>
      <c r="C1568" s="15">
        <v>5</v>
      </c>
      <c r="D1568" s="17">
        <v>330000</v>
      </c>
      <c r="E1568" s="17">
        <v>5129596</v>
      </c>
      <c r="F1568" s="17">
        <v>4799596</v>
      </c>
      <c r="G1568" s="18">
        <v>15.544230303030302</v>
      </c>
      <c r="H1568" s="10" t="str">
        <f t="shared" si="24"/>
        <v>COSTOS</v>
      </c>
      <c r="I1568" s="19">
        <v>2025</v>
      </c>
    </row>
    <row r="1569" spans="1:9" hidden="1" x14ac:dyDescent="0.3">
      <c r="A1569" s="16" t="s">
        <v>115</v>
      </c>
      <c r="B1569" s="16" t="s">
        <v>59</v>
      </c>
      <c r="C1569" s="15">
        <v>6</v>
      </c>
      <c r="D1569" s="17">
        <v>330000</v>
      </c>
      <c r="E1569" s="17">
        <v>2684275</v>
      </c>
      <c r="F1569" s="17">
        <v>2354275</v>
      </c>
      <c r="G1569" s="18">
        <v>8.1341666666666672</v>
      </c>
      <c r="H1569" s="10" t="str">
        <f t="shared" si="24"/>
        <v>COSTOS</v>
      </c>
      <c r="I1569" s="19">
        <v>2025</v>
      </c>
    </row>
    <row r="1570" spans="1:9" hidden="1" x14ac:dyDescent="0.3">
      <c r="A1570" s="16" t="s">
        <v>115</v>
      </c>
      <c r="B1570" s="16" t="s">
        <v>59</v>
      </c>
      <c r="C1570" s="15">
        <v>7</v>
      </c>
      <c r="D1570" s="17">
        <v>330000</v>
      </c>
      <c r="E1570" s="17">
        <v>709115</v>
      </c>
      <c r="F1570" s="17">
        <v>379115</v>
      </c>
      <c r="G1570" s="18">
        <v>2.1488333333333336</v>
      </c>
      <c r="H1570" s="10" t="str">
        <f t="shared" si="24"/>
        <v>COSTOS</v>
      </c>
      <c r="I1570" s="19">
        <v>2025</v>
      </c>
    </row>
    <row r="1571" spans="1:9" hidden="1" x14ac:dyDescent="0.3">
      <c r="A1571" s="16" t="s">
        <v>115</v>
      </c>
      <c r="B1571" s="16" t="s">
        <v>59</v>
      </c>
      <c r="C1571" s="15">
        <v>8</v>
      </c>
      <c r="D1571" s="17">
        <v>330000</v>
      </c>
      <c r="E1571" s="17">
        <v>0</v>
      </c>
      <c r="F1571" s="17">
        <v>-330000</v>
      </c>
      <c r="G1571" s="18">
        <v>0</v>
      </c>
      <c r="H1571" s="10" t="str">
        <f t="shared" si="24"/>
        <v>COSTOS</v>
      </c>
      <c r="I1571" s="19">
        <v>2025</v>
      </c>
    </row>
    <row r="1572" spans="1:9" hidden="1" x14ac:dyDescent="0.3">
      <c r="A1572" s="16" t="s">
        <v>115</v>
      </c>
      <c r="B1572" s="16" t="s">
        <v>59</v>
      </c>
      <c r="C1572" s="15">
        <v>9</v>
      </c>
      <c r="D1572" s="17">
        <v>330000</v>
      </c>
      <c r="E1572" s="17">
        <v>5162659</v>
      </c>
      <c r="F1572" s="17">
        <v>4832659</v>
      </c>
      <c r="G1572" s="18">
        <v>15.644421212121213</v>
      </c>
      <c r="H1572" s="10" t="str">
        <f t="shared" si="24"/>
        <v>COSTOS</v>
      </c>
      <c r="I1572" s="19">
        <v>2025</v>
      </c>
    </row>
    <row r="1573" spans="1:9" hidden="1" x14ac:dyDescent="0.3">
      <c r="A1573" s="16" t="s">
        <v>115</v>
      </c>
      <c r="B1573" s="16" t="s">
        <v>59</v>
      </c>
      <c r="C1573" s="15">
        <v>10</v>
      </c>
      <c r="D1573" s="17">
        <v>330000</v>
      </c>
      <c r="E1573" s="17">
        <v>589317</v>
      </c>
      <c r="F1573" s="17">
        <v>259317</v>
      </c>
      <c r="G1573" s="18">
        <v>1.7858090909090909</v>
      </c>
      <c r="H1573" s="10" t="str">
        <f t="shared" si="24"/>
        <v>COSTOS</v>
      </c>
      <c r="I1573" s="19">
        <v>2025</v>
      </c>
    </row>
    <row r="1574" spans="1:9" hidden="1" x14ac:dyDescent="0.3">
      <c r="A1574" s="16" t="s">
        <v>115</v>
      </c>
      <c r="B1574" s="16" t="s">
        <v>16</v>
      </c>
      <c r="C1574" s="15">
        <v>11</v>
      </c>
      <c r="D1574" s="17">
        <v>28000</v>
      </c>
      <c r="E1574" s="17">
        <v>0</v>
      </c>
      <c r="F1574" s="17">
        <v>-28000</v>
      </c>
      <c r="G1574" s="18">
        <v>0</v>
      </c>
      <c r="H1574" s="10" t="str">
        <f t="shared" si="24"/>
        <v>COSTOS</v>
      </c>
      <c r="I1574" s="19">
        <v>2025</v>
      </c>
    </row>
    <row r="1575" spans="1:9" hidden="1" x14ac:dyDescent="0.3">
      <c r="A1575" s="16" t="s">
        <v>115</v>
      </c>
      <c r="B1575" s="16" t="s">
        <v>58</v>
      </c>
      <c r="C1575" s="15">
        <v>11</v>
      </c>
      <c r="D1575" s="17">
        <v>1000000</v>
      </c>
      <c r="E1575" s="17">
        <v>0</v>
      </c>
      <c r="F1575" s="17">
        <v>-1000000</v>
      </c>
      <c r="G1575" s="18">
        <v>0</v>
      </c>
      <c r="H1575" s="10" t="str">
        <f t="shared" si="24"/>
        <v>COSTOS</v>
      </c>
      <c r="I1575" s="19">
        <v>2025</v>
      </c>
    </row>
    <row r="1576" spans="1:9" hidden="1" x14ac:dyDescent="0.3">
      <c r="A1576" s="16" t="s">
        <v>115</v>
      </c>
      <c r="B1576" s="16" t="s">
        <v>59</v>
      </c>
      <c r="C1576" s="15">
        <v>11</v>
      </c>
      <c r="D1576" s="17">
        <v>330000</v>
      </c>
      <c r="E1576" s="17">
        <v>3512577</v>
      </c>
      <c r="F1576" s="17">
        <v>3182577</v>
      </c>
      <c r="G1576" s="18">
        <v>10.644172727272727</v>
      </c>
      <c r="H1576" s="10" t="str">
        <f t="shared" si="24"/>
        <v>COSTOS</v>
      </c>
      <c r="I1576" s="19">
        <v>2025</v>
      </c>
    </row>
    <row r="1577" spans="1:9" hidden="1" x14ac:dyDescent="0.3">
      <c r="A1577" s="16" t="s">
        <v>115</v>
      </c>
      <c r="B1577" s="16" t="s">
        <v>16</v>
      </c>
      <c r="C1577" s="15">
        <v>12</v>
      </c>
      <c r="D1577" s="17">
        <v>28000</v>
      </c>
      <c r="E1577" s="17">
        <v>0</v>
      </c>
      <c r="F1577" s="17">
        <v>-28000</v>
      </c>
      <c r="G1577" s="18">
        <v>0</v>
      </c>
      <c r="H1577" s="10" t="str">
        <f t="shared" si="24"/>
        <v>COSTOS</v>
      </c>
      <c r="I1577" s="19">
        <v>2025</v>
      </c>
    </row>
    <row r="1578" spans="1:9" hidden="1" x14ac:dyDescent="0.3">
      <c r="A1578" s="16" t="s">
        <v>115</v>
      </c>
      <c r="B1578" s="16" t="s">
        <v>28</v>
      </c>
      <c r="C1578" s="15">
        <v>12</v>
      </c>
      <c r="D1578" s="17">
        <v>0</v>
      </c>
      <c r="E1578" s="17">
        <v>15900</v>
      </c>
      <c r="F1578" s="17">
        <v>15900</v>
      </c>
      <c r="G1578" s="18">
        <v>0</v>
      </c>
      <c r="H1578" s="10" t="str">
        <f t="shared" si="24"/>
        <v>COSTOS</v>
      </c>
      <c r="I1578" s="19">
        <v>2025</v>
      </c>
    </row>
    <row r="1579" spans="1:9" hidden="1" x14ac:dyDescent="0.3">
      <c r="A1579" s="16" t="s">
        <v>115</v>
      </c>
      <c r="B1579" s="16" t="s">
        <v>58</v>
      </c>
      <c r="C1579" s="15">
        <v>12</v>
      </c>
      <c r="D1579" s="17">
        <v>1000000</v>
      </c>
      <c r="E1579" s="17">
        <v>77600</v>
      </c>
      <c r="F1579" s="17">
        <v>-922400</v>
      </c>
      <c r="G1579" s="18">
        <v>7.7600000000000002E-2</v>
      </c>
      <c r="H1579" s="10" t="str">
        <f t="shared" si="24"/>
        <v>COSTOS</v>
      </c>
      <c r="I1579" s="19">
        <v>2025</v>
      </c>
    </row>
    <row r="1580" spans="1:9" hidden="1" x14ac:dyDescent="0.3">
      <c r="A1580" s="16" t="s">
        <v>115</v>
      </c>
      <c r="B1580" s="16" t="s">
        <v>59</v>
      </c>
      <c r="C1580" s="15">
        <v>12</v>
      </c>
      <c r="D1580" s="17">
        <v>330000</v>
      </c>
      <c r="E1580" s="17">
        <v>741300</v>
      </c>
      <c r="F1580" s="17">
        <v>411300</v>
      </c>
      <c r="G1580" s="18">
        <v>2.2463636363636366</v>
      </c>
      <c r="H1580" s="10" t="str">
        <f t="shared" si="24"/>
        <v>COSTOS</v>
      </c>
      <c r="I1580" s="19">
        <v>2025</v>
      </c>
    </row>
    <row r="1581" spans="1:9" hidden="1" x14ac:dyDescent="0.3">
      <c r="A1581" s="16" t="s">
        <v>116</v>
      </c>
      <c r="B1581" s="16" t="s">
        <v>38</v>
      </c>
      <c r="C1581" s="15">
        <v>3</v>
      </c>
      <c r="D1581" s="17">
        <v>0</v>
      </c>
      <c r="E1581" s="17">
        <v>3200000</v>
      </c>
      <c r="F1581" s="17">
        <v>3200000</v>
      </c>
      <c r="G1581" s="18">
        <v>0</v>
      </c>
      <c r="H1581" s="10" t="str">
        <f t="shared" si="24"/>
        <v>COSTOS</v>
      </c>
      <c r="I1581" s="19">
        <v>2025</v>
      </c>
    </row>
    <row r="1582" spans="1:9" hidden="1" x14ac:dyDescent="0.3">
      <c r="A1582" s="16" t="s">
        <v>116</v>
      </c>
      <c r="B1582" s="16" t="s">
        <v>55</v>
      </c>
      <c r="C1582" s="15">
        <v>1</v>
      </c>
      <c r="D1582" s="17">
        <v>0</v>
      </c>
      <c r="E1582" s="17">
        <v>28700</v>
      </c>
      <c r="F1582" s="17">
        <v>28700</v>
      </c>
      <c r="G1582" s="18">
        <v>0</v>
      </c>
      <c r="H1582" s="10" t="str">
        <f t="shared" si="24"/>
        <v>COSTOS</v>
      </c>
      <c r="I1582" s="19">
        <v>2025</v>
      </c>
    </row>
    <row r="1583" spans="1:9" hidden="1" x14ac:dyDescent="0.3">
      <c r="A1583" s="16" t="s">
        <v>116</v>
      </c>
      <c r="B1583" s="16" t="s">
        <v>55</v>
      </c>
      <c r="C1583" s="15">
        <v>3</v>
      </c>
      <c r="D1583" s="17">
        <v>0</v>
      </c>
      <c r="E1583" s="17">
        <v>883100</v>
      </c>
      <c r="F1583" s="17">
        <v>883100</v>
      </c>
      <c r="G1583" s="18">
        <v>0</v>
      </c>
      <c r="H1583" s="10" t="str">
        <f t="shared" si="24"/>
        <v>COSTOS</v>
      </c>
      <c r="I1583" s="19">
        <v>2025</v>
      </c>
    </row>
    <row r="1584" spans="1:9" hidden="1" x14ac:dyDescent="0.3">
      <c r="A1584" s="16" t="s">
        <v>116</v>
      </c>
      <c r="B1584" s="16" t="s">
        <v>55</v>
      </c>
      <c r="C1584" s="15">
        <v>6</v>
      </c>
      <c r="D1584" s="17">
        <v>0</v>
      </c>
      <c r="E1584" s="17">
        <v>1010000</v>
      </c>
      <c r="F1584" s="17">
        <v>1010000</v>
      </c>
      <c r="G1584" s="18">
        <v>0</v>
      </c>
      <c r="H1584" s="10" t="str">
        <f t="shared" si="24"/>
        <v>COSTOS</v>
      </c>
      <c r="I1584" s="19">
        <v>2025</v>
      </c>
    </row>
    <row r="1585" spans="1:9" hidden="1" x14ac:dyDescent="0.3">
      <c r="A1585" s="16" t="s">
        <v>116</v>
      </c>
      <c r="B1585" s="16" t="s">
        <v>55</v>
      </c>
      <c r="C1585" s="15">
        <v>7</v>
      </c>
      <c r="D1585" s="17">
        <v>0</v>
      </c>
      <c r="E1585" s="17">
        <v>380000</v>
      </c>
      <c r="F1585" s="17">
        <v>380000</v>
      </c>
      <c r="G1585" s="18">
        <v>0</v>
      </c>
      <c r="H1585" s="10" t="str">
        <f t="shared" si="24"/>
        <v>COSTOS</v>
      </c>
      <c r="I1585" s="19">
        <v>2025</v>
      </c>
    </row>
    <row r="1586" spans="1:9" hidden="1" x14ac:dyDescent="0.3">
      <c r="A1586" s="16" t="s">
        <v>116</v>
      </c>
      <c r="B1586" s="16" t="s">
        <v>55</v>
      </c>
      <c r="C1586" s="15">
        <v>9</v>
      </c>
      <c r="D1586" s="17">
        <v>0</v>
      </c>
      <c r="E1586" s="17">
        <v>580000</v>
      </c>
      <c r="F1586" s="17">
        <v>580000</v>
      </c>
      <c r="G1586" s="18">
        <v>0</v>
      </c>
      <c r="H1586" s="10" t="str">
        <f t="shared" si="24"/>
        <v>COSTOS</v>
      </c>
      <c r="I1586" s="19">
        <v>2025</v>
      </c>
    </row>
    <row r="1587" spans="1:9" hidden="1" x14ac:dyDescent="0.3">
      <c r="A1587" s="16" t="s">
        <v>116</v>
      </c>
      <c r="B1587" s="16" t="s">
        <v>55</v>
      </c>
      <c r="C1587" s="15">
        <v>10</v>
      </c>
      <c r="D1587" s="17">
        <v>0</v>
      </c>
      <c r="E1587" s="17">
        <v>50000</v>
      </c>
      <c r="F1587" s="17">
        <v>50000</v>
      </c>
      <c r="G1587" s="18">
        <v>0</v>
      </c>
      <c r="H1587" s="10" t="str">
        <f t="shared" si="24"/>
        <v>COSTOS</v>
      </c>
      <c r="I1587" s="19">
        <v>2025</v>
      </c>
    </row>
    <row r="1588" spans="1:9" hidden="1" x14ac:dyDescent="0.3">
      <c r="A1588" s="16" t="s">
        <v>116</v>
      </c>
      <c r="B1588" s="16" t="s">
        <v>63</v>
      </c>
      <c r="C1588" s="15">
        <v>1</v>
      </c>
      <c r="D1588" s="17">
        <v>200000</v>
      </c>
      <c r="E1588" s="17">
        <v>0</v>
      </c>
      <c r="F1588" s="17">
        <v>-200000</v>
      </c>
      <c r="G1588" s="18">
        <v>0</v>
      </c>
      <c r="H1588" s="10" t="str">
        <f t="shared" si="24"/>
        <v>COSTOS</v>
      </c>
      <c r="I1588" s="19">
        <v>2025</v>
      </c>
    </row>
    <row r="1589" spans="1:9" hidden="1" x14ac:dyDescent="0.3">
      <c r="A1589" s="16" t="s">
        <v>116</v>
      </c>
      <c r="B1589" s="16" t="s">
        <v>63</v>
      </c>
      <c r="C1589" s="15">
        <v>2</v>
      </c>
      <c r="D1589" s="17">
        <v>3500000</v>
      </c>
      <c r="E1589" s="17">
        <v>0</v>
      </c>
      <c r="F1589" s="17">
        <v>-3500000</v>
      </c>
      <c r="G1589" s="18">
        <v>0</v>
      </c>
      <c r="H1589" s="10" t="str">
        <f t="shared" si="24"/>
        <v>COSTOS</v>
      </c>
      <c r="I1589" s="19">
        <v>2025</v>
      </c>
    </row>
    <row r="1590" spans="1:9" hidden="1" x14ac:dyDescent="0.3">
      <c r="A1590" s="16" t="s">
        <v>116</v>
      </c>
      <c r="B1590" s="16" t="s">
        <v>63</v>
      </c>
      <c r="C1590" s="15">
        <v>3</v>
      </c>
      <c r="D1590" s="17">
        <v>200000</v>
      </c>
      <c r="E1590" s="17">
        <v>0</v>
      </c>
      <c r="F1590" s="17">
        <v>-200000</v>
      </c>
      <c r="G1590" s="18">
        <v>0</v>
      </c>
      <c r="H1590" s="10" t="str">
        <f t="shared" si="24"/>
        <v>COSTOS</v>
      </c>
      <c r="I1590" s="19">
        <v>2025</v>
      </c>
    </row>
    <row r="1591" spans="1:9" hidden="1" x14ac:dyDescent="0.3">
      <c r="A1591" s="16" t="s">
        <v>116</v>
      </c>
      <c r="B1591" s="16" t="s">
        <v>63</v>
      </c>
      <c r="C1591" s="15">
        <v>4</v>
      </c>
      <c r="D1591" s="17">
        <v>200000</v>
      </c>
      <c r="E1591" s="17">
        <v>0</v>
      </c>
      <c r="F1591" s="17">
        <v>-200000</v>
      </c>
      <c r="G1591" s="18">
        <v>0</v>
      </c>
      <c r="H1591" s="10" t="str">
        <f t="shared" si="24"/>
        <v>COSTOS</v>
      </c>
      <c r="I1591" s="19">
        <v>2025</v>
      </c>
    </row>
    <row r="1592" spans="1:9" hidden="1" x14ac:dyDescent="0.3">
      <c r="A1592" s="16" t="s">
        <v>116</v>
      </c>
      <c r="B1592" s="16" t="s">
        <v>63</v>
      </c>
      <c r="C1592" s="15">
        <v>5</v>
      </c>
      <c r="D1592" s="17">
        <v>200000</v>
      </c>
      <c r="E1592" s="17">
        <v>0</v>
      </c>
      <c r="F1592" s="17">
        <v>-200000</v>
      </c>
      <c r="G1592" s="18">
        <v>0</v>
      </c>
      <c r="H1592" s="10" t="str">
        <f t="shared" si="24"/>
        <v>COSTOS</v>
      </c>
      <c r="I1592" s="19">
        <v>2025</v>
      </c>
    </row>
    <row r="1593" spans="1:9" hidden="1" x14ac:dyDescent="0.3">
      <c r="A1593" s="16" t="s">
        <v>116</v>
      </c>
      <c r="B1593" s="16" t="s">
        <v>63</v>
      </c>
      <c r="C1593" s="15">
        <v>6</v>
      </c>
      <c r="D1593" s="17">
        <v>200000</v>
      </c>
      <c r="E1593" s="17">
        <v>7887</v>
      </c>
      <c r="F1593" s="17">
        <v>-192113</v>
      </c>
      <c r="G1593" s="18">
        <v>3.9434999999999998E-2</v>
      </c>
      <c r="H1593" s="10" t="str">
        <f t="shared" si="24"/>
        <v>COSTOS</v>
      </c>
      <c r="I1593" s="19">
        <v>2025</v>
      </c>
    </row>
    <row r="1594" spans="1:9" hidden="1" x14ac:dyDescent="0.3">
      <c r="A1594" s="16" t="s">
        <v>116</v>
      </c>
      <c r="B1594" s="16" t="s">
        <v>63</v>
      </c>
      <c r="C1594" s="15">
        <v>7</v>
      </c>
      <c r="D1594" s="17">
        <v>200000</v>
      </c>
      <c r="E1594" s="17">
        <v>0</v>
      </c>
      <c r="F1594" s="17">
        <v>-200000</v>
      </c>
      <c r="G1594" s="18">
        <v>0</v>
      </c>
      <c r="H1594" s="10" t="str">
        <f t="shared" si="24"/>
        <v>COSTOS</v>
      </c>
      <c r="I1594" s="19">
        <v>2025</v>
      </c>
    </row>
    <row r="1595" spans="1:9" hidden="1" x14ac:dyDescent="0.3">
      <c r="A1595" s="16" t="s">
        <v>116</v>
      </c>
      <c r="B1595" s="16" t="s">
        <v>63</v>
      </c>
      <c r="C1595" s="15">
        <v>8</v>
      </c>
      <c r="D1595" s="17">
        <v>200000</v>
      </c>
      <c r="E1595" s="17">
        <v>0</v>
      </c>
      <c r="F1595" s="17">
        <v>-200000</v>
      </c>
      <c r="G1595" s="18">
        <v>0</v>
      </c>
      <c r="H1595" s="10" t="str">
        <f t="shared" si="24"/>
        <v>COSTOS</v>
      </c>
      <c r="I1595" s="19">
        <v>2025</v>
      </c>
    </row>
    <row r="1596" spans="1:9" hidden="1" x14ac:dyDescent="0.3">
      <c r="A1596" s="16" t="s">
        <v>116</v>
      </c>
      <c r="B1596" s="16" t="s">
        <v>63</v>
      </c>
      <c r="C1596" s="15">
        <v>9</v>
      </c>
      <c r="D1596" s="17">
        <v>200000</v>
      </c>
      <c r="E1596" s="17">
        <v>18145000</v>
      </c>
      <c r="F1596" s="17">
        <v>17945000</v>
      </c>
      <c r="G1596" s="18">
        <v>90.724999999999994</v>
      </c>
      <c r="H1596" s="10" t="str">
        <f t="shared" si="24"/>
        <v>COSTOS</v>
      </c>
      <c r="I1596" s="19">
        <v>2025</v>
      </c>
    </row>
    <row r="1597" spans="1:9" hidden="1" x14ac:dyDescent="0.3">
      <c r="A1597" s="16" t="s">
        <v>116</v>
      </c>
      <c r="B1597" s="16" t="s">
        <v>63</v>
      </c>
      <c r="C1597" s="15">
        <v>10</v>
      </c>
      <c r="D1597" s="17">
        <v>200000</v>
      </c>
      <c r="E1597" s="17">
        <v>0</v>
      </c>
      <c r="F1597" s="17">
        <v>-200000</v>
      </c>
      <c r="G1597" s="18">
        <v>0</v>
      </c>
      <c r="H1597" s="10" t="str">
        <f t="shared" si="24"/>
        <v>COSTOS</v>
      </c>
      <c r="I1597" s="19">
        <v>2025</v>
      </c>
    </row>
    <row r="1598" spans="1:9" hidden="1" x14ac:dyDescent="0.3">
      <c r="A1598" s="16" t="s">
        <v>116</v>
      </c>
      <c r="B1598" s="16" t="s">
        <v>55</v>
      </c>
      <c r="C1598" s="15">
        <v>11</v>
      </c>
      <c r="D1598" s="17">
        <v>0</v>
      </c>
      <c r="E1598" s="17">
        <v>5471500</v>
      </c>
      <c r="F1598" s="17">
        <v>5471500</v>
      </c>
      <c r="G1598" s="18">
        <v>0</v>
      </c>
      <c r="H1598" s="10" t="str">
        <f t="shared" si="24"/>
        <v>COSTOS</v>
      </c>
      <c r="I1598" s="19">
        <v>2025</v>
      </c>
    </row>
    <row r="1599" spans="1:9" hidden="1" x14ac:dyDescent="0.3">
      <c r="A1599" s="16" t="s">
        <v>116</v>
      </c>
      <c r="B1599" s="16" t="s">
        <v>63</v>
      </c>
      <c r="C1599" s="15">
        <v>11</v>
      </c>
      <c r="D1599" s="17">
        <v>200000</v>
      </c>
      <c r="E1599" s="17">
        <v>910300</v>
      </c>
      <c r="F1599" s="17">
        <v>710300</v>
      </c>
      <c r="G1599" s="18">
        <v>4.5514999999999999</v>
      </c>
      <c r="H1599" s="10" t="str">
        <f t="shared" si="24"/>
        <v>COSTOS</v>
      </c>
      <c r="I1599" s="19">
        <v>2025</v>
      </c>
    </row>
    <row r="1600" spans="1:9" hidden="1" x14ac:dyDescent="0.3">
      <c r="A1600" s="16" t="s">
        <v>116</v>
      </c>
      <c r="B1600" s="16" t="s">
        <v>55</v>
      </c>
      <c r="C1600" s="15">
        <v>12</v>
      </c>
      <c r="D1600" s="17">
        <v>0</v>
      </c>
      <c r="E1600" s="17">
        <v>216000</v>
      </c>
      <c r="F1600" s="17">
        <v>216000</v>
      </c>
      <c r="G1600" s="18">
        <v>0</v>
      </c>
      <c r="H1600" s="10" t="str">
        <f t="shared" si="24"/>
        <v>COSTOS</v>
      </c>
      <c r="I1600" s="19">
        <v>2025</v>
      </c>
    </row>
    <row r="1601" spans="1:9" hidden="1" x14ac:dyDescent="0.3">
      <c r="A1601" s="16" t="s">
        <v>116</v>
      </c>
      <c r="B1601" s="16" t="s">
        <v>63</v>
      </c>
      <c r="C1601" s="15">
        <v>12</v>
      </c>
      <c r="D1601" s="17">
        <v>200000</v>
      </c>
      <c r="E1601" s="17">
        <v>0</v>
      </c>
      <c r="F1601" s="17">
        <v>-200000</v>
      </c>
      <c r="G1601" s="18">
        <v>0</v>
      </c>
      <c r="H1601" s="10" t="str">
        <f t="shared" si="24"/>
        <v>COSTOS</v>
      </c>
      <c r="I1601" s="19">
        <v>2025</v>
      </c>
    </row>
    <row r="1602" spans="1:9" hidden="1" x14ac:dyDescent="0.3">
      <c r="A1602" s="16" t="s">
        <v>117</v>
      </c>
      <c r="B1602" s="16" t="s">
        <v>63</v>
      </c>
      <c r="C1602" s="15">
        <v>1</v>
      </c>
      <c r="D1602" s="17">
        <v>200000</v>
      </c>
      <c r="E1602" s="17">
        <v>0</v>
      </c>
      <c r="F1602" s="17">
        <v>-200000</v>
      </c>
      <c r="G1602" s="18">
        <v>0</v>
      </c>
      <c r="H1602" s="10" t="str">
        <f t="shared" si="24"/>
        <v>COSTOS</v>
      </c>
      <c r="I1602" s="19">
        <v>2025</v>
      </c>
    </row>
    <row r="1603" spans="1:9" hidden="1" x14ac:dyDescent="0.3">
      <c r="A1603" s="16" t="s">
        <v>117</v>
      </c>
      <c r="B1603" s="16" t="s">
        <v>63</v>
      </c>
      <c r="C1603" s="15">
        <v>2</v>
      </c>
      <c r="D1603" s="17">
        <v>200000</v>
      </c>
      <c r="E1603" s="17">
        <v>0</v>
      </c>
      <c r="F1603" s="17">
        <v>-200000</v>
      </c>
      <c r="G1603" s="18">
        <v>0</v>
      </c>
      <c r="H1603" s="10" t="str">
        <f t="shared" ref="H1603:H1666" si="25">+IF(OR(A1603="ADMINISTRACION",A1603="COMERCIAL",A1603="COMERCIAL-EXPORTACIONES",A1603="LEASING DE LA BODEGA",A1603="LOGISTICA-SALIDA",A1603="OTROS GASTOS",A1603="BODEGA ALQUILADA", A1603="BODEGA CARTOPLAST", A1603="BODEGA CARTOPLAS", A1603= "GESTION HUMANA-OTROS GASTOS"),"GASTOS","COSTOS")</f>
        <v>COSTOS</v>
      </c>
      <c r="I1603" s="19">
        <v>2025</v>
      </c>
    </row>
    <row r="1604" spans="1:9" hidden="1" x14ac:dyDescent="0.3">
      <c r="A1604" s="16" t="s">
        <v>117</v>
      </c>
      <c r="B1604" s="16" t="s">
        <v>63</v>
      </c>
      <c r="C1604" s="15">
        <v>3</v>
      </c>
      <c r="D1604" s="17">
        <v>3500000</v>
      </c>
      <c r="E1604" s="17">
        <v>0</v>
      </c>
      <c r="F1604" s="17">
        <v>-3500000</v>
      </c>
      <c r="G1604" s="18">
        <v>0</v>
      </c>
      <c r="H1604" s="10" t="str">
        <f t="shared" si="25"/>
        <v>COSTOS</v>
      </c>
      <c r="I1604" s="19">
        <v>2025</v>
      </c>
    </row>
    <row r="1605" spans="1:9" hidden="1" x14ac:dyDescent="0.3">
      <c r="A1605" s="16" t="s">
        <v>117</v>
      </c>
      <c r="B1605" s="16" t="s">
        <v>63</v>
      </c>
      <c r="C1605" s="15">
        <v>4</v>
      </c>
      <c r="D1605" s="17">
        <v>200000</v>
      </c>
      <c r="E1605" s="17">
        <v>0</v>
      </c>
      <c r="F1605" s="17">
        <v>-200000</v>
      </c>
      <c r="G1605" s="18">
        <v>0</v>
      </c>
      <c r="H1605" s="10" t="str">
        <f t="shared" si="25"/>
        <v>COSTOS</v>
      </c>
      <c r="I1605" s="19">
        <v>2025</v>
      </c>
    </row>
    <row r="1606" spans="1:9" hidden="1" x14ac:dyDescent="0.3">
      <c r="A1606" s="16" t="s">
        <v>117</v>
      </c>
      <c r="B1606" s="16" t="s">
        <v>63</v>
      </c>
      <c r="C1606" s="15">
        <v>5</v>
      </c>
      <c r="D1606" s="17">
        <v>200000</v>
      </c>
      <c r="E1606" s="17">
        <v>0</v>
      </c>
      <c r="F1606" s="17">
        <v>-200000</v>
      </c>
      <c r="G1606" s="18">
        <v>0</v>
      </c>
      <c r="H1606" s="10" t="str">
        <f t="shared" si="25"/>
        <v>COSTOS</v>
      </c>
      <c r="I1606" s="19">
        <v>2025</v>
      </c>
    </row>
    <row r="1607" spans="1:9" hidden="1" x14ac:dyDescent="0.3">
      <c r="A1607" s="16" t="s">
        <v>117</v>
      </c>
      <c r="B1607" s="16" t="s">
        <v>63</v>
      </c>
      <c r="C1607" s="15">
        <v>6</v>
      </c>
      <c r="D1607" s="17">
        <v>200000</v>
      </c>
      <c r="E1607" s="17">
        <v>0</v>
      </c>
      <c r="F1607" s="17">
        <v>-200000</v>
      </c>
      <c r="G1607" s="18">
        <v>0</v>
      </c>
      <c r="H1607" s="10" t="str">
        <f t="shared" si="25"/>
        <v>COSTOS</v>
      </c>
      <c r="I1607" s="19">
        <v>2025</v>
      </c>
    </row>
    <row r="1608" spans="1:9" hidden="1" x14ac:dyDescent="0.3">
      <c r="A1608" s="16" t="s">
        <v>117</v>
      </c>
      <c r="B1608" s="16" t="s">
        <v>63</v>
      </c>
      <c r="C1608" s="15">
        <v>7</v>
      </c>
      <c r="D1608" s="17">
        <v>200000</v>
      </c>
      <c r="E1608" s="17">
        <v>0</v>
      </c>
      <c r="F1608" s="17">
        <v>-200000</v>
      </c>
      <c r="G1608" s="18">
        <v>0</v>
      </c>
      <c r="H1608" s="10" t="str">
        <f t="shared" si="25"/>
        <v>COSTOS</v>
      </c>
      <c r="I1608" s="19">
        <v>2025</v>
      </c>
    </row>
    <row r="1609" spans="1:9" hidden="1" x14ac:dyDescent="0.3">
      <c r="A1609" s="16" t="s">
        <v>117</v>
      </c>
      <c r="B1609" s="16" t="s">
        <v>63</v>
      </c>
      <c r="C1609" s="15">
        <v>8</v>
      </c>
      <c r="D1609" s="17">
        <v>200000</v>
      </c>
      <c r="E1609" s="17">
        <v>0</v>
      </c>
      <c r="F1609" s="17">
        <v>-200000</v>
      </c>
      <c r="G1609" s="18">
        <v>0</v>
      </c>
      <c r="H1609" s="10" t="str">
        <f t="shared" si="25"/>
        <v>COSTOS</v>
      </c>
      <c r="I1609" s="19">
        <v>2025</v>
      </c>
    </row>
    <row r="1610" spans="1:9" hidden="1" x14ac:dyDescent="0.3">
      <c r="A1610" s="16" t="s">
        <v>117</v>
      </c>
      <c r="B1610" s="16" t="s">
        <v>63</v>
      </c>
      <c r="C1610" s="15">
        <v>9</v>
      </c>
      <c r="D1610" s="17">
        <v>200000</v>
      </c>
      <c r="E1610" s="17">
        <v>0</v>
      </c>
      <c r="F1610" s="17">
        <v>-200000</v>
      </c>
      <c r="G1610" s="18">
        <v>0</v>
      </c>
      <c r="H1610" s="10" t="str">
        <f t="shared" si="25"/>
        <v>COSTOS</v>
      </c>
      <c r="I1610" s="19">
        <v>2025</v>
      </c>
    </row>
    <row r="1611" spans="1:9" hidden="1" x14ac:dyDescent="0.3">
      <c r="A1611" s="16" t="s">
        <v>117</v>
      </c>
      <c r="B1611" s="16" t="s">
        <v>63</v>
      </c>
      <c r="C1611" s="15">
        <v>10</v>
      </c>
      <c r="D1611" s="17">
        <v>200000</v>
      </c>
      <c r="E1611" s="17">
        <v>0</v>
      </c>
      <c r="F1611" s="17">
        <v>-200000</v>
      </c>
      <c r="G1611" s="18">
        <v>0</v>
      </c>
      <c r="H1611" s="10" t="str">
        <f t="shared" si="25"/>
        <v>COSTOS</v>
      </c>
      <c r="I1611" s="19">
        <v>2025</v>
      </c>
    </row>
    <row r="1612" spans="1:9" hidden="1" x14ac:dyDescent="0.3">
      <c r="A1612" s="16" t="s">
        <v>117</v>
      </c>
      <c r="B1612" s="16" t="s">
        <v>63</v>
      </c>
      <c r="C1612" s="15">
        <v>11</v>
      </c>
      <c r="D1612" s="17">
        <v>200000</v>
      </c>
      <c r="E1612" s="17">
        <v>0</v>
      </c>
      <c r="F1612" s="17">
        <v>-200000</v>
      </c>
      <c r="G1612" s="18">
        <v>0</v>
      </c>
      <c r="H1612" s="10" t="str">
        <f t="shared" si="25"/>
        <v>COSTOS</v>
      </c>
      <c r="I1612" s="19">
        <v>2025</v>
      </c>
    </row>
    <row r="1613" spans="1:9" hidden="1" x14ac:dyDescent="0.3">
      <c r="A1613" s="16" t="s">
        <v>117</v>
      </c>
      <c r="B1613" s="16" t="s">
        <v>63</v>
      </c>
      <c r="C1613" s="15">
        <v>12</v>
      </c>
      <c r="D1613" s="17">
        <v>200000</v>
      </c>
      <c r="E1613" s="17">
        <v>0</v>
      </c>
      <c r="F1613" s="17">
        <v>-200000</v>
      </c>
      <c r="G1613" s="18">
        <v>0</v>
      </c>
      <c r="H1613" s="10" t="str">
        <f t="shared" si="25"/>
        <v>COSTOS</v>
      </c>
      <c r="I1613" s="19">
        <v>2025</v>
      </c>
    </row>
    <row r="1614" spans="1:9" hidden="1" x14ac:dyDescent="0.3">
      <c r="A1614" s="16" t="s">
        <v>118</v>
      </c>
      <c r="B1614" s="16" t="s">
        <v>55</v>
      </c>
      <c r="C1614" s="15">
        <v>1</v>
      </c>
      <c r="D1614" s="17">
        <v>0</v>
      </c>
      <c r="E1614" s="17">
        <v>127200</v>
      </c>
      <c r="F1614" s="17">
        <v>127200</v>
      </c>
      <c r="G1614" s="18">
        <v>0</v>
      </c>
      <c r="H1614" s="10" t="str">
        <f t="shared" si="25"/>
        <v>COSTOS</v>
      </c>
      <c r="I1614" s="19">
        <v>2025</v>
      </c>
    </row>
    <row r="1615" spans="1:9" hidden="1" x14ac:dyDescent="0.3">
      <c r="A1615" s="16" t="s">
        <v>118</v>
      </c>
      <c r="B1615" s="16" t="s">
        <v>55</v>
      </c>
      <c r="C1615" s="15">
        <v>2</v>
      </c>
      <c r="D1615" s="17">
        <v>0</v>
      </c>
      <c r="E1615" s="17">
        <v>20000</v>
      </c>
      <c r="F1615" s="17">
        <v>20000</v>
      </c>
      <c r="G1615" s="18">
        <v>0</v>
      </c>
      <c r="H1615" s="10" t="str">
        <f t="shared" si="25"/>
        <v>COSTOS</v>
      </c>
      <c r="I1615" s="19">
        <v>2025</v>
      </c>
    </row>
    <row r="1616" spans="1:9" hidden="1" x14ac:dyDescent="0.3">
      <c r="A1616" s="16" t="s">
        <v>118</v>
      </c>
      <c r="B1616" s="16" t="s">
        <v>55</v>
      </c>
      <c r="C1616" s="15">
        <v>4</v>
      </c>
      <c r="D1616" s="17">
        <v>0</v>
      </c>
      <c r="E1616" s="17">
        <v>297051</v>
      </c>
      <c r="F1616" s="17">
        <v>297051</v>
      </c>
      <c r="G1616" s="18">
        <v>0</v>
      </c>
      <c r="H1616" s="10" t="str">
        <f t="shared" si="25"/>
        <v>COSTOS</v>
      </c>
      <c r="I1616" s="19">
        <v>2025</v>
      </c>
    </row>
    <row r="1617" spans="1:9" hidden="1" x14ac:dyDescent="0.3">
      <c r="A1617" s="16" t="s">
        <v>118</v>
      </c>
      <c r="B1617" s="16" t="s">
        <v>55</v>
      </c>
      <c r="C1617" s="15">
        <v>8</v>
      </c>
      <c r="D1617" s="17">
        <v>0</v>
      </c>
      <c r="E1617" s="17">
        <v>26891</v>
      </c>
      <c r="F1617" s="17">
        <v>26891</v>
      </c>
      <c r="G1617" s="18">
        <v>0</v>
      </c>
      <c r="H1617" s="10" t="str">
        <f t="shared" si="25"/>
        <v>COSTOS</v>
      </c>
      <c r="I1617" s="19">
        <v>2025</v>
      </c>
    </row>
    <row r="1618" spans="1:9" hidden="1" x14ac:dyDescent="0.3">
      <c r="A1618" s="16" t="s">
        <v>118</v>
      </c>
      <c r="B1618" s="16" t="s">
        <v>55</v>
      </c>
      <c r="C1618" s="15">
        <v>9</v>
      </c>
      <c r="D1618" s="17">
        <v>0</v>
      </c>
      <c r="E1618" s="17">
        <v>86400</v>
      </c>
      <c r="F1618" s="17">
        <v>86400</v>
      </c>
      <c r="G1618" s="18">
        <v>0</v>
      </c>
      <c r="H1618" s="10" t="str">
        <f t="shared" si="25"/>
        <v>COSTOS</v>
      </c>
      <c r="I1618" s="19">
        <v>2025</v>
      </c>
    </row>
    <row r="1619" spans="1:9" hidden="1" x14ac:dyDescent="0.3">
      <c r="A1619" s="16" t="s">
        <v>118</v>
      </c>
      <c r="B1619" s="16" t="s">
        <v>63</v>
      </c>
      <c r="C1619" s="15">
        <v>1</v>
      </c>
      <c r="D1619" s="17">
        <v>200000</v>
      </c>
      <c r="E1619" s="17">
        <v>0</v>
      </c>
      <c r="F1619" s="17">
        <v>-200000</v>
      </c>
      <c r="G1619" s="18">
        <v>0</v>
      </c>
      <c r="H1619" s="10" t="str">
        <f t="shared" si="25"/>
        <v>COSTOS</v>
      </c>
      <c r="I1619" s="19">
        <v>2025</v>
      </c>
    </row>
    <row r="1620" spans="1:9" hidden="1" x14ac:dyDescent="0.3">
      <c r="A1620" s="16" t="s">
        <v>118</v>
      </c>
      <c r="B1620" s="16" t="s">
        <v>63</v>
      </c>
      <c r="C1620" s="15">
        <v>2</v>
      </c>
      <c r="D1620" s="17">
        <v>200000</v>
      </c>
      <c r="E1620" s="17">
        <v>41402</v>
      </c>
      <c r="F1620" s="17">
        <v>-158598</v>
      </c>
      <c r="G1620" s="18">
        <v>0.20701</v>
      </c>
      <c r="H1620" s="10" t="str">
        <f t="shared" si="25"/>
        <v>COSTOS</v>
      </c>
      <c r="I1620" s="19">
        <v>2025</v>
      </c>
    </row>
    <row r="1621" spans="1:9" hidden="1" x14ac:dyDescent="0.3">
      <c r="A1621" s="16" t="s">
        <v>118</v>
      </c>
      <c r="B1621" s="16" t="s">
        <v>63</v>
      </c>
      <c r="C1621" s="15">
        <v>3</v>
      </c>
      <c r="D1621" s="17">
        <v>200000</v>
      </c>
      <c r="E1621" s="17">
        <v>0</v>
      </c>
      <c r="F1621" s="17">
        <v>-200000</v>
      </c>
      <c r="G1621" s="18">
        <v>0</v>
      </c>
      <c r="H1621" s="10" t="str">
        <f t="shared" si="25"/>
        <v>COSTOS</v>
      </c>
      <c r="I1621" s="19">
        <v>2025</v>
      </c>
    </row>
    <row r="1622" spans="1:9" hidden="1" x14ac:dyDescent="0.3">
      <c r="A1622" s="16" t="s">
        <v>118</v>
      </c>
      <c r="B1622" s="16" t="s">
        <v>63</v>
      </c>
      <c r="C1622" s="15">
        <v>4</v>
      </c>
      <c r="D1622" s="17">
        <v>3500000</v>
      </c>
      <c r="E1622" s="17">
        <v>0</v>
      </c>
      <c r="F1622" s="17">
        <v>-3500000</v>
      </c>
      <c r="G1622" s="18">
        <v>0</v>
      </c>
      <c r="H1622" s="10" t="str">
        <f t="shared" si="25"/>
        <v>COSTOS</v>
      </c>
      <c r="I1622" s="19">
        <v>2025</v>
      </c>
    </row>
    <row r="1623" spans="1:9" hidden="1" x14ac:dyDescent="0.3">
      <c r="A1623" s="16" t="s">
        <v>118</v>
      </c>
      <c r="B1623" s="16" t="s">
        <v>63</v>
      </c>
      <c r="C1623" s="15">
        <v>5</v>
      </c>
      <c r="D1623" s="17">
        <v>200000</v>
      </c>
      <c r="E1623" s="17">
        <v>0</v>
      </c>
      <c r="F1623" s="17">
        <v>-200000</v>
      </c>
      <c r="G1623" s="18">
        <v>0</v>
      </c>
      <c r="H1623" s="10" t="str">
        <f t="shared" si="25"/>
        <v>COSTOS</v>
      </c>
      <c r="I1623" s="19">
        <v>2025</v>
      </c>
    </row>
    <row r="1624" spans="1:9" hidden="1" x14ac:dyDescent="0.3">
      <c r="A1624" s="16" t="s">
        <v>118</v>
      </c>
      <c r="B1624" s="16" t="s">
        <v>63</v>
      </c>
      <c r="C1624" s="15">
        <v>6</v>
      </c>
      <c r="D1624" s="17">
        <v>200000</v>
      </c>
      <c r="E1624" s="17">
        <v>0</v>
      </c>
      <c r="F1624" s="17">
        <v>-200000</v>
      </c>
      <c r="G1624" s="18">
        <v>0</v>
      </c>
      <c r="H1624" s="10" t="str">
        <f t="shared" si="25"/>
        <v>COSTOS</v>
      </c>
      <c r="I1624" s="19">
        <v>2025</v>
      </c>
    </row>
    <row r="1625" spans="1:9" hidden="1" x14ac:dyDescent="0.3">
      <c r="A1625" s="16" t="s">
        <v>118</v>
      </c>
      <c r="B1625" s="16" t="s">
        <v>63</v>
      </c>
      <c r="C1625" s="15">
        <v>7</v>
      </c>
      <c r="D1625" s="17">
        <v>200000</v>
      </c>
      <c r="E1625" s="17">
        <v>0</v>
      </c>
      <c r="F1625" s="17">
        <v>-200000</v>
      </c>
      <c r="G1625" s="18">
        <v>0</v>
      </c>
      <c r="H1625" s="10" t="str">
        <f t="shared" si="25"/>
        <v>COSTOS</v>
      </c>
      <c r="I1625" s="19">
        <v>2025</v>
      </c>
    </row>
    <row r="1626" spans="1:9" hidden="1" x14ac:dyDescent="0.3">
      <c r="A1626" s="16" t="s">
        <v>118</v>
      </c>
      <c r="B1626" s="16" t="s">
        <v>63</v>
      </c>
      <c r="C1626" s="15">
        <v>8</v>
      </c>
      <c r="D1626" s="17">
        <v>200000</v>
      </c>
      <c r="E1626" s="17">
        <v>0</v>
      </c>
      <c r="F1626" s="17">
        <v>-200000</v>
      </c>
      <c r="G1626" s="18">
        <v>0</v>
      </c>
      <c r="H1626" s="10" t="str">
        <f t="shared" si="25"/>
        <v>COSTOS</v>
      </c>
      <c r="I1626" s="19">
        <v>2025</v>
      </c>
    </row>
    <row r="1627" spans="1:9" hidden="1" x14ac:dyDescent="0.3">
      <c r="A1627" s="16" t="s">
        <v>118</v>
      </c>
      <c r="B1627" s="16" t="s">
        <v>63</v>
      </c>
      <c r="C1627" s="15">
        <v>9</v>
      </c>
      <c r="D1627" s="17">
        <v>200000</v>
      </c>
      <c r="E1627" s="17">
        <v>0</v>
      </c>
      <c r="F1627" s="17">
        <v>-200000</v>
      </c>
      <c r="G1627" s="18">
        <v>0</v>
      </c>
      <c r="H1627" s="10" t="str">
        <f t="shared" si="25"/>
        <v>COSTOS</v>
      </c>
      <c r="I1627" s="19">
        <v>2025</v>
      </c>
    </row>
    <row r="1628" spans="1:9" hidden="1" x14ac:dyDescent="0.3">
      <c r="A1628" s="16" t="s">
        <v>118</v>
      </c>
      <c r="B1628" s="16" t="s">
        <v>63</v>
      </c>
      <c r="C1628" s="15">
        <v>10</v>
      </c>
      <c r="D1628" s="17">
        <v>200000</v>
      </c>
      <c r="E1628" s="17">
        <v>0</v>
      </c>
      <c r="F1628" s="17">
        <v>-200000</v>
      </c>
      <c r="G1628" s="18">
        <v>0</v>
      </c>
      <c r="H1628" s="10" t="str">
        <f t="shared" si="25"/>
        <v>COSTOS</v>
      </c>
      <c r="I1628" s="19">
        <v>2025</v>
      </c>
    </row>
    <row r="1629" spans="1:9" hidden="1" x14ac:dyDescent="0.3">
      <c r="A1629" s="16" t="s">
        <v>118</v>
      </c>
      <c r="B1629" s="16" t="s">
        <v>39</v>
      </c>
      <c r="C1629" s="15">
        <v>6</v>
      </c>
      <c r="D1629" s="17">
        <v>100000</v>
      </c>
      <c r="E1629" s="17">
        <v>0</v>
      </c>
      <c r="F1629" s="17">
        <v>-100000</v>
      </c>
      <c r="G1629" s="18">
        <v>0</v>
      </c>
      <c r="H1629" s="10" t="str">
        <f t="shared" si="25"/>
        <v>COSTOS</v>
      </c>
      <c r="I1629" s="19">
        <v>2025</v>
      </c>
    </row>
    <row r="1630" spans="1:9" hidden="1" x14ac:dyDescent="0.3">
      <c r="A1630" s="16" t="s">
        <v>118</v>
      </c>
      <c r="B1630" s="16" t="s">
        <v>39</v>
      </c>
      <c r="C1630" s="15">
        <v>7</v>
      </c>
      <c r="D1630" s="17">
        <v>100000</v>
      </c>
      <c r="E1630" s="17">
        <v>0</v>
      </c>
      <c r="F1630" s="17">
        <v>-100000</v>
      </c>
      <c r="G1630" s="18">
        <v>0</v>
      </c>
      <c r="H1630" s="10" t="str">
        <f t="shared" si="25"/>
        <v>COSTOS</v>
      </c>
      <c r="I1630" s="19">
        <v>2025</v>
      </c>
    </row>
    <row r="1631" spans="1:9" hidden="1" x14ac:dyDescent="0.3">
      <c r="A1631" s="16" t="s">
        <v>118</v>
      </c>
      <c r="B1631" s="16" t="s">
        <v>39</v>
      </c>
      <c r="C1631" s="15">
        <v>8</v>
      </c>
      <c r="D1631" s="17">
        <v>100000</v>
      </c>
      <c r="E1631" s="17">
        <v>0</v>
      </c>
      <c r="F1631" s="17">
        <v>-100000</v>
      </c>
      <c r="G1631" s="18">
        <v>0</v>
      </c>
      <c r="H1631" s="10" t="str">
        <f t="shared" si="25"/>
        <v>COSTOS</v>
      </c>
      <c r="I1631" s="19">
        <v>2025</v>
      </c>
    </row>
    <row r="1632" spans="1:9" hidden="1" x14ac:dyDescent="0.3">
      <c r="A1632" s="16" t="s">
        <v>118</v>
      </c>
      <c r="B1632" s="16" t="s">
        <v>39</v>
      </c>
      <c r="C1632" s="15">
        <v>9</v>
      </c>
      <c r="D1632" s="17">
        <v>100000</v>
      </c>
      <c r="E1632" s="17">
        <v>0</v>
      </c>
      <c r="F1632" s="17">
        <v>-100000</v>
      </c>
      <c r="G1632" s="18">
        <v>0</v>
      </c>
      <c r="H1632" s="10" t="str">
        <f t="shared" si="25"/>
        <v>COSTOS</v>
      </c>
      <c r="I1632" s="19">
        <v>2025</v>
      </c>
    </row>
    <row r="1633" spans="1:9" hidden="1" x14ac:dyDescent="0.3">
      <c r="A1633" s="16" t="s">
        <v>118</v>
      </c>
      <c r="B1633" s="16" t="s">
        <v>39</v>
      </c>
      <c r="C1633" s="15">
        <v>10</v>
      </c>
      <c r="D1633" s="17">
        <v>100000</v>
      </c>
      <c r="E1633" s="17">
        <v>0</v>
      </c>
      <c r="F1633" s="17">
        <v>-100000</v>
      </c>
      <c r="G1633" s="18">
        <v>0</v>
      </c>
      <c r="H1633" s="10" t="str">
        <f t="shared" si="25"/>
        <v>COSTOS</v>
      </c>
      <c r="I1633" s="19">
        <v>2025</v>
      </c>
    </row>
    <row r="1634" spans="1:9" hidden="1" x14ac:dyDescent="0.3">
      <c r="A1634" s="16" t="s">
        <v>118</v>
      </c>
      <c r="B1634" s="16" t="s">
        <v>63</v>
      </c>
      <c r="C1634" s="15">
        <v>11</v>
      </c>
      <c r="D1634" s="17">
        <v>200000</v>
      </c>
      <c r="E1634" s="17">
        <v>0</v>
      </c>
      <c r="F1634" s="17">
        <v>-200000</v>
      </c>
      <c r="G1634" s="18">
        <v>0</v>
      </c>
      <c r="H1634" s="10" t="str">
        <f t="shared" si="25"/>
        <v>COSTOS</v>
      </c>
      <c r="I1634" s="19">
        <v>2025</v>
      </c>
    </row>
    <row r="1635" spans="1:9" hidden="1" x14ac:dyDescent="0.3">
      <c r="A1635" s="16" t="s">
        <v>118</v>
      </c>
      <c r="B1635" s="16" t="s">
        <v>39</v>
      </c>
      <c r="C1635" s="15">
        <v>11</v>
      </c>
      <c r="D1635" s="17">
        <v>100000</v>
      </c>
      <c r="E1635" s="17">
        <v>0</v>
      </c>
      <c r="F1635" s="17">
        <v>-100000</v>
      </c>
      <c r="G1635" s="18">
        <v>0</v>
      </c>
      <c r="H1635" s="10" t="str">
        <f t="shared" si="25"/>
        <v>COSTOS</v>
      </c>
      <c r="I1635" s="19">
        <v>2025</v>
      </c>
    </row>
    <row r="1636" spans="1:9" hidden="1" x14ac:dyDescent="0.3">
      <c r="A1636" s="16" t="s">
        <v>118</v>
      </c>
      <c r="B1636" s="16" t="s">
        <v>63</v>
      </c>
      <c r="C1636" s="15">
        <v>12</v>
      </c>
      <c r="D1636" s="17">
        <v>200000</v>
      </c>
      <c r="E1636" s="17">
        <v>0</v>
      </c>
      <c r="F1636" s="17">
        <v>-200000</v>
      </c>
      <c r="G1636" s="18">
        <v>0</v>
      </c>
      <c r="H1636" s="10" t="str">
        <f t="shared" si="25"/>
        <v>COSTOS</v>
      </c>
      <c r="I1636" s="19">
        <v>2025</v>
      </c>
    </row>
    <row r="1637" spans="1:9" hidden="1" x14ac:dyDescent="0.3">
      <c r="A1637" s="16" t="s">
        <v>118</v>
      </c>
      <c r="B1637" s="16" t="s">
        <v>39</v>
      </c>
      <c r="C1637" s="15">
        <v>12</v>
      </c>
      <c r="D1637" s="17">
        <v>100000</v>
      </c>
      <c r="E1637" s="17">
        <v>0</v>
      </c>
      <c r="F1637" s="17">
        <v>-100000</v>
      </c>
      <c r="G1637" s="18">
        <v>0</v>
      </c>
      <c r="H1637" s="10" t="str">
        <f t="shared" si="25"/>
        <v>COSTOS</v>
      </c>
      <c r="I1637" s="19">
        <v>2025</v>
      </c>
    </row>
    <row r="1638" spans="1:9" hidden="1" x14ac:dyDescent="0.3">
      <c r="A1638" s="16" t="s">
        <v>119</v>
      </c>
      <c r="B1638" s="16" t="s">
        <v>55</v>
      </c>
      <c r="C1638" s="15">
        <v>8</v>
      </c>
      <c r="D1638" s="17">
        <v>0</v>
      </c>
      <c r="E1638" s="17">
        <v>90607</v>
      </c>
      <c r="F1638" s="17">
        <v>90607</v>
      </c>
      <c r="G1638" s="18">
        <v>0</v>
      </c>
      <c r="H1638" s="10" t="str">
        <f t="shared" si="25"/>
        <v>COSTOS</v>
      </c>
      <c r="I1638" s="19">
        <v>2025</v>
      </c>
    </row>
    <row r="1639" spans="1:9" hidden="1" x14ac:dyDescent="0.3">
      <c r="A1639" s="16" t="s">
        <v>119</v>
      </c>
      <c r="B1639" s="16" t="s">
        <v>55</v>
      </c>
      <c r="C1639" s="15">
        <v>9</v>
      </c>
      <c r="D1639" s="17">
        <v>0</v>
      </c>
      <c r="E1639" s="17">
        <v>108000</v>
      </c>
      <c r="F1639" s="17">
        <v>108000</v>
      </c>
      <c r="G1639" s="18">
        <v>0</v>
      </c>
      <c r="H1639" s="10" t="str">
        <f t="shared" si="25"/>
        <v>COSTOS</v>
      </c>
      <c r="I1639" s="19">
        <v>2025</v>
      </c>
    </row>
    <row r="1640" spans="1:9" hidden="1" x14ac:dyDescent="0.3">
      <c r="A1640" s="16" t="s">
        <v>119</v>
      </c>
      <c r="B1640" s="16" t="s">
        <v>55</v>
      </c>
      <c r="C1640" s="15">
        <v>10</v>
      </c>
      <c r="D1640" s="17">
        <v>0</v>
      </c>
      <c r="E1640" s="17">
        <v>318665</v>
      </c>
      <c r="F1640" s="17">
        <v>318665</v>
      </c>
      <c r="G1640" s="18">
        <v>0</v>
      </c>
      <c r="H1640" s="10" t="str">
        <f t="shared" si="25"/>
        <v>COSTOS</v>
      </c>
      <c r="I1640" s="19">
        <v>2025</v>
      </c>
    </row>
    <row r="1641" spans="1:9" hidden="1" x14ac:dyDescent="0.3">
      <c r="A1641" s="16" t="s">
        <v>119</v>
      </c>
      <c r="B1641" s="16" t="s">
        <v>63</v>
      </c>
      <c r="C1641" s="15">
        <v>1</v>
      </c>
      <c r="D1641" s="17">
        <v>200000</v>
      </c>
      <c r="E1641" s="17">
        <v>0</v>
      </c>
      <c r="F1641" s="17">
        <v>-200000</v>
      </c>
      <c r="G1641" s="18">
        <v>0</v>
      </c>
      <c r="H1641" s="10" t="str">
        <f t="shared" si="25"/>
        <v>COSTOS</v>
      </c>
      <c r="I1641" s="19">
        <v>2025</v>
      </c>
    </row>
    <row r="1642" spans="1:9" hidden="1" x14ac:dyDescent="0.3">
      <c r="A1642" s="16" t="s">
        <v>119</v>
      </c>
      <c r="B1642" s="16" t="s">
        <v>63</v>
      </c>
      <c r="C1642" s="15">
        <v>2</v>
      </c>
      <c r="D1642" s="17">
        <v>200000</v>
      </c>
      <c r="E1642" s="17">
        <v>0</v>
      </c>
      <c r="F1642" s="17">
        <v>-200000</v>
      </c>
      <c r="G1642" s="18">
        <v>0</v>
      </c>
      <c r="H1642" s="10" t="str">
        <f t="shared" si="25"/>
        <v>COSTOS</v>
      </c>
      <c r="I1642" s="19">
        <v>2025</v>
      </c>
    </row>
    <row r="1643" spans="1:9" hidden="1" x14ac:dyDescent="0.3">
      <c r="A1643" s="16" t="s">
        <v>119</v>
      </c>
      <c r="B1643" s="16" t="s">
        <v>63</v>
      </c>
      <c r="C1643" s="15">
        <v>3</v>
      </c>
      <c r="D1643" s="17">
        <v>200000</v>
      </c>
      <c r="E1643" s="17">
        <v>0</v>
      </c>
      <c r="F1643" s="17">
        <v>-200000</v>
      </c>
      <c r="G1643" s="18">
        <v>0</v>
      </c>
      <c r="H1643" s="10" t="str">
        <f t="shared" si="25"/>
        <v>COSTOS</v>
      </c>
      <c r="I1643" s="19">
        <v>2025</v>
      </c>
    </row>
    <row r="1644" spans="1:9" hidden="1" x14ac:dyDescent="0.3">
      <c r="A1644" s="16" t="s">
        <v>119</v>
      </c>
      <c r="B1644" s="16" t="s">
        <v>63</v>
      </c>
      <c r="C1644" s="15">
        <v>4</v>
      </c>
      <c r="D1644" s="17">
        <v>200000</v>
      </c>
      <c r="E1644" s="17">
        <v>0</v>
      </c>
      <c r="F1644" s="17">
        <v>-200000</v>
      </c>
      <c r="G1644" s="18">
        <v>0</v>
      </c>
      <c r="H1644" s="10" t="str">
        <f t="shared" si="25"/>
        <v>COSTOS</v>
      </c>
      <c r="I1644" s="19">
        <v>2025</v>
      </c>
    </row>
    <row r="1645" spans="1:9" hidden="1" x14ac:dyDescent="0.3">
      <c r="A1645" s="16" t="s">
        <v>119</v>
      </c>
      <c r="B1645" s="16" t="s">
        <v>63</v>
      </c>
      <c r="C1645" s="15">
        <v>5</v>
      </c>
      <c r="D1645" s="17">
        <v>3500000</v>
      </c>
      <c r="E1645" s="17">
        <v>0</v>
      </c>
      <c r="F1645" s="17">
        <v>-3500000</v>
      </c>
      <c r="G1645" s="18">
        <v>0</v>
      </c>
      <c r="H1645" s="10" t="str">
        <f t="shared" si="25"/>
        <v>COSTOS</v>
      </c>
      <c r="I1645" s="19">
        <v>2025</v>
      </c>
    </row>
    <row r="1646" spans="1:9" hidden="1" x14ac:dyDescent="0.3">
      <c r="A1646" s="16" t="s">
        <v>119</v>
      </c>
      <c r="B1646" s="16" t="s">
        <v>63</v>
      </c>
      <c r="C1646" s="15">
        <v>6</v>
      </c>
      <c r="D1646" s="17">
        <v>200000</v>
      </c>
      <c r="E1646" s="17">
        <v>0</v>
      </c>
      <c r="F1646" s="17">
        <v>-200000</v>
      </c>
      <c r="G1646" s="18">
        <v>0</v>
      </c>
      <c r="H1646" s="10" t="str">
        <f t="shared" si="25"/>
        <v>COSTOS</v>
      </c>
      <c r="I1646" s="19">
        <v>2025</v>
      </c>
    </row>
    <row r="1647" spans="1:9" hidden="1" x14ac:dyDescent="0.3">
      <c r="A1647" s="16" t="s">
        <v>119</v>
      </c>
      <c r="B1647" s="16" t="s">
        <v>63</v>
      </c>
      <c r="C1647" s="15">
        <v>7</v>
      </c>
      <c r="D1647" s="17">
        <v>200000</v>
      </c>
      <c r="E1647" s="17">
        <v>0</v>
      </c>
      <c r="F1647" s="17">
        <v>-200000</v>
      </c>
      <c r="G1647" s="18">
        <v>0</v>
      </c>
      <c r="H1647" s="10" t="str">
        <f t="shared" si="25"/>
        <v>COSTOS</v>
      </c>
      <c r="I1647" s="19">
        <v>2025</v>
      </c>
    </row>
    <row r="1648" spans="1:9" hidden="1" x14ac:dyDescent="0.3">
      <c r="A1648" s="16" t="s">
        <v>119</v>
      </c>
      <c r="B1648" s="16" t="s">
        <v>63</v>
      </c>
      <c r="C1648" s="15">
        <v>8</v>
      </c>
      <c r="D1648" s="17">
        <v>200000</v>
      </c>
      <c r="E1648" s="17">
        <v>97200</v>
      </c>
      <c r="F1648" s="17">
        <v>-102800</v>
      </c>
      <c r="G1648" s="18">
        <v>0.48599999999999999</v>
      </c>
      <c r="H1648" s="10" t="str">
        <f t="shared" si="25"/>
        <v>COSTOS</v>
      </c>
      <c r="I1648" s="19">
        <v>2025</v>
      </c>
    </row>
    <row r="1649" spans="1:9" hidden="1" x14ac:dyDescent="0.3">
      <c r="A1649" s="16" t="s">
        <v>119</v>
      </c>
      <c r="B1649" s="16" t="s">
        <v>63</v>
      </c>
      <c r="C1649" s="15">
        <v>9</v>
      </c>
      <c r="D1649" s="17">
        <v>200000</v>
      </c>
      <c r="E1649" s="17">
        <v>474000</v>
      </c>
      <c r="F1649" s="17">
        <v>274000</v>
      </c>
      <c r="G1649" s="18">
        <v>2.37</v>
      </c>
      <c r="H1649" s="10" t="str">
        <f t="shared" si="25"/>
        <v>COSTOS</v>
      </c>
      <c r="I1649" s="19">
        <v>2025</v>
      </c>
    </row>
    <row r="1650" spans="1:9" hidden="1" x14ac:dyDescent="0.3">
      <c r="A1650" s="16" t="s">
        <v>119</v>
      </c>
      <c r="B1650" s="16" t="s">
        <v>63</v>
      </c>
      <c r="C1650" s="15">
        <v>10</v>
      </c>
      <c r="D1650" s="17">
        <v>200000</v>
      </c>
      <c r="E1650" s="17">
        <v>132980</v>
      </c>
      <c r="F1650" s="17">
        <v>-67020</v>
      </c>
      <c r="G1650" s="18">
        <v>0.66490000000000005</v>
      </c>
      <c r="H1650" s="10" t="str">
        <f t="shared" si="25"/>
        <v>COSTOS</v>
      </c>
      <c r="I1650" s="19">
        <v>2025</v>
      </c>
    </row>
    <row r="1651" spans="1:9" hidden="1" x14ac:dyDescent="0.3">
      <c r="A1651" s="16" t="s">
        <v>119</v>
      </c>
      <c r="B1651" s="16" t="s">
        <v>55</v>
      </c>
      <c r="C1651" s="15">
        <v>11</v>
      </c>
      <c r="D1651" s="17">
        <v>0</v>
      </c>
      <c r="E1651" s="17">
        <v>3780000</v>
      </c>
      <c r="F1651" s="17">
        <v>3780000</v>
      </c>
      <c r="G1651" s="18">
        <v>0</v>
      </c>
      <c r="H1651" s="10" t="str">
        <f t="shared" si="25"/>
        <v>COSTOS</v>
      </c>
      <c r="I1651" s="19">
        <v>2025</v>
      </c>
    </row>
    <row r="1652" spans="1:9" hidden="1" x14ac:dyDescent="0.3">
      <c r="A1652" s="16" t="s">
        <v>119</v>
      </c>
      <c r="B1652" s="16" t="s">
        <v>63</v>
      </c>
      <c r="C1652" s="15">
        <v>11</v>
      </c>
      <c r="D1652" s="17">
        <v>200000</v>
      </c>
      <c r="E1652" s="17">
        <v>0</v>
      </c>
      <c r="F1652" s="17">
        <v>-200000</v>
      </c>
      <c r="G1652" s="18">
        <v>0</v>
      </c>
      <c r="H1652" s="10" t="str">
        <f t="shared" si="25"/>
        <v>COSTOS</v>
      </c>
      <c r="I1652" s="19">
        <v>2025</v>
      </c>
    </row>
    <row r="1653" spans="1:9" hidden="1" x14ac:dyDescent="0.3">
      <c r="A1653" s="16" t="s">
        <v>119</v>
      </c>
      <c r="B1653" s="16" t="s">
        <v>63</v>
      </c>
      <c r="C1653" s="15">
        <v>12</v>
      </c>
      <c r="D1653" s="17">
        <v>200000</v>
      </c>
      <c r="E1653" s="17">
        <v>0</v>
      </c>
      <c r="F1653" s="17">
        <v>-200000</v>
      </c>
      <c r="G1653" s="18">
        <v>0</v>
      </c>
      <c r="H1653" s="10" t="str">
        <f t="shared" si="25"/>
        <v>COSTOS</v>
      </c>
      <c r="I1653" s="19">
        <v>2025</v>
      </c>
    </row>
    <row r="1654" spans="1:9" hidden="1" x14ac:dyDescent="0.3">
      <c r="A1654" s="16" t="s">
        <v>120</v>
      </c>
      <c r="B1654" s="16" t="s">
        <v>55</v>
      </c>
      <c r="C1654" s="15">
        <v>4</v>
      </c>
      <c r="D1654" s="17">
        <v>0</v>
      </c>
      <c r="E1654" s="17">
        <v>33600</v>
      </c>
      <c r="F1654" s="17">
        <v>33600</v>
      </c>
      <c r="G1654" s="18">
        <v>0</v>
      </c>
      <c r="H1654" s="10" t="str">
        <f t="shared" si="25"/>
        <v>COSTOS</v>
      </c>
      <c r="I1654" s="19">
        <v>2025</v>
      </c>
    </row>
    <row r="1655" spans="1:9" hidden="1" x14ac:dyDescent="0.3">
      <c r="A1655" s="16" t="s">
        <v>120</v>
      </c>
      <c r="B1655" s="16" t="s">
        <v>63</v>
      </c>
      <c r="C1655" s="15">
        <v>1</v>
      </c>
      <c r="D1655" s="17">
        <v>200000</v>
      </c>
      <c r="E1655" s="17">
        <v>0</v>
      </c>
      <c r="F1655" s="17">
        <v>-200000</v>
      </c>
      <c r="G1655" s="18">
        <v>0</v>
      </c>
      <c r="H1655" s="10" t="str">
        <f t="shared" si="25"/>
        <v>COSTOS</v>
      </c>
      <c r="I1655" s="19">
        <v>2025</v>
      </c>
    </row>
    <row r="1656" spans="1:9" hidden="1" x14ac:dyDescent="0.3">
      <c r="A1656" s="16" t="s">
        <v>120</v>
      </c>
      <c r="B1656" s="16" t="s">
        <v>63</v>
      </c>
      <c r="C1656" s="15">
        <v>2</v>
      </c>
      <c r="D1656" s="17">
        <v>200000</v>
      </c>
      <c r="E1656" s="17">
        <v>0</v>
      </c>
      <c r="F1656" s="17">
        <v>-200000</v>
      </c>
      <c r="G1656" s="18">
        <v>0</v>
      </c>
      <c r="H1656" s="10" t="str">
        <f t="shared" si="25"/>
        <v>COSTOS</v>
      </c>
      <c r="I1656" s="19">
        <v>2025</v>
      </c>
    </row>
    <row r="1657" spans="1:9" hidden="1" x14ac:dyDescent="0.3">
      <c r="A1657" s="16" t="s">
        <v>120</v>
      </c>
      <c r="B1657" s="16" t="s">
        <v>63</v>
      </c>
      <c r="C1657" s="15">
        <v>3</v>
      </c>
      <c r="D1657" s="17">
        <v>200000</v>
      </c>
      <c r="E1657" s="17">
        <v>0</v>
      </c>
      <c r="F1657" s="17">
        <v>-200000</v>
      </c>
      <c r="G1657" s="18">
        <v>0</v>
      </c>
      <c r="H1657" s="10" t="str">
        <f t="shared" si="25"/>
        <v>COSTOS</v>
      </c>
      <c r="I1657" s="19">
        <v>2025</v>
      </c>
    </row>
    <row r="1658" spans="1:9" hidden="1" x14ac:dyDescent="0.3">
      <c r="A1658" s="16" t="s">
        <v>120</v>
      </c>
      <c r="B1658" s="16" t="s">
        <v>63</v>
      </c>
      <c r="C1658" s="15">
        <v>4</v>
      </c>
      <c r="D1658" s="17">
        <v>200000</v>
      </c>
      <c r="E1658" s="17">
        <v>0</v>
      </c>
      <c r="F1658" s="17">
        <v>-200000</v>
      </c>
      <c r="G1658" s="18">
        <v>0</v>
      </c>
      <c r="H1658" s="10" t="str">
        <f t="shared" si="25"/>
        <v>COSTOS</v>
      </c>
      <c r="I1658" s="19">
        <v>2025</v>
      </c>
    </row>
    <row r="1659" spans="1:9" hidden="1" x14ac:dyDescent="0.3">
      <c r="A1659" s="16" t="s">
        <v>120</v>
      </c>
      <c r="B1659" s="16" t="s">
        <v>63</v>
      </c>
      <c r="C1659" s="15">
        <v>5</v>
      </c>
      <c r="D1659" s="17">
        <v>200000</v>
      </c>
      <c r="E1659" s="17">
        <v>0</v>
      </c>
      <c r="F1659" s="17">
        <v>-200000</v>
      </c>
      <c r="G1659" s="18">
        <v>0</v>
      </c>
      <c r="H1659" s="10" t="str">
        <f t="shared" si="25"/>
        <v>COSTOS</v>
      </c>
      <c r="I1659" s="19">
        <v>2025</v>
      </c>
    </row>
    <row r="1660" spans="1:9" hidden="1" x14ac:dyDescent="0.3">
      <c r="A1660" s="16" t="s">
        <v>120</v>
      </c>
      <c r="B1660" s="16" t="s">
        <v>63</v>
      </c>
      <c r="C1660" s="15">
        <v>6</v>
      </c>
      <c r="D1660" s="17">
        <v>3500000</v>
      </c>
      <c r="E1660" s="17">
        <v>0</v>
      </c>
      <c r="F1660" s="17">
        <v>-3500000</v>
      </c>
      <c r="G1660" s="18">
        <v>0</v>
      </c>
      <c r="H1660" s="10" t="str">
        <f t="shared" si="25"/>
        <v>COSTOS</v>
      </c>
      <c r="I1660" s="19">
        <v>2025</v>
      </c>
    </row>
    <row r="1661" spans="1:9" hidden="1" x14ac:dyDescent="0.3">
      <c r="A1661" s="16" t="s">
        <v>120</v>
      </c>
      <c r="B1661" s="16" t="s">
        <v>63</v>
      </c>
      <c r="C1661" s="15">
        <v>7</v>
      </c>
      <c r="D1661" s="17">
        <v>200000</v>
      </c>
      <c r="E1661" s="17">
        <v>0</v>
      </c>
      <c r="F1661" s="17">
        <v>-200000</v>
      </c>
      <c r="G1661" s="18">
        <v>0</v>
      </c>
      <c r="H1661" s="10" t="str">
        <f t="shared" si="25"/>
        <v>COSTOS</v>
      </c>
      <c r="I1661" s="19">
        <v>2025</v>
      </c>
    </row>
    <row r="1662" spans="1:9" hidden="1" x14ac:dyDescent="0.3">
      <c r="A1662" s="16" t="s">
        <v>120</v>
      </c>
      <c r="B1662" s="16" t="s">
        <v>63</v>
      </c>
      <c r="C1662" s="15">
        <v>8</v>
      </c>
      <c r="D1662" s="17">
        <v>200000</v>
      </c>
      <c r="E1662" s="17">
        <v>0</v>
      </c>
      <c r="F1662" s="17">
        <v>-200000</v>
      </c>
      <c r="G1662" s="18">
        <v>0</v>
      </c>
      <c r="H1662" s="10" t="str">
        <f t="shared" si="25"/>
        <v>COSTOS</v>
      </c>
      <c r="I1662" s="19">
        <v>2025</v>
      </c>
    </row>
    <row r="1663" spans="1:9" hidden="1" x14ac:dyDescent="0.3">
      <c r="A1663" s="16" t="s">
        <v>120</v>
      </c>
      <c r="B1663" s="16" t="s">
        <v>63</v>
      </c>
      <c r="C1663" s="15">
        <v>9</v>
      </c>
      <c r="D1663" s="17">
        <v>200000</v>
      </c>
      <c r="E1663" s="17">
        <v>0</v>
      </c>
      <c r="F1663" s="17">
        <v>-200000</v>
      </c>
      <c r="G1663" s="18">
        <v>0</v>
      </c>
      <c r="H1663" s="10" t="str">
        <f t="shared" si="25"/>
        <v>COSTOS</v>
      </c>
      <c r="I1663" s="19">
        <v>2025</v>
      </c>
    </row>
    <row r="1664" spans="1:9" hidden="1" x14ac:dyDescent="0.3">
      <c r="A1664" s="16" t="s">
        <v>120</v>
      </c>
      <c r="B1664" s="16" t="s">
        <v>63</v>
      </c>
      <c r="C1664" s="15">
        <v>10</v>
      </c>
      <c r="D1664" s="17">
        <v>200000</v>
      </c>
      <c r="E1664" s="17">
        <v>0</v>
      </c>
      <c r="F1664" s="17">
        <v>-200000</v>
      </c>
      <c r="G1664" s="18">
        <v>0</v>
      </c>
      <c r="H1664" s="10" t="str">
        <f t="shared" si="25"/>
        <v>COSTOS</v>
      </c>
      <c r="I1664" s="19">
        <v>2025</v>
      </c>
    </row>
    <row r="1665" spans="1:9" hidden="1" x14ac:dyDescent="0.3">
      <c r="A1665" s="16" t="s">
        <v>120</v>
      </c>
      <c r="B1665" s="16" t="s">
        <v>63</v>
      </c>
      <c r="C1665" s="15">
        <v>11</v>
      </c>
      <c r="D1665" s="17">
        <v>200000</v>
      </c>
      <c r="E1665" s="17">
        <v>0</v>
      </c>
      <c r="F1665" s="17">
        <v>-200000</v>
      </c>
      <c r="G1665" s="18">
        <v>0</v>
      </c>
      <c r="H1665" s="10" t="str">
        <f t="shared" si="25"/>
        <v>COSTOS</v>
      </c>
      <c r="I1665" s="19">
        <v>2025</v>
      </c>
    </row>
    <row r="1666" spans="1:9" hidden="1" x14ac:dyDescent="0.3">
      <c r="A1666" s="16" t="s">
        <v>120</v>
      </c>
      <c r="B1666" s="16" t="s">
        <v>63</v>
      </c>
      <c r="C1666" s="15">
        <v>12</v>
      </c>
      <c r="D1666" s="17">
        <v>200000</v>
      </c>
      <c r="E1666" s="17">
        <v>0</v>
      </c>
      <c r="F1666" s="17">
        <v>-200000</v>
      </c>
      <c r="G1666" s="18">
        <v>0</v>
      </c>
      <c r="H1666" s="10" t="str">
        <f t="shared" si="25"/>
        <v>COSTOS</v>
      </c>
      <c r="I1666" s="19">
        <v>2025</v>
      </c>
    </row>
    <row r="1667" spans="1:9" hidden="1" x14ac:dyDescent="0.3">
      <c r="A1667" s="16" t="s">
        <v>121</v>
      </c>
      <c r="B1667" s="16" t="s">
        <v>38</v>
      </c>
      <c r="C1667" s="15">
        <v>9</v>
      </c>
      <c r="D1667" s="17">
        <v>0</v>
      </c>
      <c r="E1667" s="17">
        <v>2500000</v>
      </c>
      <c r="F1667" s="17">
        <v>2500000</v>
      </c>
      <c r="G1667" s="18">
        <v>0</v>
      </c>
      <c r="H1667" s="10" t="str">
        <f t="shared" ref="H1667:H1730" si="26">+IF(OR(A1667="ADMINISTRACION",A1667="COMERCIAL",A1667="COMERCIAL-EXPORTACIONES",A1667="LEASING DE LA BODEGA",A1667="LOGISTICA-SALIDA",A1667="OTROS GASTOS",A1667="BODEGA ALQUILADA", A1667="BODEGA CARTOPLAST", A1667="BODEGA CARTOPLAS", A1667= "GESTION HUMANA-OTROS GASTOS"),"GASTOS","COSTOS")</f>
        <v>COSTOS</v>
      </c>
      <c r="I1667" s="19">
        <v>2025</v>
      </c>
    </row>
    <row r="1668" spans="1:9" hidden="1" x14ac:dyDescent="0.3">
      <c r="A1668" s="16" t="s">
        <v>121</v>
      </c>
      <c r="B1668" s="16" t="s">
        <v>55</v>
      </c>
      <c r="C1668" s="15">
        <v>7</v>
      </c>
      <c r="D1668" s="17">
        <v>0</v>
      </c>
      <c r="E1668" s="17">
        <v>1890000</v>
      </c>
      <c r="F1668" s="17">
        <v>1890000</v>
      </c>
      <c r="G1668" s="18">
        <v>0</v>
      </c>
      <c r="H1668" s="10" t="str">
        <f t="shared" si="26"/>
        <v>COSTOS</v>
      </c>
      <c r="I1668" s="19">
        <v>2025</v>
      </c>
    </row>
    <row r="1669" spans="1:9" hidden="1" x14ac:dyDescent="0.3">
      <c r="A1669" s="16" t="s">
        <v>121</v>
      </c>
      <c r="B1669" s="16" t="s">
        <v>55</v>
      </c>
      <c r="C1669" s="15">
        <v>10</v>
      </c>
      <c r="D1669" s="17">
        <v>0</v>
      </c>
      <c r="E1669" s="17">
        <v>108000</v>
      </c>
      <c r="F1669" s="17">
        <v>108000</v>
      </c>
      <c r="G1669" s="18">
        <v>0</v>
      </c>
      <c r="H1669" s="10" t="str">
        <f t="shared" si="26"/>
        <v>COSTOS</v>
      </c>
      <c r="I1669" s="19">
        <v>2025</v>
      </c>
    </row>
    <row r="1670" spans="1:9" hidden="1" x14ac:dyDescent="0.3">
      <c r="A1670" s="16" t="s">
        <v>121</v>
      </c>
      <c r="B1670" s="16" t="s">
        <v>63</v>
      </c>
      <c r="C1670" s="15">
        <v>1</v>
      </c>
      <c r="D1670" s="17">
        <v>200000</v>
      </c>
      <c r="E1670" s="17">
        <v>0</v>
      </c>
      <c r="F1670" s="17">
        <v>-200000</v>
      </c>
      <c r="G1670" s="18">
        <v>0</v>
      </c>
      <c r="H1670" s="10" t="str">
        <f t="shared" si="26"/>
        <v>COSTOS</v>
      </c>
      <c r="I1670" s="19">
        <v>2025</v>
      </c>
    </row>
    <row r="1671" spans="1:9" hidden="1" x14ac:dyDescent="0.3">
      <c r="A1671" s="16" t="s">
        <v>121</v>
      </c>
      <c r="B1671" s="16" t="s">
        <v>63</v>
      </c>
      <c r="C1671" s="15">
        <v>2</v>
      </c>
      <c r="D1671" s="17">
        <v>200000</v>
      </c>
      <c r="E1671" s="17">
        <v>0</v>
      </c>
      <c r="F1671" s="17">
        <v>-200000</v>
      </c>
      <c r="G1671" s="18">
        <v>0</v>
      </c>
      <c r="H1671" s="10" t="str">
        <f t="shared" si="26"/>
        <v>COSTOS</v>
      </c>
      <c r="I1671" s="19">
        <v>2025</v>
      </c>
    </row>
    <row r="1672" spans="1:9" hidden="1" x14ac:dyDescent="0.3">
      <c r="A1672" s="16" t="s">
        <v>121</v>
      </c>
      <c r="B1672" s="16" t="s">
        <v>63</v>
      </c>
      <c r="C1672" s="15">
        <v>3</v>
      </c>
      <c r="D1672" s="17">
        <v>200000</v>
      </c>
      <c r="E1672" s="17">
        <v>0</v>
      </c>
      <c r="F1672" s="17">
        <v>-200000</v>
      </c>
      <c r="G1672" s="18">
        <v>0</v>
      </c>
      <c r="H1672" s="10" t="str">
        <f t="shared" si="26"/>
        <v>COSTOS</v>
      </c>
      <c r="I1672" s="19">
        <v>2025</v>
      </c>
    </row>
    <row r="1673" spans="1:9" hidden="1" x14ac:dyDescent="0.3">
      <c r="A1673" s="16" t="s">
        <v>121</v>
      </c>
      <c r="B1673" s="16" t="s">
        <v>63</v>
      </c>
      <c r="C1673" s="15">
        <v>4</v>
      </c>
      <c r="D1673" s="17">
        <v>200000</v>
      </c>
      <c r="E1673" s="17">
        <v>0</v>
      </c>
      <c r="F1673" s="17">
        <v>-200000</v>
      </c>
      <c r="G1673" s="18">
        <v>0</v>
      </c>
      <c r="H1673" s="10" t="str">
        <f t="shared" si="26"/>
        <v>COSTOS</v>
      </c>
      <c r="I1673" s="19">
        <v>2025</v>
      </c>
    </row>
    <row r="1674" spans="1:9" hidden="1" x14ac:dyDescent="0.3">
      <c r="A1674" s="16" t="s">
        <v>121</v>
      </c>
      <c r="B1674" s="16" t="s">
        <v>63</v>
      </c>
      <c r="C1674" s="15">
        <v>5</v>
      </c>
      <c r="D1674" s="17">
        <v>200000</v>
      </c>
      <c r="E1674" s="17">
        <v>0</v>
      </c>
      <c r="F1674" s="17">
        <v>-200000</v>
      </c>
      <c r="G1674" s="18">
        <v>0</v>
      </c>
      <c r="H1674" s="10" t="str">
        <f t="shared" si="26"/>
        <v>COSTOS</v>
      </c>
      <c r="I1674" s="19">
        <v>2025</v>
      </c>
    </row>
    <row r="1675" spans="1:9" hidden="1" x14ac:dyDescent="0.3">
      <c r="A1675" s="16" t="s">
        <v>121</v>
      </c>
      <c r="B1675" s="16" t="s">
        <v>63</v>
      </c>
      <c r="C1675" s="15">
        <v>6</v>
      </c>
      <c r="D1675" s="17">
        <v>200000</v>
      </c>
      <c r="E1675" s="17">
        <v>0</v>
      </c>
      <c r="F1675" s="17">
        <v>-200000</v>
      </c>
      <c r="G1675" s="18">
        <v>0</v>
      </c>
      <c r="H1675" s="10" t="str">
        <f t="shared" si="26"/>
        <v>COSTOS</v>
      </c>
      <c r="I1675" s="19">
        <v>2025</v>
      </c>
    </row>
    <row r="1676" spans="1:9" hidden="1" x14ac:dyDescent="0.3">
      <c r="A1676" s="16" t="s">
        <v>121</v>
      </c>
      <c r="B1676" s="16" t="s">
        <v>63</v>
      </c>
      <c r="C1676" s="15">
        <v>7</v>
      </c>
      <c r="D1676" s="17">
        <v>3500000</v>
      </c>
      <c r="E1676" s="17">
        <v>0</v>
      </c>
      <c r="F1676" s="17">
        <v>-3500000</v>
      </c>
      <c r="G1676" s="18">
        <v>0</v>
      </c>
      <c r="H1676" s="10" t="str">
        <f t="shared" si="26"/>
        <v>COSTOS</v>
      </c>
      <c r="I1676" s="19">
        <v>2025</v>
      </c>
    </row>
    <row r="1677" spans="1:9" hidden="1" x14ac:dyDescent="0.3">
      <c r="A1677" s="16" t="s">
        <v>121</v>
      </c>
      <c r="B1677" s="16" t="s">
        <v>63</v>
      </c>
      <c r="C1677" s="15">
        <v>8</v>
      </c>
      <c r="D1677" s="17">
        <v>200000</v>
      </c>
      <c r="E1677" s="17">
        <v>0</v>
      </c>
      <c r="F1677" s="17">
        <v>-200000</v>
      </c>
      <c r="G1677" s="18">
        <v>0</v>
      </c>
      <c r="H1677" s="10" t="str">
        <f t="shared" si="26"/>
        <v>COSTOS</v>
      </c>
      <c r="I1677" s="19">
        <v>2025</v>
      </c>
    </row>
    <row r="1678" spans="1:9" hidden="1" x14ac:dyDescent="0.3">
      <c r="A1678" s="16" t="s">
        <v>121</v>
      </c>
      <c r="B1678" s="16" t="s">
        <v>63</v>
      </c>
      <c r="C1678" s="15">
        <v>9</v>
      </c>
      <c r="D1678" s="17">
        <v>200000</v>
      </c>
      <c r="E1678" s="17">
        <v>0</v>
      </c>
      <c r="F1678" s="17">
        <v>-200000</v>
      </c>
      <c r="G1678" s="18">
        <v>0</v>
      </c>
      <c r="H1678" s="10" t="str">
        <f t="shared" si="26"/>
        <v>COSTOS</v>
      </c>
      <c r="I1678" s="19">
        <v>2025</v>
      </c>
    </row>
    <row r="1679" spans="1:9" hidden="1" x14ac:dyDescent="0.3">
      <c r="A1679" s="16" t="s">
        <v>121</v>
      </c>
      <c r="B1679" s="16" t="s">
        <v>63</v>
      </c>
      <c r="C1679" s="15">
        <v>10</v>
      </c>
      <c r="D1679" s="17">
        <v>200000</v>
      </c>
      <c r="E1679" s="17">
        <v>0</v>
      </c>
      <c r="F1679" s="17">
        <v>-200000</v>
      </c>
      <c r="G1679" s="18">
        <v>0</v>
      </c>
      <c r="H1679" s="10" t="str">
        <f t="shared" si="26"/>
        <v>COSTOS</v>
      </c>
      <c r="I1679" s="19">
        <v>2025</v>
      </c>
    </row>
    <row r="1680" spans="1:9" hidden="1" x14ac:dyDescent="0.3">
      <c r="A1680" s="16" t="s">
        <v>121</v>
      </c>
      <c r="B1680" s="16" t="s">
        <v>63</v>
      </c>
      <c r="C1680" s="15">
        <v>11</v>
      </c>
      <c r="D1680" s="17">
        <v>200000</v>
      </c>
      <c r="E1680" s="17">
        <v>0</v>
      </c>
      <c r="F1680" s="17">
        <v>-200000</v>
      </c>
      <c r="G1680" s="18">
        <v>0</v>
      </c>
      <c r="H1680" s="10" t="str">
        <f t="shared" si="26"/>
        <v>COSTOS</v>
      </c>
      <c r="I1680" s="19">
        <v>2025</v>
      </c>
    </row>
    <row r="1681" spans="1:9" hidden="1" x14ac:dyDescent="0.3">
      <c r="A1681" s="16" t="s">
        <v>121</v>
      </c>
      <c r="B1681" s="16" t="s">
        <v>63</v>
      </c>
      <c r="C1681" s="15">
        <v>12</v>
      </c>
      <c r="D1681" s="17">
        <v>200000</v>
      </c>
      <c r="E1681" s="17">
        <v>0</v>
      </c>
      <c r="F1681" s="17">
        <v>-200000</v>
      </c>
      <c r="G1681" s="18">
        <v>0</v>
      </c>
      <c r="H1681" s="10" t="str">
        <f t="shared" si="26"/>
        <v>COSTOS</v>
      </c>
      <c r="I1681" s="19">
        <v>2025</v>
      </c>
    </row>
    <row r="1682" spans="1:9" hidden="1" x14ac:dyDescent="0.3">
      <c r="A1682" s="16" t="s">
        <v>122</v>
      </c>
      <c r="B1682" s="16" t="s">
        <v>55</v>
      </c>
      <c r="C1682" s="15">
        <v>5</v>
      </c>
      <c r="D1682" s="17">
        <v>0</v>
      </c>
      <c r="E1682" s="17">
        <v>150661</v>
      </c>
      <c r="F1682" s="17">
        <v>150661</v>
      </c>
      <c r="G1682" s="18">
        <v>0</v>
      </c>
      <c r="H1682" s="10" t="str">
        <f t="shared" si="26"/>
        <v>COSTOS</v>
      </c>
      <c r="I1682" s="19">
        <v>2025</v>
      </c>
    </row>
    <row r="1683" spans="1:9" hidden="1" x14ac:dyDescent="0.3">
      <c r="A1683" s="16" t="s">
        <v>122</v>
      </c>
      <c r="B1683" s="16" t="s">
        <v>63</v>
      </c>
      <c r="C1683" s="15">
        <v>1</v>
      </c>
      <c r="D1683" s="17">
        <v>200000</v>
      </c>
      <c r="E1683" s="17">
        <v>0</v>
      </c>
      <c r="F1683" s="17">
        <v>-200000</v>
      </c>
      <c r="G1683" s="18">
        <v>0</v>
      </c>
      <c r="H1683" s="10" t="str">
        <f t="shared" si="26"/>
        <v>COSTOS</v>
      </c>
      <c r="I1683" s="19">
        <v>2025</v>
      </c>
    </row>
    <row r="1684" spans="1:9" hidden="1" x14ac:dyDescent="0.3">
      <c r="A1684" s="16" t="s">
        <v>122</v>
      </c>
      <c r="B1684" s="16" t="s">
        <v>63</v>
      </c>
      <c r="C1684" s="15">
        <v>2</v>
      </c>
      <c r="D1684" s="17">
        <v>200000</v>
      </c>
      <c r="E1684" s="17">
        <v>0</v>
      </c>
      <c r="F1684" s="17">
        <v>-200000</v>
      </c>
      <c r="G1684" s="18">
        <v>0</v>
      </c>
      <c r="H1684" s="10" t="str">
        <f t="shared" si="26"/>
        <v>COSTOS</v>
      </c>
      <c r="I1684" s="19">
        <v>2025</v>
      </c>
    </row>
    <row r="1685" spans="1:9" hidden="1" x14ac:dyDescent="0.3">
      <c r="A1685" s="16" t="s">
        <v>122</v>
      </c>
      <c r="B1685" s="16" t="s">
        <v>63</v>
      </c>
      <c r="C1685" s="15">
        <v>3</v>
      </c>
      <c r="D1685" s="17">
        <v>200000</v>
      </c>
      <c r="E1685" s="17">
        <v>0</v>
      </c>
      <c r="F1685" s="17">
        <v>-200000</v>
      </c>
      <c r="G1685" s="18">
        <v>0</v>
      </c>
      <c r="H1685" s="10" t="str">
        <f t="shared" si="26"/>
        <v>COSTOS</v>
      </c>
      <c r="I1685" s="19">
        <v>2025</v>
      </c>
    </row>
    <row r="1686" spans="1:9" hidden="1" x14ac:dyDescent="0.3">
      <c r="A1686" s="16" t="s">
        <v>122</v>
      </c>
      <c r="B1686" s="16" t="s">
        <v>63</v>
      </c>
      <c r="C1686" s="15">
        <v>4</v>
      </c>
      <c r="D1686" s="17">
        <v>200000</v>
      </c>
      <c r="E1686" s="17">
        <v>0</v>
      </c>
      <c r="F1686" s="17">
        <v>-200000</v>
      </c>
      <c r="G1686" s="18">
        <v>0</v>
      </c>
      <c r="H1686" s="10" t="str">
        <f t="shared" si="26"/>
        <v>COSTOS</v>
      </c>
      <c r="I1686" s="19">
        <v>2025</v>
      </c>
    </row>
    <row r="1687" spans="1:9" hidden="1" x14ac:dyDescent="0.3">
      <c r="A1687" s="16" t="s">
        <v>122</v>
      </c>
      <c r="B1687" s="16" t="s">
        <v>63</v>
      </c>
      <c r="C1687" s="15">
        <v>5</v>
      </c>
      <c r="D1687" s="17">
        <v>200000</v>
      </c>
      <c r="E1687" s="17">
        <v>0</v>
      </c>
      <c r="F1687" s="17">
        <v>-200000</v>
      </c>
      <c r="G1687" s="18">
        <v>0</v>
      </c>
      <c r="H1687" s="10" t="str">
        <f t="shared" si="26"/>
        <v>COSTOS</v>
      </c>
      <c r="I1687" s="19">
        <v>2025</v>
      </c>
    </row>
    <row r="1688" spans="1:9" hidden="1" x14ac:dyDescent="0.3">
      <c r="A1688" s="16" t="s">
        <v>122</v>
      </c>
      <c r="B1688" s="16" t="s">
        <v>63</v>
      </c>
      <c r="C1688" s="15">
        <v>6</v>
      </c>
      <c r="D1688" s="17">
        <v>200000</v>
      </c>
      <c r="E1688" s="17">
        <v>10084</v>
      </c>
      <c r="F1688" s="17">
        <v>-189916</v>
      </c>
      <c r="G1688" s="18">
        <v>5.042E-2</v>
      </c>
      <c r="H1688" s="10" t="str">
        <f t="shared" si="26"/>
        <v>COSTOS</v>
      </c>
      <c r="I1688" s="19">
        <v>2025</v>
      </c>
    </row>
    <row r="1689" spans="1:9" hidden="1" x14ac:dyDescent="0.3">
      <c r="A1689" s="16" t="s">
        <v>122</v>
      </c>
      <c r="B1689" s="16" t="s">
        <v>63</v>
      </c>
      <c r="C1689" s="15">
        <v>7</v>
      </c>
      <c r="D1689" s="17">
        <v>200000</v>
      </c>
      <c r="E1689" s="17">
        <v>1105000</v>
      </c>
      <c r="F1689" s="17">
        <v>905000</v>
      </c>
      <c r="G1689" s="18">
        <v>5.5250000000000004</v>
      </c>
      <c r="H1689" s="10" t="str">
        <f t="shared" si="26"/>
        <v>COSTOS</v>
      </c>
      <c r="I1689" s="19">
        <v>2025</v>
      </c>
    </row>
    <row r="1690" spans="1:9" hidden="1" x14ac:dyDescent="0.3">
      <c r="A1690" s="16" t="s">
        <v>122</v>
      </c>
      <c r="B1690" s="16" t="s">
        <v>63</v>
      </c>
      <c r="C1690" s="15">
        <v>8</v>
      </c>
      <c r="D1690" s="17">
        <v>3500000</v>
      </c>
      <c r="E1690" s="17">
        <v>0</v>
      </c>
      <c r="F1690" s="17">
        <v>-3500000</v>
      </c>
      <c r="G1690" s="18">
        <v>0</v>
      </c>
      <c r="H1690" s="10" t="str">
        <f t="shared" si="26"/>
        <v>COSTOS</v>
      </c>
      <c r="I1690" s="19">
        <v>2025</v>
      </c>
    </row>
    <row r="1691" spans="1:9" hidden="1" x14ac:dyDescent="0.3">
      <c r="A1691" s="16" t="s">
        <v>122</v>
      </c>
      <c r="B1691" s="16" t="s">
        <v>63</v>
      </c>
      <c r="C1691" s="15">
        <v>9</v>
      </c>
      <c r="D1691" s="17">
        <v>200000</v>
      </c>
      <c r="E1691" s="17">
        <v>0</v>
      </c>
      <c r="F1691" s="17">
        <v>-200000</v>
      </c>
      <c r="G1691" s="18">
        <v>0</v>
      </c>
      <c r="H1691" s="10" t="str">
        <f t="shared" si="26"/>
        <v>COSTOS</v>
      </c>
      <c r="I1691" s="19">
        <v>2025</v>
      </c>
    </row>
    <row r="1692" spans="1:9" hidden="1" x14ac:dyDescent="0.3">
      <c r="A1692" s="16" t="s">
        <v>122</v>
      </c>
      <c r="B1692" s="16" t="s">
        <v>63</v>
      </c>
      <c r="C1692" s="15">
        <v>10</v>
      </c>
      <c r="D1692" s="17">
        <v>200000</v>
      </c>
      <c r="E1692" s="17">
        <v>0</v>
      </c>
      <c r="F1692" s="17">
        <v>-200000</v>
      </c>
      <c r="G1692" s="18">
        <v>0</v>
      </c>
      <c r="H1692" s="10" t="str">
        <f t="shared" si="26"/>
        <v>COSTOS</v>
      </c>
      <c r="I1692" s="19">
        <v>2025</v>
      </c>
    </row>
    <row r="1693" spans="1:9" hidden="1" x14ac:dyDescent="0.3">
      <c r="A1693" s="16" t="s">
        <v>122</v>
      </c>
      <c r="B1693" s="16" t="s">
        <v>39</v>
      </c>
      <c r="C1693" s="15">
        <v>6</v>
      </c>
      <c r="D1693" s="17">
        <v>0</v>
      </c>
      <c r="E1693" s="17">
        <v>269733</v>
      </c>
      <c r="F1693" s="17">
        <v>269733</v>
      </c>
      <c r="G1693" s="18">
        <v>0</v>
      </c>
      <c r="H1693" s="10" t="str">
        <f t="shared" si="26"/>
        <v>COSTOS</v>
      </c>
      <c r="I1693" s="19">
        <v>2025</v>
      </c>
    </row>
    <row r="1694" spans="1:9" hidden="1" x14ac:dyDescent="0.3">
      <c r="A1694" s="16" t="s">
        <v>122</v>
      </c>
      <c r="B1694" s="16" t="s">
        <v>39</v>
      </c>
      <c r="C1694" s="15">
        <v>7</v>
      </c>
      <c r="D1694" s="17">
        <v>0</v>
      </c>
      <c r="E1694" s="17">
        <v>269733</v>
      </c>
      <c r="F1694" s="17">
        <v>269733</v>
      </c>
      <c r="G1694" s="18">
        <v>0</v>
      </c>
      <c r="H1694" s="10" t="str">
        <f t="shared" si="26"/>
        <v>COSTOS</v>
      </c>
      <c r="I1694" s="19">
        <v>2025</v>
      </c>
    </row>
    <row r="1695" spans="1:9" hidden="1" x14ac:dyDescent="0.3">
      <c r="A1695" s="16" t="s">
        <v>122</v>
      </c>
      <c r="B1695" s="16" t="s">
        <v>39</v>
      </c>
      <c r="C1695" s="15">
        <v>8</v>
      </c>
      <c r="D1695" s="17">
        <v>0</v>
      </c>
      <c r="E1695" s="17">
        <v>269733</v>
      </c>
      <c r="F1695" s="17">
        <v>269733</v>
      </c>
      <c r="G1695" s="18">
        <v>0</v>
      </c>
      <c r="H1695" s="10" t="str">
        <f t="shared" si="26"/>
        <v>COSTOS</v>
      </c>
      <c r="I1695" s="19">
        <v>2025</v>
      </c>
    </row>
    <row r="1696" spans="1:9" hidden="1" x14ac:dyDescent="0.3">
      <c r="A1696" s="16" t="s">
        <v>122</v>
      </c>
      <c r="B1696" s="16" t="s">
        <v>39</v>
      </c>
      <c r="C1696" s="15">
        <v>9</v>
      </c>
      <c r="D1696" s="17">
        <v>0</v>
      </c>
      <c r="E1696" s="17">
        <v>269733</v>
      </c>
      <c r="F1696" s="17">
        <v>269733</v>
      </c>
      <c r="G1696" s="18">
        <v>0</v>
      </c>
      <c r="H1696" s="10" t="str">
        <f t="shared" si="26"/>
        <v>COSTOS</v>
      </c>
      <c r="I1696" s="19">
        <v>2025</v>
      </c>
    </row>
    <row r="1697" spans="1:9" hidden="1" x14ac:dyDescent="0.3">
      <c r="A1697" s="16" t="s">
        <v>122</v>
      </c>
      <c r="B1697" s="16" t="s">
        <v>39</v>
      </c>
      <c r="C1697" s="15">
        <v>10</v>
      </c>
      <c r="D1697" s="17">
        <v>0</v>
      </c>
      <c r="E1697" s="17">
        <v>269733</v>
      </c>
      <c r="F1697" s="17">
        <v>269733</v>
      </c>
      <c r="G1697" s="18">
        <v>0</v>
      </c>
      <c r="H1697" s="10" t="str">
        <f t="shared" si="26"/>
        <v>COSTOS</v>
      </c>
      <c r="I1697" s="19">
        <v>2025</v>
      </c>
    </row>
    <row r="1698" spans="1:9" hidden="1" x14ac:dyDescent="0.3">
      <c r="A1698" s="16" t="s">
        <v>122</v>
      </c>
      <c r="B1698" s="16" t="s">
        <v>63</v>
      </c>
      <c r="C1698" s="15">
        <v>11</v>
      </c>
      <c r="D1698" s="17">
        <v>200000</v>
      </c>
      <c r="E1698" s="17">
        <v>0</v>
      </c>
      <c r="F1698" s="17">
        <v>-200000</v>
      </c>
      <c r="G1698" s="18">
        <v>0</v>
      </c>
      <c r="H1698" s="10" t="str">
        <f t="shared" si="26"/>
        <v>COSTOS</v>
      </c>
      <c r="I1698" s="19">
        <v>2025</v>
      </c>
    </row>
    <row r="1699" spans="1:9" hidden="1" x14ac:dyDescent="0.3">
      <c r="A1699" s="16" t="s">
        <v>122</v>
      </c>
      <c r="B1699" s="16" t="s">
        <v>39</v>
      </c>
      <c r="C1699" s="15">
        <v>11</v>
      </c>
      <c r="D1699" s="17">
        <v>0</v>
      </c>
      <c r="E1699" s="17">
        <v>269733</v>
      </c>
      <c r="F1699" s="17">
        <v>269733</v>
      </c>
      <c r="G1699" s="18">
        <v>0</v>
      </c>
      <c r="H1699" s="10" t="str">
        <f t="shared" si="26"/>
        <v>COSTOS</v>
      </c>
      <c r="I1699" s="19">
        <v>2025</v>
      </c>
    </row>
    <row r="1700" spans="1:9" hidden="1" x14ac:dyDescent="0.3">
      <c r="A1700" s="16" t="s">
        <v>122</v>
      </c>
      <c r="B1700" s="16" t="s">
        <v>63</v>
      </c>
      <c r="C1700" s="15">
        <v>12</v>
      </c>
      <c r="D1700" s="17">
        <v>200000</v>
      </c>
      <c r="E1700" s="17">
        <v>0</v>
      </c>
      <c r="F1700" s="17">
        <v>-200000</v>
      </c>
      <c r="G1700" s="18">
        <v>0</v>
      </c>
      <c r="H1700" s="10" t="str">
        <f t="shared" si="26"/>
        <v>COSTOS</v>
      </c>
      <c r="I1700" s="19">
        <v>2025</v>
      </c>
    </row>
    <row r="1701" spans="1:9" hidden="1" x14ac:dyDescent="0.3">
      <c r="A1701" s="16" t="s">
        <v>122</v>
      </c>
      <c r="B1701" s="16" t="s">
        <v>39</v>
      </c>
      <c r="C1701" s="15">
        <v>12</v>
      </c>
      <c r="D1701" s="17">
        <v>0</v>
      </c>
      <c r="E1701" s="17">
        <v>269733</v>
      </c>
      <c r="F1701" s="17">
        <v>269733</v>
      </c>
      <c r="G1701" s="18">
        <v>0</v>
      </c>
      <c r="H1701" s="10" t="str">
        <f t="shared" si="26"/>
        <v>COSTOS</v>
      </c>
      <c r="I1701" s="19">
        <v>2025</v>
      </c>
    </row>
    <row r="1702" spans="1:9" hidden="1" x14ac:dyDescent="0.3">
      <c r="A1702" s="16" t="s">
        <v>123</v>
      </c>
      <c r="B1702" s="16" t="s">
        <v>16</v>
      </c>
      <c r="C1702" s="15">
        <v>3</v>
      </c>
      <c r="D1702" s="17">
        <v>0</v>
      </c>
      <c r="E1702" s="17">
        <v>50000</v>
      </c>
      <c r="F1702" s="17">
        <v>50000</v>
      </c>
      <c r="G1702" s="18">
        <v>0</v>
      </c>
      <c r="H1702" s="10" t="str">
        <f t="shared" si="26"/>
        <v>COSTOS</v>
      </c>
      <c r="I1702" s="19">
        <v>2025</v>
      </c>
    </row>
    <row r="1703" spans="1:9" hidden="1" x14ac:dyDescent="0.3">
      <c r="A1703" s="16" t="s">
        <v>123</v>
      </c>
      <c r="B1703" s="16" t="s">
        <v>55</v>
      </c>
      <c r="C1703" s="15">
        <v>2</v>
      </c>
      <c r="D1703" s="17">
        <v>0</v>
      </c>
      <c r="E1703" s="17">
        <v>6060000</v>
      </c>
      <c r="F1703" s="17">
        <v>6060000</v>
      </c>
      <c r="G1703" s="18">
        <v>0</v>
      </c>
      <c r="H1703" s="10" t="str">
        <f t="shared" si="26"/>
        <v>COSTOS</v>
      </c>
      <c r="I1703" s="19">
        <v>2025</v>
      </c>
    </row>
    <row r="1704" spans="1:9" hidden="1" x14ac:dyDescent="0.3">
      <c r="A1704" s="16" t="s">
        <v>123</v>
      </c>
      <c r="B1704" s="16" t="s">
        <v>55</v>
      </c>
      <c r="C1704" s="15">
        <v>4</v>
      </c>
      <c r="D1704" s="17">
        <v>0</v>
      </c>
      <c r="E1704" s="17">
        <v>104370</v>
      </c>
      <c r="F1704" s="17">
        <v>104370</v>
      </c>
      <c r="G1704" s="18">
        <v>0</v>
      </c>
      <c r="H1704" s="10" t="str">
        <f t="shared" si="26"/>
        <v>COSTOS</v>
      </c>
      <c r="I1704" s="19">
        <v>2025</v>
      </c>
    </row>
    <row r="1705" spans="1:9" hidden="1" x14ac:dyDescent="0.3">
      <c r="A1705" s="16" t="s">
        <v>123</v>
      </c>
      <c r="B1705" s="16" t="s">
        <v>55</v>
      </c>
      <c r="C1705" s="15">
        <v>5</v>
      </c>
      <c r="D1705" s="17">
        <v>0</v>
      </c>
      <c r="E1705" s="17">
        <v>5410000</v>
      </c>
      <c r="F1705" s="17">
        <v>5410000</v>
      </c>
      <c r="G1705" s="18">
        <v>0</v>
      </c>
      <c r="H1705" s="10" t="str">
        <f t="shared" si="26"/>
        <v>COSTOS</v>
      </c>
      <c r="I1705" s="19">
        <v>2025</v>
      </c>
    </row>
    <row r="1706" spans="1:9" hidden="1" x14ac:dyDescent="0.3">
      <c r="A1706" s="16" t="s">
        <v>123</v>
      </c>
      <c r="B1706" s="16" t="s">
        <v>63</v>
      </c>
      <c r="C1706" s="15">
        <v>1</v>
      </c>
      <c r="D1706" s="17">
        <v>7850000</v>
      </c>
      <c r="E1706" s="17">
        <v>0</v>
      </c>
      <c r="F1706" s="17">
        <v>-7850000</v>
      </c>
      <c r="G1706" s="18">
        <v>0</v>
      </c>
      <c r="H1706" s="10" t="str">
        <f t="shared" si="26"/>
        <v>COSTOS</v>
      </c>
      <c r="I1706" s="19">
        <v>2025</v>
      </c>
    </row>
    <row r="1707" spans="1:9" hidden="1" x14ac:dyDescent="0.3">
      <c r="A1707" s="16" t="s">
        <v>123</v>
      </c>
      <c r="B1707" s="16" t="s">
        <v>63</v>
      </c>
      <c r="C1707" s="15">
        <v>2</v>
      </c>
      <c r="D1707" s="17">
        <v>7850000</v>
      </c>
      <c r="E1707" s="17">
        <v>0</v>
      </c>
      <c r="F1707" s="17">
        <v>-7850000</v>
      </c>
      <c r="G1707" s="18">
        <v>0</v>
      </c>
      <c r="H1707" s="10" t="str">
        <f t="shared" si="26"/>
        <v>COSTOS</v>
      </c>
      <c r="I1707" s="19">
        <v>2025</v>
      </c>
    </row>
    <row r="1708" spans="1:9" hidden="1" x14ac:dyDescent="0.3">
      <c r="A1708" s="16" t="s">
        <v>123</v>
      </c>
      <c r="B1708" s="16" t="s">
        <v>63</v>
      </c>
      <c r="C1708" s="15">
        <v>3</v>
      </c>
      <c r="D1708" s="17">
        <v>7850000</v>
      </c>
      <c r="E1708" s="17">
        <v>15300000</v>
      </c>
      <c r="F1708" s="17">
        <v>7450000</v>
      </c>
      <c r="G1708" s="18">
        <v>1.9490445859872612</v>
      </c>
      <c r="H1708" s="10" t="str">
        <f t="shared" si="26"/>
        <v>COSTOS</v>
      </c>
      <c r="I1708" s="19">
        <v>2025</v>
      </c>
    </row>
    <row r="1709" spans="1:9" hidden="1" x14ac:dyDescent="0.3">
      <c r="A1709" s="16" t="s">
        <v>123</v>
      </c>
      <c r="B1709" s="16" t="s">
        <v>63</v>
      </c>
      <c r="C1709" s="15">
        <v>4</v>
      </c>
      <c r="D1709" s="17">
        <v>7850000</v>
      </c>
      <c r="E1709" s="17">
        <v>7650000</v>
      </c>
      <c r="F1709" s="17">
        <v>-200000</v>
      </c>
      <c r="G1709" s="18">
        <v>0.97452229299363058</v>
      </c>
      <c r="H1709" s="10" t="str">
        <f t="shared" si="26"/>
        <v>COSTOS</v>
      </c>
      <c r="I1709" s="19">
        <v>2025</v>
      </c>
    </row>
    <row r="1710" spans="1:9" hidden="1" x14ac:dyDescent="0.3">
      <c r="A1710" s="16" t="s">
        <v>123</v>
      </c>
      <c r="B1710" s="16" t="s">
        <v>63</v>
      </c>
      <c r="C1710" s="15">
        <v>5</v>
      </c>
      <c r="D1710" s="17">
        <v>7850000</v>
      </c>
      <c r="E1710" s="17">
        <v>0</v>
      </c>
      <c r="F1710" s="17">
        <v>-7850000</v>
      </c>
      <c r="G1710" s="18">
        <v>0</v>
      </c>
      <c r="H1710" s="10" t="str">
        <f t="shared" si="26"/>
        <v>COSTOS</v>
      </c>
      <c r="I1710" s="19">
        <v>2025</v>
      </c>
    </row>
    <row r="1711" spans="1:9" hidden="1" x14ac:dyDescent="0.3">
      <c r="A1711" s="16" t="s">
        <v>123</v>
      </c>
      <c r="B1711" s="16" t="s">
        <v>63</v>
      </c>
      <c r="C1711" s="15">
        <v>6</v>
      </c>
      <c r="D1711" s="17">
        <v>7850000</v>
      </c>
      <c r="E1711" s="17">
        <v>0</v>
      </c>
      <c r="F1711" s="17">
        <v>-7850000</v>
      </c>
      <c r="G1711" s="18">
        <v>0</v>
      </c>
      <c r="H1711" s="10" t="str">
        <f t="shared" si="26"/>
        <v>COSTOS</v>
      </c>
      <c r="I1711" s="19">
        <v>2025</v>
      </c>
    </row>
    <row r="1712" spans="1:9" hidden="1" x14ac:dyDescent="0.3">
      <c r="A1712" s="16" t="s">
        <v>123</v>
      </c>
      <c r="B1712" s="16" t="s">
        <v>63</v>
      </c>
      <c r="C1712" s="15">
        <v>7</v>
      </c>
      <c r="D1712" s="17">
        <v>7850000</v>
      </c>
      <c r="E1712" s="17">
        <v>85367</v>
      </c>
      <c r="F1712" s="17">
        <v>-7764633</v>
      </c>
      <c r="G1712" s="18">
        <v>1.0874777070063695E-2</v>
      </c>
      <c r="H1712" s="10" t="str">
        <f t="shared" si="26"/>
        <v>COSTOS</v>
      </c>
      <c r="I1712" s="19">
        <v>2025</v>
      </c>
    </row>
    <row r="1713" spans="1:9" hidden="1" x14ac:dyDescent="0.3">
      <c r="A1713" s="16" t="s">
        <v>123</v>
      </c>
      <c r="B1713" s="16" t="s">
        <v>63</v>
      </c>
      <c r="C1713" s="15">
        <v>8</v>
      </c>
      <c r="D1713" s="17">
        <v>7850000</v>
      </c>
      <c r="E1713" s="17">
        <v>21720000</v>
      </c>
      <c r="F1713" s="17">
        <v>13870000</v>
      </c>
      <c r="G1713" s="18">
        <v>2.76687898089172</v>
      </c>
      <c r="H1713" s="10" t="str">
        <f t="shared" si="26"/>
        <v>COSTOS</v>
      </c>
      <c r="I1713" s="19">
        <v>2025</v>
      </c>
    </row>
    <row r="1714" spans="1:9" hidden="1" x14ac:dyDescent="0.3">
      <c r="A1714" s="16" t="s">
        <v>123</v>
      </c>
      <c r="B1714" s="16" t="s">
        <v>63</v>
      </c>
      <c r="C1714" s="15">
        <v>9</v>
      </c>
      <c r="D1714" s="17">
        <v>7850000</v>
      </c>
      <c r="E1714" s="17">
        <v>17112000</v>
      </c>
      <c r="F1714" s="17">
        <v>9262000</v>
      </c>
      <c r="G1714" s="18">
        <v>2.179872611464968</v>
      </c>
      <c r="H1714" s="10" t="str">
        <f t="shared" si="26"/>
        <v>COSTOS</v>
      </c>
      <c r="I1714" s="19">
        <v>2025</v>
      </c>
    </row>
    <row r="1715" spans="1:9" hidden="1" x14ac:dyDescent="0.3">
      <c r="A1715" s="16" t="s">
        <v>123</v>
      </c>
      <c r="B1715" s="16" t="s">
        <v>63</v>
      </c>
      <c r="C1715" s="15">
        <v>10</v>
      </c>
      <c r="D1715" s="17">
        <v>7850000</v>
      </c>
      <c r="E1715" s="17">
        <v>0</v>
      </c>
      <c r="F1715" s="17">
        <v>-7850000</v>
      </c>
      <c r="G1715" s="18">
        <v>0</v>
      </c>
      <c r="H1715" s="10" t="str">
        <f t="shared" si="26"/>
        <v>COSTOS</v>
      </c>
      <c r="I1715" s="19">
        <v>2025</v>
      </c>
    </row>
    <row r="1716" spans="1:9" hidden="1" x14ac:dyDescent="0.3">
      <c r="A1716" s="16" t="s">
        <v>123</v>
      </c>
      <c r="B1716" s="16" t="s">
        <v>39</v>
      </c>
      <c r="C1716" s="15">
        <v>1</v>
      </c>
      <c r="D1716" s="17">
        <v>3051068</v>
      </c>
      <c r="E1716" s="17">
        <v>3051068</v>
      </c>
      <c r="F1716" s="17">
        <v>0</v>
      </c>
      <c r="G1716" s="18">
        <v>1</v>
      </c>
      <c r="H1716" s="10" t="str">
        <f t="shared" si="26"/>
        <v>COSTOS</v>
      </c>
      <c r="I1716" s="19">
        <v>2025</v>
      </c>
    </row>
    <row r="1717" spans="1:9" hidden="1" x14ac:dyDescent="0.3">
      <c r="A1717" s="16" t="s">
        <v>123</v>
      </c>
      <c r="B1717" s="16" t="s">
        <v>39</v>
      </c>
      <c r="C1717" s="15">
        <v>2</v>
      </c>
      <c r="D1717" s="17">
        <v>3051068</v>
      </c>
      <c r="E1717" s="17">
        <v>3051068</v>
      </c>
      <c r="F1717" s="17">
        <v>0</v>
      </c>
      <c r="G1717" s="18">
        <v>1</v>
      </c>
      <c r="H1717" s="10" t="str">
        <f t="shared" si="26"/>
        <v>COSTOS</v>
      </c>
      <c r="I1717" s="19">
        <v>2025</v>
      </c>
    </row>
    <row r="1718" spans="1:9" hidden="1" x14ac:dyDescent="0.3">
      <c r="A1718" s="16" t="s">
        <v>123</v>
      </c>
      <c r="B1718" s="16" t="s">
        <v>39</v>
      </c>
      <c r="C1718" s="15">
        <v>3</v>
      </c>
      <c r="D1718" s="17">
        <v>3051068</v>
      </c>
      <c r="E1718" s="17">
        <v>3051068</v>
      </c>
      <c r="F1718" s="17">
        <v>0</v>
      </c>
      <c r="G1718" s="18">
        <v>1</v>
      </c>
      <c r="H1718" s="10" t="str">
        <f t="shared" si="26"/>
        <v>COSTOS</v>
      </c>
      <c r="I1718" s="19">
        <v>2025</v>
      </c>
    </row>
    <row r="1719" spans="1:9" hidden="1" x14ac:dyDescent="0.3">
      <c r="A1719" s="16" t="s">
        <v>123</v>
      </c>
      <c r="B1719" s="16" t="s">
        <v>39</v>
      </c>
      <c r="C1719" s="15">
        <v>4</v>
      </c>
      <c r="D1719" s="17">
        <v>3051068</v>
      </c>
      <c r="E1719" s="17">
        <v>3051068</v>
      </c>
      <c r="F1719" s="17">
        <v>0</v>
      </c>
      <c r="G1719" s="18">
        <v>1</v>
      </c>
      <c r="H1719" s="10" t="str">
        <f t="shared" si="26"/>
        <v>COSTOS</v>
      </c>
      <c r="I1719" s="19">
        <v>2025</v>
      </c>
    </row>
    <row r="1720" spans="1:9" hidden="1" x14ac:dyDescent="0.3">
      <c r="A1720" s="16" t="s">
        <v>123</v>
      </c>
      <c r="B1720" s="16" t="s">
        <v>39</v>
      </c>
      <c r="C1720" s="15">
        <v>5</v>
      </c>
      <c r="D1720" s="17">
        <v>3051068</v>
      </c>
      <c r="E1720" s="17">
        <v>3051068</v>
      </c>
      <c r="F1720" s="17">
        <v>0</v>
      </c>
      <c r="G1720" s="18">
        <v>1</v>
      </c>
      <c r="H1720" s="10" t="str">
        <f t="shared" si="26"/>
        <v>COSTOS</v>
      </c>
      <c r="I1720" s="19">
        <v>2025</v>
      </c>
    </row>
    <row r="1721" spans="1:9" hidden="1" x14ac:dyDescent="0.3">
      <c r="A1721" s="16" t="s">
        <v>123</v>
      </c>
      <c r="B1721" s="16" t="s">
        <v>39</v>
      </c>
      <c r="C1721" s="15">
        <v>6</v>
      </c>
      <c r="D1721" s="17">
        <v>3051068</v>
      </c>
      <c r="E1721" s="17">
        <v>3051068</v>
      </c>
      <c r="F1721" s="17">
        <v>0</v>
      </c>
      <c r="G1721" s="18">
        <v>1</v>
      </c>
      <c r="H1721" s="10" t="str">
        <f t="shared" si="26"/>
        <v>COSTOS</v>
      </c>
      <c r="I1721" s="19">
        <v>2025</v>
      </c>
    </row>
    <row r="1722" spans="1:9" hidden="1" x14ac:dyDescent="0.3">
      <c r="A1722" s="16" t="s">
        <v>123</v>
      </c>
      <c r="B1722" s="16" t="s">
        <v>39</v>
      </c>
      <c r="C1722" s="15">
        <v>7</v>
      </c>
      <c r="D1722" s="17">
        <v>3051068</v>
      </c>
      <c r="E1722" s="17">
        <v>3051068</v>
      </c>
      <c r="F1722" s="17">
        <v>0</v>
      </c>
      <c r="G1722" s="18">
        <v>1</v>
      </c>
      <c r="H1722" s="10" t="str">
        <f t="shared" si="26"/>
        <v>COSTOS</v>
      </c>
      <c r="I1722" s="19">
        <v>2025</v>
      </c>
    </row>
    <row r="1723" spans="1:9" hidden="1" x14ac:dyDescent="0.3">
      <c r="A1723" s="16" t="s">
        <v>123</v>
      </c>
      <c r="B1723" s="16" t="s">
        <v>39</v>
      </c>
      <c r="C1723" s="15">
        <v>8</v>
      </c>
      <c r="D1723" s="17">
        <v>3051068</v>
      </c>
      <c r="E1723" s="17">
        <v>3051068</v>
      </c>
      <c r="F1723" s="17">
        <v>0</v>
      </c>
      <c r="G1723" s="18">
        <v>1</v>
      </c>
      <c r="H1723" s="10" t="str">
        <f t="shared" si="26"/>
        <v>COSTOS</v>
      </c>
      <c r="I1723" s="19">
        <v>2025</v>
      </c>
    </row>
    <row r="1724" spans="1:9" hidden="1" x14ac:dyDescent="0.3">
      <c r="A1724" s="16" t="s">
        <v>123</v>
      </c>
      <c r="B1724" s="16" t="s">
        <v>39</v>
      </c>
      <c r="C1724" s="15">
        <v>9</v>
      </c>
      <c r="D1724" s="17">
        <v>3051068</v>
      </c>
      <c r="E1724" s="17">
        <v>3051068</v>
      </c>
      <c r="F1724" s="17">
        <v>0</v>
      </c>
      <c r="G1724" s="18">
        <v>1</v>
      </c>
      <c r="H1724" s="10" t="str">
        <f t="shared" si="26"/>
        <v>COSTOS</v>
      </c>
      <c r="I1724" s="19">
        <v>2025</v>
      </c>
    </row>
    <row r="1725" spans="1:9" hidden="1" x14ac:dyDescent="0.3">
      <c r="A1725" s="16" t="s">
        <v>123</v>
      </c>
      <c r="B1725" s="16" t="s">
        <v>39</v>
      </c>
      <c r="C1725" s="15">
        <v>10</v>
      </c>
      <c r="D1725" s="17">
        <v>4301068</v>
      </c>
      <c r="E1725" s="17">
        <v>3551068</v>
      </c>
      <c r="F1725" s="17">
        <v>-750000</v>
      </c>
      <c r="G1725" s="18">
        <v>0.82562470530575205</v>
      </c>
      <c r="H1725" s="10" t="str">
        <f t="shared" si="26"/>
        <v>COSTOS</v>
      </c>
      <c r="I1725" s="19">
        <v>2025</v>
      </c>
    </row>
    <row r="1726" spans="1:9" hidden="1" x14ac:dyDescent="0.3">
      <c r="A1726" s="16" t="s">
        <v>123</v>
      </c>
      <c r="B1726" s="16" t="s">
        <v>58</v>
      </c>
      <c r="C1726" s="15">
        <v>1</v>
      </c>
      <c r="D1726" s="17">
        <v>0</v>
      </c>
      <c r="E1726" s="17">
        <v>160336</v>
      </c>
      <c r="F1726" s="17">
        <v>160336</v>
      </c>
      <c r="G1726" s="18">
        <v>0</v>
      </c>
      <c r="H1726" s="10" t="str">
        <f t="shared" si="26"/>
        <v>COSTOS</v>
      </c>
      <c r="I1726" s="19">
        <v>2025</v>
      </c>
    </row>
    <row r="1727" spans="1:9" hidden="1" x14ac:dyDescent="0.3">
      <c r="A1727" s="16" t="s">
        <v>123</v>
      </c>
      <c r="B1727" s="16" t="s">
        <v>58</v>
      </c>
      <c r="C1727" s="15">
        <v>8</v>
      </c>
      <c r="D1727" s="17">
        <v>0</v>
      </c>
      <c r="E1727" s="17">
        <v>328719</v>
      </c>
      <c r="F1727" s="17">
        <v>328719</v>
      </c>
      <c r="G1727" s="18">
        <v>0</v>
      </c>
      <c r="H1727" s="10" t="str">
        <f t="shared" si="26"/>
        <v>COSTOS</v>
      </c>
      <c r="I1727" s="19">
        <v>2025</v>
      </c>
    </row>
    <row r="1728" spans="1:9" hidden="1" x14ac:dyDescent="0.3">
      <c r="A1728" s="16" t="s">
        <v>123</v>
      </c>
      <c r="B1728" s="16" t="s">
        <v>63</v>
      </c>
      <c r="C1728" s="15">
        <v>11</v>
      </c>
      <c r="D1728" s="17">
        <v>7850000</v>
      </c>
      <c r="E1728" s="17">
        <v>19860000</v>
      </c>
      <c r="F1728" s="17">
        <v>12010000</v>
      </c>
      <c r="G1728" s="18">
        <v>2.5299363057324844</v>
      </c>
      <c r="H1728" s="10" t="str">
        <f t="shared" si="26"/>
        <v>COSTOS</v>
      </c>
      <c r="I1728" s="19">
        <v>2025</v>
      </c>
    </row>
    <row r="1729" spans="1:9" hidden="1" x14ac:dyDescent="0.3">
      <c r="A1729" s="16" t="s">
        <v>123</v>
      </c>
      <c r="B1729" s="16" t="s">
        <v>39</v>
      </c>
      <c r="C1729" s="15">
        <v>11</v>
      </c>
      <c r="D1729" s="17">
        <v>4301068</v>
      </c>
      <c r="E1729" s="17">
        <v>3551068</v>
      </c>
      <c r="F1729" s="17">
        <v>-750000</v>
      </c>
      <c r="G1729" s="18">
        <v>0.82562470530575205</v>
      </c>
      <c r="H1729" s="10" t="str">
        <f t="shared" si="26"/>
        <v>COSTOS</v>
      </c>
      <c r="I1729" s="19">
        <v>2025</v>
      </c>
    </row>
    <row r="1730" spans="1:9" hidden="1" x14ac:dyDescent="0.3">
      <c r="A1730" s="16" t="s">
        <v>123</v>
      </c>
      <c r="B1730" s="16" t="s">
        <v>55</v>
      </c>
      <c r="C1730" s="15">
        <v>12</v>
      </c>
      <c r="D1730" s="17">
        <v>0</v>
      </c>
      <c r="E1730" s="17">
        <v>7450000</v>
      </c>
      <c r="F1730" s="17">
        <v>7450000</v>
      </c>
      <c r="G1730" s="18">
        <v>0</v>
      </c>
      <c r="H1730" s="10" t="str">
        <f t="shared" si="26"/>
        <v>COSTOS</v>
      </c>
      <c r="I1730" s="19">
        <v>2025</v>
      </c>
    </row>
    <row r="1731" spans="1:9" hidden="1" x14ac:dyDescent="0.3">
      <c r="A1731" s="16" t="s">
        <v>123</v>
      </c>
      <c r="B1731" s="16" t="s">
        <v>63</v>
      </c>
      <c r="C1731" s="15">
        <v>12</v>
      </c>
      <c r="D1731" s="17">
        <v>7850000</v>
      </c>
      <c r="E1731" s="17">
        <v>0</v>
      </c>
      <c r="F1731" s="17">
        <v>-7850000</v>
      </c>
      <c r="G1731" s="18">
        <v>0</v>
      </c>
      <c r="H1731" s="10" t="str">
        <f t="shared" ref="H1731:H1794" si="27">+IF(OR(A1731="ADMINISTRACION",A1731="COMERCIAL",A1731="COMERCIAL-EXPORTACIONES",A1731="LEASING DE LA BODEGA",A1731="LOGISTICA-SALIDA",A1731="OTROS GASTOS",A1731="BODEGA ALQUILADA", A1731="BODEGA CARTOPLAST", A1731="BODEGA CARTOPLAS", A1731= "GESTION HUMANA-OTROS GASTOS"),"GASTOS","COSTOS")</f>
        <v>COSTOS</v>
      </c>
      <c r="I1731" s="19">
        <v>2025</v>
      </c>
    </row>
    <row r="1732" spans="1:9" hidden="1" x14ac:dyDescent="0.3">
      <c r="A1732" s="16" t="s">
        <v>123</v>
      </c>
      <c r="B1732" s="16" t="s">
        <v>39</v>
      </c>
      <c r="C1732" s="15">
        <v>12</v>
      </c>
      <c r="D1732" s="17">
        <v>4301068</v>
      </c>
      <c r="E1732" s="17">
        <v>3551068</v>
      </c>
      <c r="F1732" s="17">
        <v>-750000</v>
      </c>
      <c r="G1732" s="18">
        <v>0.82562470530575205</v>
      </c>
      <c r="H1732" s="10" t="str">
        <f t="shared" si="27"/>
        <v>COSTOS</v>
      </c>
      <c r="I1732" s="19">
        <v>2025</v>
      </c>
    </row>
    <row r="1733" spans="1:9" hidden="1" x14ac:dyDescent="0.3">
      <c r="A1733" s="16" t="s">
        <v>124</v>
      </c>
      <c r="B1733" s="16" t="s">
        <v>63</v>
      </c>
      <c r="C1733" s="15">
        <v>1</v>
      </c>
      <c r="D1733" s="17">
        <v>0</v>
      </c>
      <c r="E1733" s="17">
        <v>65882</v>
      </c>
      <c r="F1733" s="17">
        <v>65882</v>
      </c>
      <c r="G1733" s="18">
        <v>0</v>
      </c>
      <c r="H1733" s="10" t="str">
        <f t="shared" si="27"/>
        <v>COSTOS</v>
      </c>
      <c r="I1733" s="19">
        <v>2025</v>
      </c>
    </row>
    <row r="1734" spans="1:9" hidden="1" x14ac:dyDescent="0.3">
      <c r="A1734" s="16" t="s">
        <v>124</v>
      </c>
      <c r="B1734" s="16" t="s">
        <v>63</v>
      </c>
      <c r="C1734" s="15">
        <v>2</v>
      </c>
      <c r="D1734" s="17">
        <v>0</v>
      </c>
      <c r="E1734" s="17">
        <v>115400</v>
      </c>
      <c r="F1734" s="17">
        <v>115400</v>
      </c>
      <c r="G1734" s="18">
        <v>0</v>
      </c>
      <c r="H1734" s="10" t="str">
        <f t="shared" si="27"/>
        <v>COSTOS</v>
      </c>
      <c r="I1734" s="19">
        <v>2025</v>
      </c>
    </row>
    <row r="1735" spans="1:9" hidden="1" x14ac:dyDescent="0.3">
      <c r="A1735" s="16" t="s">
        <v>124</v>
      </c>
      <c r="B1735" s="16" t="s">
        <v>63</v>
      </c>
      <c r="C1735" s="15">
        <v>5</v>
      </c>
      <c r="D1735" s="17">
        <v>2000000</v>
      </c>
      <c r="E1735" s="17">
        <v>0</v>
      </c>
      <c r="F1735" s="17">
        <v>-2000000</v>
      </c>
      <c r="G1735" s="18">
        <v>0</v>
      </c>
      <c r="H1735" s="10" t="str">
        <f t="shared" si="27"/>
        <v>COSTOS</v>
      </c>
      <c r="I1735" s="19">
        <v>2025</v>
      </c>
    </row>
    <row r="1736" spans="1:9" hidden="1" x14ac:dyDescent="0.3">
      <c r="A1736" s="16" t="s">
        <v>124</v>
      </c>
      <c r="B1736" s="16" t="s">
        <v>63</v>
      </c>
      <c r="C1736" s="15">
        <v>6</v>
      </c>
      <c r="D1736" s="17">
        <v>6000000</v>
      </c>
      <c r="E1736" s="17">
        <v>0</v>
      </c>
      <c r="F1736" s="17">
        <v>-6000000</v>
      </c>
      <c r="G1736" s="18">
        <v>0</v>
      </c>
      <c r="H1736" s="10" t="str">
        <f t="shared" si="27"/>
        <v>COSTOS</v>
      </c>
      <c r="I1736" s="19">
        <v>2025</v>
      </c>
    </row>
    <row r="1737" spans="1:9" hidden="1" x14ac:dyDescent="0.3">
      <c r="A1737" s="16" t="s">
        <v>124</v>
      </c>
      <c r="B1737" s="16" t="s">
        <v>63</v>
      </c>
      <c r="C1737" s="15">
        <v>12</v>
      </c>
      <c r="D1737" s="17">
        <v>0</v>
      </c>
      <c r="E1737" s="17">
        <v>837801</v>
      </c>
      <c r="F1737" s="17">
        <v>837801</v>
      </c>
      <c r="G1737" s="18">
        <v>0</v>
      </c>
      <c r="H1737" s="10" t="str">
        <f t="shared" si="27"/>
        <v>COSTOS</v>
      </c>
      <c r="I1737" s="19">
        <v>2025</v>
      </c>
    </row>
    <row r="1738" spans="1:9" hidden="1" x14ac:dyDescent="0.3">
      <c r="A1738" s="16" t="s">
        <v>167</v>
      </c>
      <c r="B1738" s="16" t="s">
        <v>55</v>
      </c>
      <c r="C1738" s="15">
        <v>10</v>
      </c>
      <c r="D1738" s="17">
        <v>0</v>
      </c>
      <c r="E1738" s="17">
        <v>254400</v>
      </c>
      <c r="F1738" s="17">
        <v>254400</v>
      </c>
      <c r="G1738" s="18">
        <v>0</v>
      </c>
      <c r="H1738" s="10" t="str">
        <f t="shared" si="27"/>
        <v>COSTOS</v>
      </c>
      <c r="I1738" s="19">
        <v>2025</v>
      </c>
    </row>
    <row r="1739" spans="1:9" hidden="1" x14ac:dyDescent="0.3">
      <c r="A1739" s="16" t="s">
        <v>167</v>
      </c>
      <c r="B1739" s="16" t="s">
        <v>63</v>
      </c>
      <c r="C1739" s="15">
        <v>6</v>
      </c>
      <c r="D1739" s="17">
        <v>2000000</v>
      </c>
      <c r="E1739" s="17">
        <v>1583304</v>
      </c>
      <c r="F1739" s="17">
        <v>-416696</v>
      </c>
      <c r="G1739" s="18">
        <v>0.79165200000000002</v>
      </c>
      <c r="H1739" s="10" t="str">
        <f t="shared" si="27"/>
        <v>COSTOS</v>
      </c>
      <c r="I1739" s="19">
        <v>2025</v>
      </c>
    </row>
    <row r="1740" spans="1:9" hidden="1" x14ac:dyDescent="0.3">
      <c r="A1740" s="16" t="s">
        <v>154</v>
      </c>
      <c r="B1740" s="16" t="s">
        <v>16</v>
      </c>
      <c r="C1740" s="15">
        <v>6</v>
      </c>
      <c r="D1740" s="17">
        <v>0</v>
      </c>
      <c r="E1740" s="17">
        <v>18000</v>
      </c>
      <c r="F1740" s="17">
        <v>18000</v>
      </c>
      <c r="G1740" s="18">
        <v>0</v>
      </c>
      <c r="H1740" s="10" t="str">
        <f t="shared" si="27"/>
        <v>COSTOS</v>
      </c>
      <c r="I1740" s="19">
        <v>2025</v>
      </c>
    </row>
    <row r="1741" spans="1:9" hidden="1" x14ac:dyDescent="0.3">
      <c r="A1741" s="16" t="s">
        <v>154</v>
      </c>
      <c r="B1741" s="16" t="s">
        <v>55</v>
      </c>
      <c r="C1741" s="15">
        <v>4</v>
      </c>
      <c r="D1741" s="17">
        <v>0</v>
      </c>
      <c r="E1741" s="17">
        <v>453452</v>
      </c>
      <c r="F1741" s="17">
        <v>453452</v>
      </c>
      <c r="G1741" s="18">
        <v>0</v>
      </c>
      <c r="H1741" s="10" t="str">
        <f t="shared" si="27"/>
        <v>COSTOS</v>
      </c>
      <c r="I1741" s="19">
        <v>2025</v>
      </c>
    </row>
    <row r="1742" spans="1:9" hidden="1" x14ac:dyDescent="0.3">
      <c r="A1742" s="16" t="s">
        <v>154</v>
      </c>
      <c r="B1742" s="16" t="s">
        <v>63</v>
      </c>
      <c r="C1742" s="15">
        <v>4</v>
      </c>
      <c r="D1742" s="17">
        <v>2261000</v>
      </c>
      <c r="E1742" s="17">
        <v>2261685</v>
      </c>
      <c r="F1742" s="17">
        <v>685</v>
      </c>
      <c r="G1742" s="18">
        <v>1.0003029632905793</v>
      </c>
      <c r="H1742" s="10" t="str">
        <f t="shared" si="27"/>
        <v>COSTOS</v>
      </c>
      <c r="I1742" s="19">
        <v>2025</v>
      </c>
    </row>
    <row r="1743" spans="1:9" hidden="1" x14ac:dyDescent="0.3">
      <c r="A1743" s="16" t="s">
        <v>154</v>
      </c>
      <c r="B1743" s="16" t="s">
        <v>63</v>
      </c>
      <c r="C1743" s="15">
        <v>6</v>
      </c>
      <c r="D1743" s="17">
        <v>0</v>
      </c>
      <c r="E1743" s="17">
        <v>52101</v>
      </c>
      <c r="F1743" s="17">
        <v>52101</v>
      </c>
      <c r="G1743" s="18">
        <v>0</v>
      </c>
      <c r="H1743" s="10" t="str">
        <f t="shared" si="27"/>
        <v>COSTOS</v>
      </c>
      <c r="I1743" s="19">
        <v>2025</v>
      </c>
    </row>
    <row r="1744" spans="1:9" hidden="1" x14ac:dyDescent="0.3">
      <c r="A1744" s="16" t="s">
        <v>154</v>
      </c>
      <c r="B1744" s="16" t="s">
        <v>63</v>
      </c>
      <c r="C1744" s="15">
        <v>8</v>
      </c>
      <c r="D1744" s="17">
        <v>0</v>
      </c>
      <c r="E1744" s="17">
        <v>523247</v>
      </c>
      <c r="F1744" s="17">
        <v>523247</v>
      </c>
      <c r="G1744" s="18">
        <v>0</v>
      </c>
      <c r="H1744" s="10" t="str">
        <f t="shared" si="27"/>
        <v>COSTOS</v>
      </c>
      <c r="I1744" s="19">
        <v>2025</v>
      </c>
    </row>
    <row r="1745" spans="1:9" hidden="1" x14ac:dyDescent="0.3">
      <c r="A1745" s="16" t="s">
        <v>154</v>
      </c>
      <c r="B1745" s="16" t="s">
        <v>63</v>
      </c>
      <c r="C1745" s="15">
        <v>9</v>
      </c>
      <c r="D1745" s="17">
        <v>0</v>
      </c>
      <c r="E1745" s="17">
        <v>855300</v>
      </c>
      <c r="F1745" s="17">
        <v>855300</v>
      </c>
      <c r="G1745" s="18">
        <v>0</v>
      </c>
      <c r="H1745" s="10" t="str">
        <f t="shared" si="27"/>
        <v>COSTOS</v>
      </c>
      <c r="I1745" s="19">
        <v>2025</v>
      </c>
    </row>
    <row r="1746" spans="1:9" hidden="1" x14ac:dyDescent="0.3">
      <c r="A1746" s="16" t="s">
        <v>154</v>
      </c>
      <c r="B1746" s="16" t="s">
        <v>63</v>
      </c>
      <c r="C1746" s="15">
        <v>10</v>
      </c>
      <c r="D1746" s="17">
        <v>0</v>
      </c>
      <c r="E1746" s="17">
        <v>614844</v>
      </c>
      <c r="F1746" s="17">
        <v>614844</v>
      </c>
      <c r="G1746" s="18">
        <v>0</v>
      </c>
      <c r="H1746" s="10" t="str">
        <f t="shared" si="27"/>
        <v>COSTOS</v>
      </c>
      <c r="I1746" s="19">
        <v>2025</v>
      </c>
    </row>
    <row r="1747" spans="1:9" hidden="1" x14ac:dyDescent="0.3">
      <c r="A1747" s="16" t="s">
        <v>125</v>
      </c>
      <c r="B1747" s="16" t="s">
        <v>63</v>
      </c>
      <c r="C1747" s="15">
        <v>1</v>
      </c>
      <c r="D1747" s="17">
        <v>0</v>
      </c>
      <c r="E1747" s="17">
        <v>57000</v>
      </c>
      <c r="F1747" s="17">
        <v>57000</v>
      </c>
      <c r="G1747" s="18">
        <v>0</v>
      </c>
      <c r="H1747" s="10" t="str">
        <f t="shared" si="27"/>
        <v>COSTOS</v>
      </c>
      <c r="I1747" s="19">
        <v>2025</v>
      </c>
    </row>
    <row r="1748" spans="1:9" hidden="1" x14ac:dyDescent="0.3">
      <c r="A1748" s="16" t="s">
        <v>125</v>
      </c>
      <c r="B1748" s="16" t="s">
        <v>63</v>
      </c>
      <c r="C1748" s="15">
        <v>5</v>
      </c>
      <c r="D1748" s="17">
        <v>900000</v>
      </c>
      <c r="E1748" s="17">
        <v>0</v>
      </c>
      <c r="F1748" s="17">
        <v>-900000</v>
      </c>
      <c r="G1748" s="18">
        <v>0</v>
      </c>
      <c r="H1748" s="10" t="str">
        <f t="shared" si="27"/>
        <v>COSTOS</v>
      </c>
      <c r="I1748" s="19">
        <v>2025</v>
      </c>
    </row>
    <row r="1749" spans="1:9" hidden="1" x14ac:dyDescent="0.3">
      <c r="A1749" s="16" t="s">
        <v>125</v>
      </c>
      <c r="B1749" s="16" t="s">
        <v>59</v>
      </c>
      <c r="C1749" s="15">
        <v>11</v>
      </c>
      <c r="D1749" s="17">
        <v>0</v>
      </c>
      <c r="E1749" s="17">
        <v>136680</v>
      </c>
      <c r="F1749" s="17">
        <v>136680</v>
      </c>
      <c r="G1749" s="18">
        <v>0</v>
      </c>
      <c r="H1749" s="10" t="str">
        <f t="shared" si="27"/>
        <v>COSTOS</v>
      </c>
      <c r="I1749" s="19">
        <v>2025</v>
      </c>
    </row>
    <row r="1750" spans="1:9" hidden="1" x14ac:dyDescent="0.3">
      <c r="A1750" s="16" t="s">
        <v>126</v>
      </c>
      <c r="B1750" s="16" t="s">
        <v>63</v>
      </c>
      <c r="C1750" s="15">
        <v>2</v>
      </c>
      <c r="D1750" s="17">
        <v>0</v>
      </c>
      <c r="E1750" s="17">
        <v>130100</v>
      </c>
      <c r="F1750" s="17">
        <v>130100</v>
      </c>
      <c r="G1750" s="18">
        <v>0</v>
      </c>
      <c r="H1750" s="10" t="str">
        <f t="shared" si="27"/>
        <v>COSTOS</v>
      </c>
      <c r="I1750" s="19">
        <v>2025</v>
      </c>
    </row>
    <row r="1751" spans="1:9" hidden="1" x14ac:dyDescent="0.3">
      <c r="A1751" s="16" t="s">
        <v>126</v>
      </c>
      <c r="B1751" s="16" t="s">
        <v>63</v>
      </c>
      <c r="C1751" s="15">
        <v>3</v>
      </c>
      <c r="D1751" s="17">
        <v>0</v>
      </c>
      <c r="E1751" s="17">
        <v>11747</v>
      </c>
      <c r="F1751" s="17">
        <v>11747</v>
      </c>
      <c r="G1751" s="18">
        <v>0</v>
      </c>
      <c r="H1751" s="10" t="str">
        <f t="shared" si="27"/>
        <v>COSTOS</v>
      </c>
      <c r="I1751" s="19">
        <v>2025</v>
      </c>
    </row>
    <row r="1752" spans="1:9" hidden="1" x14ac:dyDescent="0.3">
      <c r="A1752" s="16" t="s">
        <v>126</v>
      </c>
      <c r="B1752" s="16" t="s">
        <v>63</v>
      </c>
      <c r="C1752" s="15">
        <v>6</v>
      </c>
      <c r="D1752" s="17">
        <v>550000</v>
      </c>
      <c r="E1752" s="17">
        <v>0</v>
      </c>
      <c r="F1752" s="17">
        <v>-550000</v>
      </c>
      <c r="G1752" s="18">
        <v>0</v>
      </c>
      <c r="H1752" s="10" t="str">
        <f t="shared" si="27"/>
        <v>COSTOS</v>
      </c>
      <c r="I1752" s="19">
        <v>2025</v>
      </c>
    </row>
    <row r="1753" spans="1:9" hidden="1" x14ac:dyDescent="0.3">
      <c r="A1753" s="16" t="s">
        <v>127</v>
      </c>
      <c r="B1753" s="16" t="s">
        <v>63</v>
      </c>
      <c r="C1753" s="15">
        <v>1</v>
      </c>
      <c r="D1753" s="17">
        <v>20000</v>
      </c>
      <c r="E1753" s="17">
        <v>0</v>
      </c>
      <c r="F1753" s="17">
        <v>-20000</v>
      </c>
      <c r="G1753" s="18">
        <v>0</v>
      </c>
      <c r="H1753" s="10" t="str">
        <f t="shared" si="27"/>
        <v>COSTOS</v>
      </c>
      <c r="I1753" s="19">
        <v>2025</v>
      </c>
    </row>
    <row r="1754" spans="1:9" hidden="1" x14ac:dyDescent="0.3">
      <c r="A1754" s="16" t="s">
        <v>127</v>
      </c>
      <c r="B1754" s="16" t="s">
        <v>63</v>
      </c>
      <c r="C1754" s="15">
        <v>2</v>
      </c>
      <c r="D1754" s="17">
        <v>20000</v>
      </c>
      <c r="E1754" s="17">
        <v>0</v>
      </c>
      <c r="F1754" s="17">
        <v>-20000</v>
      </c>
      <c r="G1754" s="18">
        <v>0</v>
      </c>
      <c r="H1754" s="10" t="str">
        <f t="shared" si="27"/>
        <v>COSTOS</v>
      </c>
      <c r="I1754" s="19">
        <v>2025</v>
      </c>
    </row>
    <row r="1755" spans="1:9" hidden="1" x14ac:dyDescent="0.3">
      <c r="A1755" s="16" t="s">
        <v>127</v>
      </c>
      <c r="B1755" s="16" t="s">
        <v>63</v>
      </c>
      <c r="C1755" s="15">
        <v>3</v>
      </c>
      <c r="D1755" s="17">
        <v>20000</v>
      </c>
      <c r="E1755" s="17">
        <v>0</v>
      </c>
      <c r="F1755" s="17">
        <v>-20000</v>
      </c>
      <c r="G1755" s="18">
        <v>0</v>
      </c>
      <c r="H1755" s="10" t="str">
        <f t="shared" si="27"/>
        <v>COSTOS</v>
      </c>
      <c r="I1755" s="19">
        <v>2025</v>
      </c>
    </row>
    <row r="1756" spans="1:9" hidden="1" x14ac:dyDescent="0.3">
      <c r="A1756" s="16" t="s">
        <v>127</v>
      </c>
      <c r="B1756" s="16" t="s">
        <v>63</v>
      </c>
      <c r="C1756" s="15">
        <v>4</v>
      </c>
      <c r="D1756" s="17">
        <v>20000</v>
      </c>
      <c r="E1756" s="17">
        <v>0</v>
      </c>
      <c r="F1756" s="17">
        <v>-20000</v>
      </c>
      <c r="G1756" s="18">
        <v>0</v>
      </c>
      <c r="H1756" s="10" t="str">
        <f t="shared" si="27"/>
        <v>COSTOS</v>
      </c>
      <c r="I1756" s="19">
        <v>2025</v>
      </c>
    </row>
    <row r="1757" spans="1:9" hidden="1" x14ac:dyDescent="0.3">
      <c r="A1757" s="16" t="s">
        <v>127</v>
      </c>
      <c r="B1757" s="16" t="s">
        <v>63</v>
      </c>
      <c r="C1757" s="15">
        <v>5</v>
      </c>
      <c r="D1757" s="17">
        <v>3020000</v>
      </c>
      <c r="E1757" s="17">
        <v>0</v>
      </c>
      <c r="F1757" s="17">
        <v>-3020000</v>
      </c>
      <c r="G1757" s="18">
        <v>0</v>
      </c>
      <c r="H1757" s="10" t="str">
        <f t="shared" si="27"/>
        <v>COSTOS</v>
      </c>
      <c r="I1757" s="19">
        <v>2025</v>
      </c>
    </row>
    <row r="1758" spans="1:9" hidden="1" x14ac:dyDescent="0.3">
      <c r="A1758" s="16" t="s">
        <v>127</v>
      </c>
      <c r="B1758" s="16" t="s">
        <v>63</v>
      </c>
      <c r="C1758" s="15">
        <v>6</v>
      </c>
      <c r="D1758" s="17">
        <v>20000</v>
      </c>
      <c r="E1758" s="17">
        <v>0</v>
      </c>
      <c r="F1758" s="17">
        <v>-20000</v>
      </c>
      <c r="G1758" s="18">
        <v>0</v>
      </c>
      <c r="H1758" s="10" t="str">
        <f t="shared" si="27"/>
        <v>COSTOS</v>
      </c>
      <c r="I1758" s="19">
        <v>2025</v>
      </c>
    </row>
    <row r="1759" spans="1:9" hidden="1" x14ac:dyDescent="0.3">
      <c r="A1759" s="16" t="s">
        <v>127</v>
      </c>
      <c r="B1759" s="16" t="s">
        <v>63</v>
      </c>
      <c r="C1759" s="15">
        <v>7</v>
      </c>
      <c r="D1759" s="17">
        <v>20000</v>
      </c>
      <c r="E1759" s="17">
        <v>0</v>
      </c>
      <c r="F1759" s="17">
        <v>-20000</v>
      </c>
      <c r="G1759" s="18">
        <v>0</v>
      </c>
      <c r="H1759" s="10" t="str">
        <f t="shared" si="27"/>
        <v>COSTOS</v>
      </c>
      <c r="I1759" s="19">
        <v>2025</v>
      </c>
    </row>
    <row r="1760" spans="1:9" hidden="1" x14ac:dyDescent="0.3">
      <c r="A1760" s="16" t="s">
        <v>127</v>
      </c>
      <c r="B1760" s="16" t="s">
        <v>63</v>
      </c>
      <c r="C1760" s="15">
        <v>8</v>
      </c>
      <c r="D1760" s="17">
        <v>20000</v>
      </c>
      <c r="E1760" s="17">
        <v>0</v>
      </c>
      <c r="F1760" s="17">
        <v>-20000</v>
      </c>
      <c r="G1760" s="18">
        <v>0</v>
      </c>
      <c r="H1760" s="10" t="str">
        <f t="shared" si="27"/>
        <v>COSTOS</v>
      </c>
      <c r="I1760" s="19">
        <v>2025</v>
      </c>
    </row>
    <row r="1761" spans="1:9" hidden="1" x14ac:dyDescent="0.3">
      <c r="A1761" s="16" t="s">
        <v>127</v>
      </c>
      <c r="B1761" s="16" t="s">
        <v>63</v>
      </c>
      <c r="C1761" s="15">
        <v>9</v>
      </c>
      <c r="D1761" s="17">
        <v>20000</v>
      </c>
      <c r="E1761" s="17">
        <v>0</v>
      </c>
      <c r="F1761" s="17">
        <v>-20000</v>
      </c>
      <c r="G1761" s="18">
        <v>0</v>
      </c>
      <c r="H1761" s="10" t="str">
        <f t="shared" si="27"/>
        <v>COSTOS</v>
      </c>
      <c r="I1761" s="19">
        <v>2025</v>
      </c>
    </row>
    <row r="1762" spans="1:9" hidden="1" x14ac:dyDescent="0.3">
      <c r="A1762" s="16" t="s">
        <v>127</v>
      </c>
      <c r="B1762" s="16" t="s">
        <v>63</v>
      </c>
      <c r="C1762" s="15">
        <v>10</v>
      </c>
      <c r="D1762" s="17">
        <v>20000</v>
      </c>
      <c r="E1762" s="17">
        <v>0</v>
      </c>
      <c r="F1762" s="17">
        <v>-20000</v>
      </c>
      <c r="G1762" s="18">
        <v>0</v>
      </c>
      <c r="H1762" s="10" t="str">
        <f t="shared" si="27"/>
        <v>COSTOS</v>
      </c>
      <c r="I1762" s="19">
        <v>2025</v>
      </c>
    </row>
    <row r="1763" spans="1:9" hidden="1" x14ac:dyDescent="0.3">
      <c r="A1763" s="16" t="s">
        <v>127</v>
      </c>
      <c r="B1763" s="16" t="s">
        <v>63</v>
      </c>
      <c r="C1763" s="15">
        <v>11</v>
      </c>
      <c r="D1763" s="17">
        <v>20000</v>
      </c>
      <c r="E1763" s="17">
        <v>0</v>
      </c>
      <c r="F1763" s="17">
        <v>-20000</v>
      </c>
      <c r="G1763" s="18">
        <v>0</v>
      </c>
      <c r="H1763" s="10" t="str">
        <f t="shared" si="27"/>
        <v>COSTOS</v>
      </c>
      <c r="I1763" s="19">
        <v>2025</v>
      </c>
    </row>
    <row r="1764" spans="1:9" hidden="1" x14ac:dyDescent="0.3">
      <c r="A1764" s="16" t="s">
        <v>127</v>
      </c>
      <c r="B1764" s="16" t="s">
        <v>63</v>
      </c>
      <c r="C1764" s="15">
        <v>12</v>
      </c>
      <c r="D1764" s="17">
        <v>20000</v>
      </c>
      <c r="E1764" s="17">
        <v>0</v>
      </c>
      <c r="F1764" s="17">
        <v>-20000</v>
      </c>
      <c r="G1764" s="18">
        <v>0</v>
      </c>
      <c r="H1764" s="10" t="str">
        <f t="shared" si="27"/>
        <v>COSTOS</v>
      </c>
      <c r="I1764" s="19">
        <v>2025</v>
      </c>
    </row>
    <row r="1765" spans="1:9" hidden="1" x14ac:dyDescent="0.3">
      <c r="A1765" s="16" t="s">
        <v>128</v>
      </c>
      <c r="B1765" s="16" t="s">
        <v>55</v>
      </c>
      <c r="C1765" s="15">
        <v>3</v>
      </c>
      <c r="D1765" s="17">
        <v>0</v>
      </c>
      <c r="E1765" s="17">
        <v>123105</v>
      </c>
      <c r="F1765" s="17">
        <v>123105</v>
      </c>
      <c r="G1765" s="18">
        <v>0</v>
      </c>
      <c r="H1765" s="10" t="str">
        <f t="shared" si="27"/>
        <v>COSTOS</v>
      </c>
      <c r="I1765" s="19">
        <v>2025</v>
      </c>
    </row>
    <row r="1766" spans="1:9" hidden="1" x14ac:dyDescent="0.3">
      <c r="A1766" s="16" t="s">
        <v>128</v>
      </c>
      <c r="B1766" s="16" t="s">
        <v>55</v>
      </c>
      <c r="C1766" s="15">
        <v>5</v>
      </c>
      <c r="D1766" s="17">
        <v>0</v>
      </c>
      <c r="E1766" s="17">
        <v>936774</v>
      </c>
      <c r="F1766" s="17">
        <v>936774</v>
      </c>
      <c r="G1766" s="18">
        <v>0</v>
      </c>
      <c r="H1766" s="10" t="str">
        <f t="shared" si="27"/>
        <v>COSTOS</v>
      </c>
      <c r="I1766" s="19">
        <v>2025</v>
      </c>
    </row>
    <row r="1767" spans="1:9" hidden="1" x14ac:dyDescent="0.3">
      <c r="A1767" s="16" t="s">
        <v>128</v>
      </c>
      <c r="B1767" s="16" t="s">
        <v>63</v>
      </c>
      <c r="C1767" s="15">
        <v>1</v>
      </c>
      <c r="D1767" s="17">
        <v>80000</v>
      </c>
      <c r="E1767" s="17">
        <v>512204</v>
      </c>
      <c r="F1767" s="17">
        <v>432204</v>
      </c>
      <c r="G1767" s="18">
        <v>6.4025499999999997</v>
      </c>
      <c r="H1767" s="10" t="str">
        <f t="shared" si="27"/>
        <v>COSTOS</v>
      </c>
      <c r="I1767" s="19">
        <v>2025</v>
      </c>
    </row>
    <row r="1768" spans="1:9" hidden="1" x14ac:dyDescent="0.3">
      <c r="A1768" s="16" t="s">
        <v>128</v>
      </c>
      <c r="B1768" s="16" t="s">
        <v>63</v>
      </c>
      <c r="C1768" s="15">
        <v>2</v>
      </c>
      <c r="D1768" s="17">
        <v>80000</v>
      </c>
      <c r="E1768" s="17">
        <v>1199845</v>
      </c>
      <c r="F1768" s="17">
        <v>1119845</v>
      </c>
      <c r="G1768" s="18">
        <v>14.9980625</v>
      </c>
      <c r="H1768" s="10" t="str">
        <f t="shared" si="27"/>
        <v>COSTOS</v>
      </c>
      <c r="I1768" s="19">
        <v>2025</v>
      </c>
    </row>
    <row r="1769" spans="1:9" hidden="1" x14ac:dyDescent="0.3">
      <c r="A1769" s="16" t="s">
        <v>128</v>
      </c>
      <c r="B1769" s="16" t="s">
        <v>63</v>
      </c>
      <c r="C1769" s="15">
        <v>3</v>
      </c>
      <c r="D1769" s="17">
        <v>80000</v>
      </c>
      <c r="E1769" s="17">
        <v>634570</v>
      </c>
      <c r="F1769" s="17">
        <v>554570</v>
      </c>
      <c r="G1769" s="18">
        <v>7.9321250000000001</v>
      </c>
      <c r="H1769" s="10" t="str">
        <f t="shared" si="27"/>
        <v>COSTOS</v>
      </c>
      <c r="I1769" s="19">
        <v>2025</v>
      </c>
    </row>
    <row r="1770" spans="1:9" hidden="1" x14ac:dyDescent="0.3">
      <c r="A1770" s="16" t="s">
        <v>128</v>
      </c>
      <c r="B1770" s="16" t="s">
        <v>63</v>
      </c>
      <c r="C1770" s="15">
        <v>4</v>
      </c>
      <c r="D1770" s="17">
        <v>80000</v>
      </c>
      <c r="E1770" s="17">
        <v>0</v>
      </c>
      <c r="F1770" s="17">
        <v>-80000</v>
      </c>
      <c r="G1770" s="18">
        <v>0</v>
      </c>
      <c r="H1770" s="10" t="str">
        <f t="shared" si="27"/>
        <v>COSTOS</v>
      </c>
      <c r="I1770" s="19">
        <v>2025</v>
      </c>
    </row>
    <row r="1771" spans="1:9" hidden="1" x14ac:dyDescent="0.3">
      <c r="A1771" s="16" t="s">
        <v>128</v>
      </c>
      <c r="B1771" s="16" t="s">
        <v>63</v>
      </c>
      <c r="C1771" s="15">
        <v>5</v>
      </c>
      <c r="D1771" s="17">
        <v>80000</v>
      </c>
      <c r="E1771" s="17">
        <v>0</v>
      </c>
      <c r="F1771" s="17">
        <v>-80000</v>
      </c>
      <c r="G1771" s="18">
        <v>0</v>
      </c>
      <c r="H1771" s="10" t="str">
        <f t="shared" si="27"/>
        <v>COSTOS</v>
      </c>
      <c r="I1771" s="19">
        <v>2025</v>
      </c>
    </row>
    <row r="1772" spans="1:9" hidden="1" x14ac:dyDescent="0.3">
      <c r="A1772" s="16" t="s">
        <v>128</v>
      </c>
      <c r="B1772" s="16" t="s">
        <v>63</v>
      </c>
      <c r="C1772" s="15">
        <v>6</v>
      </c>
      <c r="D1772" s="17">
        <v>80000</v>
      </c>
      <c r="E1772" s="17">
        <v>0</v>
      </c>
      <c r="F1772" s="17">
        <v>-80000</v>
      </c>
      <c r="G1772" s="18">
        <v>0</v>
      </c>
      <c r="H1772" s="10" t="str">
        <f t="shared" si="27"/>
        <v>COSTOS</v>
      </c>
      <c r="I1772" s="19">
        <v>2025</v>
      </c>
    </row>
    <row r="1773" spans="1:9" hidden="1" x14ac:dyDescent="0.3">
      <c r="A1773" s="16" t="s">
        <v>128</v>
      </c>
      <c r="B1773" s="16" t="s">
        <v>63</v>
      </c>
      <c r="C1773" s="15">
        <v>7</v>
      </c>
      <c r="D1773" s="17">
        <v>80000</v>
      </c>
      <c r="E1773" s="17">
        <v>0</v>
      </c>
      <c r="F1773" s="17">
        <v>-80000</v>
      </c>
      <c r="G1773" s="18">
        <v>0</v>
      </c>
      <c r="H1773" s="10" t="str">
        <f t="shared" si="27"/>
        <v>COSTOS</v>
      </c>
      <c r="I1773" s="19">
        <v>2025</v>
      </c>
    </row>
    <row r="1774" spans="1:9" hidden="1" x14ac:dyDescent="0.3">
      <c r="A1774" s="16" t="s">
        <v>128</v>
      </c>
      <c r="B1774" s="16" t="s">
        <v>63</v>
      </c>
      <c r="C1774" s="15">
        <v>8</v>
      </c>
      <c r="D1774" s="17">
        <v>80000</v>
      </c>
      <c r="E1774" s="17">
        <v>240000</v>
      </c>
      <c r="F1774" s="17">
        <v>160000</v>
      </c>
      <c r="G1774" s="18">
        <v>3</v>
      </c>
      <c r="H1774" s="10" t="str">
        <f t="shared" si="27"/>
        <v>COSTOS</v>
      </c>
      <c r="I1774" s="19">
        <v>2025</v>
      </c>
    </row>
    <row r="1775" spans="1:9" hidden="1" x14ac:dyDescent="0.3">
      <c r="A1775" s="16" t="s">
        <v>128</v>
      </c>
      <c r="B1775" s="16" t="s">
        <v>63</v>
      </c>
      <c r="C1775" s="15">
        <v>9</v>
      </c>
      <c r="D1775" s="17">
        <v>80000</v>
      </c>
      <c r="E1775" s="17">
        <v>361400</v>
      </c>
      <c r="F1775" s="17">
        <v>281400</v>
      </c>
      <c r="G1775" s="18">
        <v>4.5175000000000001</v>
      </c>
      <c r="H1775" s="10" t="str">
        <f t="shared" si="27"/>
        <v>COSTOS</v>
      </c>
      <c r="I1775" s="19">
        <v>2025</v>
      </c>
    </row>
    <row r="1776" spans="1:9" hidden="1" x14ac:dyDescent="0.3">
      <c r="A1776" s="16" t="s">
        <v>128</v>
      </c>
      <c r="B1776" s="16" t="s">
        <v>63</v>
      </c>
      <c r="C1776" s="15">
        <v>10</v>
      </c>
      <c r="D1776" s="17">
        <v>80000</v>
      </c>
      <c r="E1776" s="17">
        <v>0</v>
      </c>
      <c r="F1776" s="17">
        <v>-80000</v>
      </c>
      <c r="G1776" s="18">
        <v>0</v>
      </c>
      <c r="H1776" s="10" t="str">
        <f t="shared" si="27"/>
        <v>COSTOS</v>
      </c>
      <c r="I1776" s="19">
        <v>2025</v>
      </c>
    </row>
    <row r="1777" spans="1:9" hidden="1" x14ac:dyDescent="0.3">
      <c r="A1777" s="16" t="s">
        <v>128</v>
      </c>
      <c r="B1777" s="16" t="s">
        <v>63</v>
      </c>
      <c r="C1777" s="15">
        <v>11</v>
      </c>
      <c r="D1777" s="17">
        <v>80000</v>
      </c>
      <c r="E1777" s="17">
        <v>84235</v>
      </c>
      <c r="F1777" s="17">
        <v>4235</v>
      </c>
      <c r="G1777" s="18">
        <v>1.0529375000000001</v>
      </c>
      <c r="H1777" s="10" t="str">
        <f t="shared" si="27"/>
        <v>COSTOS</v>
      </c>
      <c r="I1777" s="19">
        <v>2025</v>
      </c>
    </row>
    <row r="1778" spans="1:9" hidden="1" x14ac:dyDescent="0.3">
      <c r="A1778" s="16" t="s">
        <v>128</v>
      </c>
      <c r="B1778" s="16" t="s">
        <v>63</v>
      </c>
      <c r="C1778" s="15">
        <v>12</v>
      </c>
      <c r="D1778" s="17">
        <v>80000</v>
      </c>
      <c r="E1778" s="17">
        <v>0</v>
      </c>
      <c r="F1778" s="17">
        <v>-80000</v>
      </c>
      <c r="G1778" s="18">
        <v>0</v>
      </c>
      <c r="H1778" s="10" t="str">
        <f t="shared" si="27"/>
        <v>COSTOS</v>
      </c>
      <c r="I1778" s="19">
        <v>2025</v>
      </c>
    </row>
    <row r="1779" spans="1:9" hidden="1" x14ac:dyDescent="0.3">
      <c r="A1779" s="16" t="s">
        <v>129</v>
      </c>
      <c r="B1779" s="16" t="s">
        <v>16</v>
      </c>
      <c r="C1779" s="15">
        <v>2</v>
      </c>
      <c r="D1779" s="17">
        <v>0</v>
      </c>
      <c r="E1779" s="17">
        <v>110000</v>
      </c>
      <c r="F1779" s="17">
        <v>110000</v>
      </c>
      <c r="G1779" s="18">
        <v>0</v>
      </c>
      <c r="H1779" s="10" t="str">
        <f t="shared" si="27"/>
        <v>COSTOS</v>
      </c>
      <c r="I1779" s="19">
        <v>2025</v>
      </c>
    </row>
    <row r="1780" spans="1:9" hidden="1" x14ac:dyDescent="0.3">
      <c r="A1780" s="16" t="s">
        <v>129</v>
      </c>
      <c r="B1780" s="16" t="s">
        <v>16</v>
      </c>
      <c r="C1780" s="15">
        <v>3</v>
      </c>
      <c r="D1780" s="17">
        <v>0</v>
      </c>
      <c r="E1780" s="17">
        <v>50000</v>
      </c>
      <c r="F1780" s="17">
        <v>50000</v>
      </c>
      <c r="G1780" s="18">
        <v>0</v>
      </c>
      <c r="H1780" s="10" t="str">
        <f t="shared" si="27"/>
        <v>COSTOS</v>
      </c>
      <c r="I1780" s="19">
        <v>2025</v>
      </c>
    </row>
    <row r="1781" spans="1:9" hidden="1" x14ac:dyDescent="0.3">
      <c r="A1781" s="16" t="s">
        <v>129</v>
      </c>
      <c r="B1781" s="16" t="s">
        <v>16</v>
      </c>
      <c r="C1781" s="15">
        <v>5</v>
      </c>
      <c r="D1781" s="17">
        <v>0</v>
      </c>
      <c r="E1781" s="17">
        <v>75000</v>
      </c>
      <c r="F1781" s="17">
        <v>75000</v>
      </c>
      <c r="G1781" s="18">
        <v>0</v>
      </c>
      <c r="H1781" s="10" t="str">
        <f t="shared" si="27"/>
        <v>COSTOS</v>
      </c>
      <c r="I1781" s="19">
        <v>2025</v>
      </c>
    </row>
    <row r="1782" spans="1:9" hidden="1" x14ac:dyDescent="0.3">
      <c r="A1782" s="16" t="s">
        <v>129</v>
      </c>
      <c r="B1782" s="16" t="s">
        <v>16</v>
      </c>
      <c r="C1782" s="15">
        <v>6</v>
      </c>
      <c r="D1782" s="17">
        <v>0</v>
      </c>
      <c r="E1782" s="17">
        <v>30000</v>
      </c>
      <c r="F1782" s="17">
        <v>30000</v>
      </c>
      <c r="G1782" s="18">
        <v>0</v>
      </c>
      <c r="H1782" s="10" t="str">
        <f t="shared" si="27"/>
        <v>COSTOS</v>
      </c>
      <c r="I1782" s="19">
        <v>2025</v>
      </c>
    </row>
    <row r="1783" spans="1:9" hidden="1" x14ac:dyDescent="0.3">
      <c r="A1783" s="16" t="s">
        <v>129</v>
      </c>
      <c r="B1783" s="16" t="s">
        <v>16</v>
      </c>
      <c r="C1783" s="15">
        <v>10</v>
      </c>
      <c r="D1783" s="17">
        <v>0</v>
      </c>
      <c r="E1783" s="17">
        <v>10000</v>
      </c>
      <c r="F1783" s="17">
        <v>10000</v>
      </c>
      <c r="G1783" s="18">
        <v>0</v>
      </c>
      <c r="H1783" s="10" t="str">
        <f t="shared" si="27"/>
        <v>COSTOS</v>
      </c>
      <c r="I1783" s="19">
        <v>2025</v>
      </c>
    </row>
    <row r="1784" spans="1:9" hidden="1" x14ac:dyDescent="0.3">
      <c r="A1784" s="16" t="s">
        <v>129</v>
      </c>
      <c r="B1784" s="16" t="s">
        <v>22</v>
      </c>
      <c r="C1784" s="15">
        <v>1</v>
      </c>
      <c r="D1784" s="17">
        <v>2200000</v>
      </c>
      <c r="E1784" s="17">
        <v>1478891</v>
      </c>
      <c r="F1784" s="17">
        <v>-721109</v>
      </c>
      <c r="G1784" s="18">
        <v>0.67222318181818186</v>
      </c>
      <c r="H1784" s="10" t="str">
        <f t="shared" si="27"/>
        <v>COSTOS</v>
      </c>
      <c r="I1784" s="19">
        <v>2025</v>
      </c>
    </row>
    <row r="1785" spans="1:9" hidden="1" x14ac:dyDescent="0.3">
      <c r="A1785" s="16" t="s">
        <v>129</v>
      </c>
      <c r="B1785" s="16" t="s">
        <v>22</v>
      </c>
      <c r="C1785" s="15">
        <v>2</v>
      </c>
      <c r="D1785" s="17">
        <v>2200000</v>
      </c>
      <c r="E1785" s="17">
        <v>2578804</v>
      </c>
      <c r="F1785" s="17">
        <v>378804</v>
      </c>
      <c r="G1785" s="18">
        <v>1.1721836363636364</v>
      </c>
      <c r="H1785" s="10" t="str">
        <f t="shared" si="27"/>
        <v>COSTOS</v>
      </c>
      <c r="I1785" s="19">
        <v>2025</v>
      </c>
    </row>
    <row r="1786" spans="1:9" hidden="1" x14ac:dyDescent="0.3">
      <c r="A1786" s="16" t="s">
        <v>129</v>
      </c>
      <c r="B1786" s="16" t="s">
        <v>22</v>
      </c>
      <c r="C1786" s="15">
        <v>3</v>
      </c>
      <c r="D1786" s="17">
        <v>2200000</v>
      </c>
      <c r="E1786" s="17">
        <v>2091950</v>
      </c>
      <c r="F1786" s="17">
        <v>-108050</v>
      </c>
      <c r="G1786" s="18">
        <v>0.9508863636363637</v>
      </c>
      <c r="H1786" s="10" t="str">
        <f t="shared" si="27"/>
        <v>COSTOS</v>
      </c>
      <c r="I1786" s="19">
        <v>2025</v>
      </c>
    </row>
    <row r="1787" spans="1:9" hidden="1" x14ac:dyDescent="0.3">
      <c r="A1787" s="16" t="s">
        <v>129</v>
      </c>
      <c r="B1787" s="16" t="s">
        <v>22</v>
      </c>
      <c r="C1787" s="15">
        <v>4</v>
      </c>
      <c r="D1787" s="17">
        <v>2200000</v>
      </c>
      <c r="E1787" s="17">
        <v>1091864</v>
      </c>
      <c r="F1787" s="17">
        <v>-1108136</v>
      </c>
      <c r="G1787" s="18">
        <v>0.49630181818181818</v>
      </c>
      <c r="H1787" s="10" t="str">
        <f t="shared" si="27"/>
        <v>COSTOS</v>
      </c>
      <c r="I1787" s="19">
        <v>2025</v>
      </c>
    </row>
    <row r="1788" spans="1:9" hidden="1" x14ac:dyDescent="0.3">
      <c r="A1788" s="16" t="s">
        <v>129</v>
      </c>
      <c r="B1788" s="16" t="s">
        <v>22</v>
      </c>
      <c r="C1788" s="15">
        <v>5</v>
      </c>
      <c r="D1788" s="17">
        <v>2200000</v>
      </c>
      <c r="E1788" s="17">
        <v>7260847</v>
      </c>
      <c r="F1788" s="17">
        <v>5060847</v>
      </c>
      <c r="G1788" s="18">
        <v>3.3003849999999999</v>
      </c>
      <c r="H1788" s="10" t="str">
        <f t="shared" si="27"/>
        <v>COSTOS</v>
      </c>
      <c r="I1788" s="19">
        <v>2025</v>
      </c>
    </row>
    <row r="1789" spans="1:9" hidden="1" x14ac:dyDescent="0.3">
      <c r="A1789" s="16" t="s">
        <v>129</v>
      </c>
      <c r="B1789" s="16" t="s">
        <v>22</v>
      </c>
      <c r="C1789" s="15">
        <v>6</v>
      </c>
      <c r="D1789" s="17">
        <v>2200000</v>
      </c>
      <c r="E1789" s="17">
        <v>1188838</v>
      </c>
      <c r="F1789" s="17">
        <v>-1011162</v>
      </c>
      <c r="G1789" s="18">
        <v>0.54038090909090908</v>
      </c>
      <c r="H1789" s="10" t="str">
        <f t="shared" si="27"/>
        <v>COSTOS</v>
      </c>
      <c r="I1789" s="19">
        <v>2025</v>
      </c>
    </row>
    <row r="1790" spans="1:9" hidden="1" x14ac:dyDescent="0.3">
      <c r="A1790" s="16" t="s">
        <v>129</v>
      </c>
      <c r="B1790" s="16" t="s">
        <v>22</v>
      </c>
      <c r="C1790" s="15">
        <v>7</v>
      </c>
      <c r="D1790" s="17">
        <v>2200000</v>
      </c>
      <c r="E1790" s="17">
        <v>2857567</v>
      </c>
      <c r="F1790" s="17">
        <v>657567</v>
      </c>
      <c r="G1790" s="18">
        <v>1.2988940909090909</v>
      </c>
      <c r="H1790" s="10" t="str">
        <f t="shared" si="27"/>
        <v>COSTOS</v>
      </c>
      <c r="I1790" s="19">
        <v>2025</v>
      </c>
    </row>
    <row r="1791" spans="1:9" hidden="1" x14ac:dyDescent="0.3">
      <c r="A1791" s="16" t="s">
        <v>129</v>
      </c>
      <c r="B1791" s="16" t="s">
        <v>22</v>
      </c>
      <c r="C1791" s="15">
        <v>8</v>
      </c>
      <c r="D1791" s="17">
        <v>2200000</v>
      </c>
      <c r="E1791" s="17">
        <v>1516094</v>
      </c>
      <c r="F1791" s="17">
        <v>-683906</v>
      </c>
      <c r="G1791" s="18">
        <v>0.68913363636363634</v>
      </c>
      <c r="H1791" s="10" t="str">
        <f t="shared" si="27"/>
        <v>COSTOS</v>
      </c>
      <c r="I1791" s="19">
        <v>2025</v>
      </c>
    </row>
    <row r="1792" spans="1:9" hidden="1" x14ac:dyDescent="0.3">
      <c r="A1792" s="16" t="s">
        <v>129</v>
      </c>
      <c r="B1792" s="16" t="s">
        <v>22</v>
      </c>
      <c r="C1792" s="15">
        <v>9</v>
      </c>
      <c r="D1792" s="17">
        <v>2200000</v>
      </c>
      <c r="E1792" s="17">
        <v>3465287</v>
      </c>
      <c r="F1792" s="17">
        <v>1265287</v>
      </c>
      <c r="G1792" s="18">
        <v>1.5751304545454545</v>
      </c>
      <c r="H1792" s="10" t="str">
        <f t="shared" si="27"/>
        <v>COSTOS</v>
      </c>
      <c r="I1792" s="19">
        <v>2025</v>
      </c>
    </row>
    <row r="1793" spans="1:9" hidden="1" x14ac:dyDescent="0.3">
      <c r="A1793" s="16" t="s">
        <v>129</v>
      </c>
      <c r="B1793" s="16" t="s">
        <v>22</v>
      </c>
      <c r="C1793" s="15">
        <v>10</v>
      </c>
      <c r="D1793" s="17">
        <v>2200000</v>
      </c>
      <c r="E1793" s="17">
        <v>5608552</v>
      </c>
      <c r="F1793" s="17">
        <v>3408552</v>
      </c>
      <c r="G1793" s="18">
        <v>2.5493418181818184</v>
      </c>
      <c r="H1793" s="10" t="str">
        <f t="shared" si="27"/>
        <v>COSTOS</v>
      </c>
      <c r="I1793" s="19">
        <v>2025</v>
      </c>
    </row>
    <row r="1794" spans="1:9" hidden="1" x14ac:dyDescent="0.3">
      <c r="A1794" s="16" t="s">
        <v>129</v>
      </c>
      <c r="B1794" s="16" t="s">
        <v>130</v>
      </c>
      <c r="C1794" s="15">
        <v>3</v>
      </c>
      <c r="D1794" s="17">
        <v>0</v>
      </c>
      <c r="E1794" s="17">
        <v>134874</v>
      </c>
      <c r="F1794" s="17">
        <v>134874</v>
      </c>
      <c r="G1794" s="18">
        <v>0</v>
      </c>
      <c r="H1794" s="10" t="str">
        <f t="shared" si="27"/>
        <v>COSTOS</v>
      </c>
      <c r="I1794" s="19">
        <v>2025</v>
      </c>
    </row>
    <row r="1795" spans="1:9" hidden="1" x14ac:dyDescent="0.3">
      <c r="A1795" s="16" t="s">
        <v>129</v>
      </c>
      <c r="B1795" s="16" t="s">
        <v>130</v>
      </c>
      <c r="C1795" s="15">
        <v>4</v>
      </c>
      <c r="D1795" s="17">
        <v>1600000</v>
      </c>
      <c r="E1795" s="17">
        <v>0</v>
      </c>
      <c r="F1795" s="17">
        <v>-1600000</v>
      </c>
      <c r="G1795" s="18">
        <v>0</v>
      </c>
      <c r="H1795" s="10" t="str">
        <f t="shared" ref="H1795:H1858" si="28">+IF(OR(A1795="ADMINISTRACION",A1795="COMERCIAL",A1795="COMERCIAL-EXPORTACIONES",A1795="LEASING DE LA BODEGA",A1795="LOGISTICA-SALIDA",A1795="OTROS GASTOS",A1795="BODEGA ALQUILADA", A1795="BODEGA CARTOPLAST", A1795="BODEGA CARTOPLAS", A1795= "GESTION HUMANA-OTROS GASTOS"),"GASTOS","COSTOS")</f>
        <v>COSTOS</v>
      </c>
      <c r="I1795" s="19">
        <v>2025</v>
      </c>
    </row>
    <row r="1796" spans="1:9" hidden="1" x14ac:dyDescent="0.3">
      <c r="A1796" s="16" t="s">
        <v>129</v>
      </c>
      <c r="B1796" s="16" t="s">
        <v>16</v>
      </c>
      <c r="C1796" s="15">
        <v>11</v>
      </c>
      <c r="D1796" s="17">
        <v>0</v>
      </c>
      <c r="E1796" s="17">
        <v>10000</v>
      </c>
      <c r="F1796" s="17">
        <v>10000</v>
      </c>
      <c r="G1796" s="18">
        <v>0</v>
      </c>
      <c r="H1796" s="10" t="str">
        <f t="shared" si="28"/>
        <v>COSTOS</v>
      </c>
      <c r="I1796" s="19">
        <v>2025</v>
      </c>
    </row>
    <row r="1797" spans="1:9" hidden="1" x14ac:dyDescent="0.3">
      <c r="A1797" s="16" t="s">
        <v>129</v>
      </c>
      <c r="B1797" s="16" t="s">
        <v>22</v>
      </c>
      <c r="C1797" s="15">
        <v>11</v>
      </c>
      <c r="D1797" s="17">
        <v>2200000</v>
      </c>
      <c r="E1797" s="17">
        <v>1801536</v>
      </c>
      <c r="F1797" s="17">
        <v>-398464</v>
      </c>
      <c r="G1797" s="18">
        <v>0.81888000000000005</v>
      </c>
      <c r="H1797" s="10" t="str">
        <f t="shared" si="28"/>
        <v>COSTOS</v>
      </c>
      <c r="I1797" s="19">
        <v>2025</v>
      </c>
    </row>
    <row r="1798" spans="1:9" hidden="1" x14ac:dyDescent="0.3">
      <c r="A1798" s="16" t="s">
        <v>129</v>
      </c>
      <c r="B1798" s="16" t="s">
        <v>16</v>
      </c>
      <c r="C1798" s="15">
        <v>12</v>
      </c>
      <c r="D1798" s="17">
        <v>0</v>
      </c>
      <c r="E1798" s="17">
        <v>10000</v>
      </c>
      <c r="F1798" s="17">
        <v>10000</v>
      </c>
      <c r="G1798" s="18">
        <v>0</v>
      </c>
      <c r="H1798" s="10" t="str">
        <f t="shared" si="28"/>
        <v>COSTOS</v>
      </c>
      <c r="I1798" s="19">
        <v>2025</v>
      </c>
    </row>
    <row r="1799" spans="1:9" hidden="1" x14ac:dyDescent="0.3">
      <c r="A1799" s="16" t="s">
        <v>129</v>
      </c>
      <c r="B1799" s="16" t="s">
        <v>22</v>
      </c>
      <c r="C1799" s="15">
        <v>12</v>
      </c>
      <c r="D1799" s="17">
        <v>2200000</v>
      </c>
      <c r="E1799" s="17">
        <v>2879742</v>
      </c>
      <c r="F1799" s="17">
        <v>679742</v>
      </c>
      <c r="G1799" s="18">
        <v>1.3089736363636364</v>
      </c>
      <c r="H1799" s="10" t="str">
        <f t="shared" si="28"/>
        <v>COSTOS</v>
      </c>
      <c r="I1799" s="19">
        <v>2025</v>
      </c>
    </row>
    <row r="1800" spans="1:9" hidden="1" x14ac:dyDescent="0.3">
      <c r="A1800" s="16" t="s">
        <v>131</v>
      </c>
      <c r="B1800" s="16" t="s">
        <v>52</v>
      </c>
      <c r="C1800" s="15">
        <v>2</v>
      </c>
      <c r="D1800" s="17">
        <v>1021000</v>
      </c>
      <c r="E1800" s="17">
        <v>1020000</v>
      </c>
      <c r="F1800" s="17">
        <v>-1000</v>
      </c>
      <c r="G1800" s="18">
        <v>0.99902056807051909</v>
      </c>
      <c r="H1800" s="10" t="str">
        <f t="shared" si="28"/>
        <v>COSTOS</v>
      </c>
      <c r="I1800" s="19">
        <v>2025</v>
      </c>
    </row>
    <row r="1801" spans="1:9" hidden="1" x14ac:dyDescent="0.3">
      <c r="A1801" s="16" t="s">
        <v>131</v>
      </c>
      <c r="B1801" s="16" t="s">
        <v>52</v>
      </c>
      <c r="C1801" s="15">
        <v>3</v>
      </c>
      <c r="D1801" s="17">
        <v>4097000</v>
      </c>
      <c r="E1801" s="17">
        <v>1150000</v>
      </c>
      <c r="F1801" s="17">
        <v>-2947000</v>
      </c>
      <c r="G1801" s="18">
        <v>0.28069319013912619</v>
      </c>
      <c r="H1801" s="10" t="str">
        <f t="shared" si="28"/>
        <v>COSTOS</v>
      </c>
      <c r="I1801" s="19">
        <v>2025</v>
      </c>
    </row>
    <row r="1802" spans="1:9" hidden="1" x14ac:dyDescent="0.3">
      <c r="A1802" s="16" t="s">
        <v>131</v>
      </c>
      <c r="B1802" s="16" t="s">
        <v>52</v>
      </c>
      <c r="C1802" s="15">
        <v>4</v>
      </c>
      <c r="D1802" s="17">
        <v>650000</v>
      </c>
      <c r="E1802" s="17">
        <v>685000</v>
      </c>
      <c r="F1802" s="17">
        <v>35000</v>
      </c>
      <c r="G1802" s="18">
        <v>1.0538461538461539</v>
      </c>
      <c r="H1802" s="10" t="str">
        <f t="shared" si="28"/>
        <v>COSTOS</v>
      </c>
      <c r="I1802" s="19">
        <v>2025</v>
      </c>
    </row>
    <row r="1803" spans="1:9" hidden="1" x14ac:dyDescent="0.3">
      <c r="A1803" s="16" t="s">
        <v>131</v>
      </c>
      <c r="B1803" s="16" t="s">
        <v>52</v>
      </c>
      <c r="C1803" s="15">
        <v>5</v>
      </c>
      <c r="D1803" s="17">
        <v>3340000</v>
      </c>
      <c r="E1803" s="17">
        <v>0</v>
      </c>
      <c r="F1803" s="17">
        <v>-3340000</v>
      </c>
      <c r="G1803" s="18">
        <v>0</v>
      </c>
      <c r="H1803" s="10" t="str">
        <f t="shared" si="28"/>
        <v>COSTOS</v>
      </c>
      <c r="I1803" s="19">
        <v>2025</v>
      </c>
    </row>
    <row r="1804" spans="1:9" hidden="1" x14ac:dyDescent="0.3">
      <c r="A1804" s="16" t="s">
        <v>131</v>
      </c>
      <c r="B1804" s="16" t="s">
        <v>52</v>
      </c>
      <c r="C1804" s="15">
        <v>7</v>
      </c>
      <c r="D1804" s="17">
        <v>0</v>
      </c>
      <c r="E1804" s="17">
        <v>10500658</v>
      </c>
      <c r="F1804" s="17">
        <v>10500658</v>
      </c>
      <c r="G1804" s="18">
        <v>0</v>
      </c>
      <c r="H1804" s="10" t="str">
        <f t="shared" si="28"/>
        <v>COSTOS</v>
      </c>
      <c r="I1804" s="19">
        <v>2025</v>
      </c>
    </row>
    <row r="1805" spans="1:9" hidden="1" x14ac:dyDescent="0.3">
      <c r="A1805" s="16" t="s">
        <v>131</v>
      </c>
      <c r="B1805" s="16" t="s">
        <v>52</v>
      </c>
      <c r="C1805" s="15">
        <v>9</v>
      </c>
      <c r="D1805" s="17">
        <v>4097000</v>
      </c>
      <c r="E1805" s="17">
        <v>0</v>
      </c>
      <c r="F1805" s="17">
        <v>-4097000</v>
      </c>
      <c r="G1805" s="18">
        <v>0</v>
      </c>
      <c r="H1805" s="10" t="str">
        <f t="shared" si="28"/>
        <v>COSTOS</v>
      </c>
      <c r="I1805" s="19">
        <v>2025</v>
      </c>
    </row>
    <row r="1806" spans="1:9" hidden="1" x14ac:dyDescent="0.3">
      <c r="A1806" s="16" t="s">
        <v>131</v>
      </c>
      <c r="B1806" s="16" t="s">
        <v>52</v>
      </c>
      <c r="C1806" s="15">
        <v>10</v>
      </c>
      <c r="D1806" s="17">
        <v>0</v>
      </c>
      <c r="E1806" s="17">
        <v>793000</v>
      </c>
      <c r="F1806" s="17">
        <v>793000</v>
      </c>
      <c r="G1806" s="18">
        <v>0</v>
      </c>
      <c r="H1806" s="10" t="str">
        <f t="shared" si="28"/>
        <v>COSTOS</v>
      </c>
      <c r="I1806" s="19">
        <v>2025</v>
      </c>
    </row>
    <row r="1807" spans="1:9" hidden="1" x14ac:dyDescent="0.3">
      <c r="A1807" s="16" t="s">
        <v>131</v>
      </c>
      <c r="B1807" s="16" t="s">
        <v>52</v>
      </c>
      <c r="C1807" s="15">
        <v>11</v>
      </c>
      <c r="D1807" s="17">
        <v>0</v>
      </c>
      <c r="E1807" s="17">
        <v>1245000</v>
      </c>
      <c r="F1807" s="17">
        <v>1245000</v>
      </c>
      <c r="G1807" s="18">
        <v>0</v>
      </c>
      <c r="H1807" s="10" t="str">
        <f t="shared" si="28"/>
        <v>COSTOS</v>
      </c>
      <c r="I1807" s="19">
        <v>2025</v>
      </c>
    </row>
    <row r="1808" spans="1:9" hidden="1" x14ac:dyDescent="0.3">
      <c r="A1808" s="16" t="s">
        <v>132</v>
      </c>
      <c r="B1808" s="16" t="s">
        <v>16</v>
      </c>
      <c r="C1808" s="15">
        <v>1</v>
      </c>
      <c r="D1808" s="17">
        <v>0</v>
      </c>
      <c r="E1808" s="17">
        <v>46044</v>
      </c>
      <c r="F1808" s="17">
        <v>46044</v>
      </c>
      <c r="G1808" s="18">
        <v>0</v>
      </c>
      <c r="H1808" s="10" t="str">
        <f t="shared" si="28"/>
        <v>COSTOS</v>
      </c>
      <c r="I1808" s="19">
        <v>2025</v>
      </c>
    </row>
    <row r="1809" spans="1:9" hidden="1" x14ac:dyDescent="0.3">
      <c r="A1809" s="16" t="s">
        <v>132</v>
      </c>
      <c r="B1809" s="16" t="s">
        <v>16</v>
      </c>
      <c r="C1809" s="15">
        <v>6</v>
      </c>
      <c r="D1809" s="17">
        <v>0</v>
      </c>
      <c r="E1809" s="17">
        <v>15000</v>
      </c>
      <c r="F1809" s="17">
        <v>15000</v>
      </c>
      <c r="G1809" s="18">
        <v>0</v>
      </c>
      <c r="H1809" s="10" t="str">
        <f t="shared" si="28"/>
        <v>COSTOS</v>
      </c>
      <c r="I1809" s="19">
        <v>2025</v>
      </c>
    </row>
    <row r="1810" spans="1:9" hidden="1" x14ac:dyDescent="0.3">
      <c r="A1810" s="16" t="s">
        <v>132</v>
      </c>
      <c r="B1810" s="16" t="s">
        <v>54</v>
      </c>
      <c r="C1810" s="15">
        <v>1</v>
      </c>
      <c r="D1810" s="17">
        <v>2416259</v>
      </c>
      <c r="E1810" s="17">
        <v>42017</v>
      </c>
      <c r="F1810" s="17">
        <v>-2374242</v>
      </c>
      <c r="G1810" s="18">
        <v>1.7389278218932658E-2</v>
      </c>
      <c r="H1810" s="10" t="str">
        <f t="shared" si="28"/>
        <v>COSTOS</v>
      </c>
      <c r="I1810" s="19">
        <v>2025</v>
      </c>
    </row>
    <row r="1811" spans="1:9" hidden="1" x14ac:dyDescent="0.3">
      <c r="A1811" s="16" t="s">
        <v>132</v>
      </c>
      <c r="B1811" s="16" t="s">
        <v>54</v>
      </c>
      <c r="C1811" s="15">
        <v>2</v>
      </c>
      <c r="D1811" s="17">
        <v>2089794</v>
      </c>
      <c r="E1811" s="17">
        <v>0</v>
      </c>
      <c r="F1811" s="17">
        <v>-2089794</v>
      </c>
      <c r="G1811" s="18">
        <v>0</v>
      </c>
      <c r="H1811" s="10" t="str">
        <f t="shared" si="28"/>
        <v>COSTOS</v>
      </c>
      <c r="I1811" s="19">
        <v>2025</v>
      </c>
    </row>
    <row r="1812" spans="1:9" hidden="1" x14ac:dyDescent="0.3">
      <c r="A1812" s="16" t="s">
        <v>132</v>
      </c>
      <c r="B1812" s="16" t="s">
        <v>54</v>
      </c>
      <c r="C1812" s="15">
        <v>6</v>
      </c>
      <c r="D1812" s="17">
        <v>0</v>
      </c>
      <c r="E1812" s="17">
        <v>794349</v>
      </c>
      <c r="F1812" s="17">
        <v>794349</v>
      </c>
      <c r="G1812" s="18">
        <v>0</v>
      </c>
      <c r="H1812" s="10" t="str">
        <f t="shared" si="28"/>
        <v>COSTOS</v>
      </c>
      <c r="I1812" s="19">
        <v>2025</v>
      </c>
    </row>
    <row r="1813" spans="1:9" hidden="1" x14ac:dyDescent="0.3">
      <c r="A1813" s="16" t="s">
        <v>132</v>
      </c>
      <c r="B1813" s="16" t="s">
        <v>54</v>
      </c>
      <c r="C1813" s="15">
        <v>8</v>
      </c>
      <c r="D1813" s="17">
        <v>0</v>
      </c>
      <c r="E1813" s="17">
        <v>63356</v>
      </c>
      <c r="F1813" s="17">
        <v>63356</v>
      </c>
      <c r="G1813" s="18">
        <v>0</v>
      </c>
      <c r="H1813" s="10" t="str">
        <f t="shared" si="28"/>
        <v>COSTOS</v>
      </c>
      <c r="I1813" s="19">
        <v>2025</v>
      </c>
    </row>
    <row r="1814" spans="1:9" hidden="1" x14ac:dyDescent="0.3">
      <c r="A1814" s="16" t="s">
        <v>132</v>
      </c>
      <c r="B1814" s="16" t="s">
        <v>38</v>
      </c>
      <c r="C1814" s="15">
        <v>3</v>
      </c>
      <c r="D1814" s="17">
        <v>500000</v>
      </c>
      <c r="E1814" s="17">
        <v>25888</v>
      </c>
      <c r="F1814" s="17">
        <v>-474112</v>
      </c>
      <c r="G1814" s="18">
        <v>5.1776000000000003E-2</v>
      </c>
      <c r="H1814" s="10" t="str">
        <f t="shared" si="28"/>
        <v>COSTOS</v>
      </c>
      <c r="I1814" s="19">
        <v>2025</v>
      </c>
    </row>
    <row r="1815" spans="1:9" hidden="1" x14ac:dyDescent="0.3">
      <c r="A1815" s="16" t="s">
        <v>132</v>
      </c>
      <c r="B1815" s="16" t="s">
        <v>38</v>
      </c>
      <c r="C1815" s="15">
        <v>4</v>
      </c>
      <c r="D1815" s="17">
        <v>500000</v>
      </c>
      <c r="E1815" s="17">
        <v>0</v>
      </c>
      <c r="F1815" s="17">
        <v>-500000</v>
      </c>
      <c r="G1815" s="18">
        <v>0</v>
      </c>
      <c r="H1815" s="10" t="str">
        <f t="shared" si="28"/>
        <v>COSTOS</v>
      </c>
      <c r="I1815" s="19">
        <v>2025</v>
      </c>
    </row>
    <row r="1816" spans="1:9" hidden="1" x14ac:dyDescent="0.3">
      <c r="A1816" s="16" t="s">
        <v>132</v>
      </c>
      <c r="B1816" s="16" t="s">
        <v>38</v>
      </c>
      <c r="C1816" s="15">
        <v>5</v>
      </c>
      <c r="D1816" s="17">
        <v>0</v>
      </c>
      <c r="E1816" s="17">
        <v>37500</v>
      </c>
      <c r="F1816" s="17">
        <v>37500</v>
      </c>
      <c r="G1816" s="18">
        <v>0</v>
      </c>
      <c r="H1816" s="10" t="str">
        <f t="shared" si="28"/>
        <v>COSTOS</v>
      </c>
      <c r="I1816" s="19">
        <v>2025</v>
      </c>
    </row>
    <row r="1817" spans="1:9" hidden="1" x14ac:dyDescent="0.3">
      <c r="A1817" s="16" t="s">
        <v>132</v>
      </c>
      <c r="B1817" s="16" t="s">
        <v>38</v>
      </c>
      <c r="C1817" s="15">
        <v>6</v>
      </c>
      <c r="D1817" s="17">
        <v>0</v>
      </c>
      <c r="E1817" s="17">
        <v>49000</v>
      </c>
      <c r="F1817" s="17">
        <v>49000</v>
      </c>
      <c r="G1817" s="18">
        <v>0</v>
      </c>
      <c r="H1817" s="10" t="str">
        <f t="shared" si="28"/>
        <v>COSTOS</v>
      </c>
      <c r="I1817" s="19">
        <v>2025</v>
      </c>
    </row>
    <row r="1818" spans="1:9" hidden="1" x14ac:dyDescent="0.3">
      <c r="A1818" s="16" t="s">
        <v>132</v>
      </c>
      <c r="B1818" s="16" t="s">
        <v>38</v>
      </c>
      <c r="C1818" s="15">
        <v>8</v>
      </c>
      <c r="D1818" s="17">
        <v>500000</v>
      </c>
      <c r="E1818" s="17">
        <v>0</v>
      </c>
      <c r="F1818" s="17">
        <v>-500000</v>
      </c>
      <c r="G1818" s="18">
        <v>0</v>
      </c>
      <c r="H1818" s="10" t="str">
        <f t="shared" si="28"/>
        <v>COSTOS</v>
      </c>
      <c r="I1818" s="19">
        <v>2025</v>
      </c>
    </row>
    <row r="1819" spans="1:9" hidden="1" x14ac:dyDescent="0.3">
      <c r="A1819" s="16" t="s">
        <v>132</v>
      </c>
      <c r="B1819" s="16" t="s">
        <v>38</v>
      </c>
      <c r="C1819" s="15">
        <v>9</v>
      </c>
      <c r="D1819" s="17">
        <v>500000</v>
      </c>
      <c r="E1819" s="17">
        <v>12000</v>
      </c>
      <c r="F1819" s="17">
        <v>-488000</v>
      </c>
      <c r="G1819" s="18">
        <v>2.4E-2</v>
      </c>
      <c r="H1819" s="10" t="str">
        <f t="shared" si="28"/>
        <v>COSTOS</v>
      </c>
      <c r="I1819" s="19">
        <v>2025</v>
      </c>
    </row>
    <row r="1820" spans="1:9" hidden="1" x14ac:dyDescent="0.3">
      <c r="A1820" s="16" t="s">
        <v>132</v>
      </c>
      <c r="B1820" s="16" t="s">
        <v>38</v>
      </c>
      <c r="C1820" s="15">
        <v>10</v>
      </c>
      <c r="D1820" s="17">
        <v>0</v>
      </c>
      <c r="E1820" s="17">
        <v>74016</v>
      </c>
      <c r="F1820" s="17">
        <v>74016</v>
      </c>
      <c r="G1820" s="18">
        <v>0</v>
      </c>
      <c r="H1820" s="10" t="str">
        <f t="shared" si="28"/>
        <v>COSTOS</v>
      </c>
      <c r="I1820" s="19">
        <v>2025</v>
      </c>
    </row>
    <row r="1821" spans="1:9" hidden="1" x14ac:dyDescent="0.3">
      <c r="A1821" s="16" t="s">
        <v>132</v>
      </c>
      <c r="B1821" s="16" t="s">
        <v>39</v>
      </c>
      <c r="C1821" s="15">
        <v>2</v>
      </c>
      <c r="D1821" s="17">
        <v>5158480</v>
      </c>
      <c r="E1821" s="17">
        <v>5158480</v>
      </c>
      <c r="F1821" s="17">
        <v>0</v>
      </c>
      <c r="G1821" s="18">
        <v>1</v>
      </c>
      <c r="H1821" s="10" t="str">
        <f t="shared" si="28"/>
        <v>COSTOS</v>
      </c>
      <c r="I1821" s="19">
        <v>2025</v>
      </c>
    </row>
    <row r="1822" spans="1:9" hidden="1" x14ac:dyDescent="0.3">
      <c r="A1822" s="16" t="s">
        <v>132</v>
      </c>
      <c r="B1822" s="16" t="s">
        <v>39</v>
      </c>
      <c r="C1822" s="15">
        <v>3</v>
      </c>
      <c r="D1822" s="17">
        <v>1236462</v>
      </c>
      <c r="E1822" s="17">
        <v>1494395</v>
      </c>
      <c r="F1822" s="17">
        <v>257933</v>
      </c>
      <c r="G1822" s="18">
        <v>1.2086056829890446</v>
      </c>
      <c r="H1822" s="10" t="str">
        <f t="shared" si="28"/>
        <v>COSTOS</v>
      </c>
      <c r="I1822" s="19">
        <v>2025</v>
      </c>
    </row>
    <row r="1823" spans="1:9" hidden="1" x14ac:dyDescent="0.3">
      <c r="A1823" s="16" t="s">
        <v>132</v>
      </c>
      <c r="B1823" s="16" t="s">
        <v>39</v>
      </c>
      <c r="C1823" s="15">
        <v>4</v>
      </c>
      <c r="D1823" s="17">
        <v>1875350.8888900001</v>
      </c>
      <c r="E1823" s="17">
        <v>1494395</v>
      </c>
      <c r="F1823" s="17">
        <v>-380955.88889</v>
      </c>
      <c r="G1823" s="18">
        <v>0.79686154140706777</v>
      </c>
      <c r="H1823" s="10" t="str">
        <f t="shared" si="28"/>
        <v>COSTOS</v>
      </c>
      <c r="I1823" s="19">
        <v>2025</v>
      </c>
    </row>
    <row r="1824" spans="1:9" hidden="1" x14ac:dyDescent="0.3">
      <c r="A1824" s="16" t="s">
        <v>132</v>
      </c>
      <c r="B1824" s="16" t="s">
        <v>39</v>
      </c>
      <c r="C1824" s="15">
        <v>5</v>
      </c>
      <c r="D1824" s="17">
        <v>1875350.8888900001</v>
      </c>
      <c r="E1824" s="17">
        <v>1494395</v>
      </c>
      <c r="F1824" s="17">
        <v>-380955.88889</v>
      </c>
      <c r="G1824" s="18">
        <v>0.79686154140706777</v>
      </c>
      <c r="H1824" s="10" t="str">
        <f t="shared" si="28"/>
        <v>COSTOS</v>
      </c>
      <c r="I1824" s="19">
        <v>2025</v>
      </c>
    </row>
    <row r="1825" spans="1:9" hidden="1" x14ac:dyDescent="0.3">
      <c r="A1825" s="16" t="s">
        <v>132</v>
      </c>
      <c r="B1825" s="16" t="s">
        <v>39</v>
      </c>
      <c r="C1825" s="15">
        <v>6</v>
      </c>
      <c r="D1825" s="17">
        <v>1875350.8888900001</v>
      </c>
      <c r="E1825" s="17">
        <v>1494395</v>
      </c>
      <c r="F1825" s="17">
        <v>-380955.88889</v>
      </c>
      <c r="G1825" s="18">
        <v>0.79686154140706777</v>
      </c>
      <c r="H1825" s="10" t="str">
        <f t="shared" si="28"/>
        <v>COSTOS</v>
      </c>
      <c r="I1825" s="19">
        <v>2025</v>
      </c>
    </row>
    <row r="1826" spans="1:9" hidden="1" x14ac:dyDescent="0.3">
      <c r="A1826" s="16" t="s">
        <v>132</v>
      </c>
      <c r="B1826" s="16" t="s">
        <v>39</v>
      </c>
      <c r="C1826" s="15">
        <v>7</v>
      </c>
      <c r="D1826" s="17">
        <v>1875350.8888900001</v>
      </c>
      <c r="E1826" s="17">
        <v>1494395</v>
      </c>
      <c r="F1826" s="17">
        <v>-380955.88889</v>
      </c>
      <c r="G1826" s="18">
        <v>0.79686154140706777</v>
      </c>
      <c r="H1826" s="10" t="str">
        <f t="shared" si="28"/>
        <v>COSTOS</v>
      </c>
      <c r="I1826" s="19">
        <v>2025</v>
      </c>
    </row>
    <row r="1827" spans="1:9" hidden="1" x14ac:dyDescent="0.3">
      <c r="A1827" s="16" t="s">
        <v>132</v>
      </c>
      <c r="B1827" s="16" t="s">
        <v>39</v>
      </c>
      <c r="C1827" s="15">
        <v>8</v>
      </c>
      <c r="D1827" s="17">
        <v>1875350.8888900001</v>
      </c>
      <c r="E1827" s="17">
        <v>1494395</v>
      </c>
      <c r="F1827" s="17">
        <v>-380955.88889</v>
      </c>
      <c r="G1827" s="18">
        <v>0.79686154140706777</v>
      </c>
      <c r="H1827" s="10" t="str">
        <f t="shared" si="28"/>
        <v>COSTOS</v>
      </c>
      <c r="I1827" s="19">
        <v>2025</v>
      </c>
    </row>
    <row r="1828" spans="1:9" hidden="1" x14ac:dyDescent="0.3">
      <c r="A1828" s="16" t="s">
        <v>132</v>
      </c>
      <c r="B1828" s="16" t="s">
        <v>39</v>
      </c>
      <c r="C1828" s="15">
        <v>9</v>
      </c>
      <c r="D1828" s="17">
        <v>1875350.8888900001</v>
      </c>
      <c r="E1828" s="17">
        <v>1494395</v>
      </c>
      <c r="F1828" s="17">
        <v>-380955.88889</v>
      </c>
      <c r="G1828" s="18">
        <v>0.79686154140706777</v>
      </c>
      <c r="H1828" s="10" t="str">
        <f t="shared" si="28"/>
        <v>COSTOS</v>
      </c>
      <c r="I1828" s="19">
        <v>2025</v>
      </c>
    </row>
    <row r="1829" spans="1:9" hidden="1" x14ac:dyDescent="0.3">
      <c r="A1829" s="16" t="s">
        <v>132</v>
      </c>
      <c r="B1829" s="16" t="s">
        <v>39</v>
      </c>
      <c r="C1829" s="15">
        <v>10</v>
      </c>
      <c r="D1829" s="17">
        <v>1875350.8888900001</v>
      </c>
      <c r="E1829" s="17">
        <v>1494395</v>
      </c>
      <c r="F1829" s="17">
        <v>-380955.88889</v>
      </c>
      <c r="G1829" s="18">
        <v>0.79686154140706777</v>
      </c>
      <c r="H1829" s="10" t="str">
        <f t="shared" si="28"/>
        <v>COSTOS</v>
      </c>
      <c r="I1829" s="19">
        <v>2025</v>
      </c>
    </row>
    <row r="1830" spans="1:9" hidden="1" x14ac:dyDescent="0.3">
      <c r="A1830" s="16" t="s">
        <v>132</v>
      </c>
      <c r="B1830" s="16" t="s">
        <v>58</v>
      </c>
      <c r="C1830" s="15">
        <v>1</v>
      </c>
      <c r="D1830" s="17">
        <v>0</v>
      </c>
      <c r="E1830" s="17">
        <v>2328198</v>
      </c>
      <c r="F1830" s="17">
        <v>2328198</v>
      </c>
      <c r="G1830" s="18">
        <v>0</v>
      </c>
      <c r="H1830" s="10" t="str">
        <f t="shared" si="28"/>
        <v>COSTOS</v>
      </c>
      <c r="I1830" s="19">
        <v>2025</v>
      </c>
    </row>
    <row r="1831" spans="1:9" hidden="1" x14ac:dyDescent="0.3">
      <c r="A1831" s="16" t="s">
        <v>132</v>
      </c>
      <c r="B1831" s="16" t="s">
        <v>69</v>
      </c>
      <c r="C1831" s="15">
        <v>2</v>
      </c>
      <c r="D1831" s="17">
        <v>0</v>
      </c>
      <c r="E1831" s="17">
        <v>2089794</v>
      </c>
      <c r="F1831" s="17">
        <v>2089794</v>
      </c>
      <c r="G1831" s="18">
        <v>0</v>
      </c>
      <c r="H1831" s="10" t="str">
        <f t="shared" si="28"/>
        <v>COSTOS</v>
      </c>
      <c r="I1831" s="19">
        <v>2025</v>
      </c>
    </row>
    <row r="1832" spans="1:9" hidden="1" x14ac:dyDescent="0.3">
      <c r="A1832" s="16" t="s">
        <v>132</v>
      </c>
      <c r="B1832" s="16" t="s">
        <v>39</v>
      </c>
      <c r="C1832" s="15">
        <v>11</v>
      </c>
      <c r="D1832" s="17">
        <v>1875350.8888900001</v>
      </c>
      <c r="E1832" s="17">
        <v>1494395</v>
      </c>
      <c r="F1832" s="17">
        <v>-380955.88889</v>
      </c>
      <c r="G1832" s="18">
        <v>0.79686154140706777</v>
      </c>
      <c r="H1832" s="10" t="str">
        <f t="shared" si="28"/>
        <v>COSTOS</v>
      </c>
      <c r="I1832" s="19">
        <v>2025</v>
      </c>
    </row>
    <row r="1833" spans="1:9" hidden="1" x14ac:dyDescent="0.3">
      <c r="A1833" s="16" t="s">
        <v>132</v>
      </c>
      <c r="B1833" s="16" t="s">
        <v>54</v>
      </c>
      <c r="C1833" s="15">
        <v>12</v>
      </c>
      <c r="D1833" s="17">
        <v>0</v>
      </c>
      <c r="E1833" s="17">
        <v>1920000</v>
      </c>
      <c r="F1833" s="17">
        <v>1920000</v>
      </c>
      <c r="G1833" s="18">
        <v>0</v>
      </c>
      <c r="H1833" s="10" t="str">
        <f t="shared" si="28"/>
        <v>COSTOS</v>
      </c>
      <c r="I1833" s="19">
        <v>2025</v>
      </c>
    </row>
    <row r="1834" spans="1:9" hidden="1" x14ac:dyDescent="0.3">
      <c r="A1834" s="16" t="s">
        <v>132</v>
      </c>
      <c r="B1834" s="16" t="s">
        <v>39</v>
      </c>
      <c r="C1834" s="15">
        <v>12</v>
      </c>
      <c r="D1834" s="17">
        <v>1875350.8888900001</v>
      </c>
      <c r="E1834" s="17">
        <v>1494395</v>
      </c>
      <c r="F1834" s="17">
        <v>-380955.88889</v>
      </c>
      <c r="G1834" s="18">
        <v>0.79686154140706777</v>
      </c>
      <c r="H1834" s="10" t="str">
        <f t="shared" si="28"/>
        <v>COSTOS</v>
      </c>
      <c r="I1834" s="19">
        <v>2025</v>
      </c>
    </row>
    <row r="1835" spans="1:9" hidden="1" x14ac:dyDescent="0.3">
      <c r="A1835" s="16" t="s">
        <v>133</v>
      </c>
      <c r="B1835" s="16" t="s">
        <v>54</v>
      </c>
      <c r="C1835" s="15">
        <v>1</v>
      </c>
      <c r="D1835" s="17">
        <v>0</v>
      </c>
      <c r="E1835" s="17">
        <v>2100000</v>
      </c>
      <c r="F1835" s="17">
        <v>2100000</v>
      </c>
      <c r="G1835" s="18">
        <v>0</v>
      </c>
      <c r="H1835" s="10" t="str">
        <f t="shared" si="28"/>
        <v>COSTOS</v>
      </c>
      <c r="I1835" s="19">
        <v>2025</v>
      </c>
    </row>
    <row r="1836" spans="1:9" hidden="1" x14ac:dyDescent="0.3">
      <c r="A1836" s="16" t="s">
        <v>133</v>
      </c>
      <c r="B1836" s="16" t="s">
        <v>38</v>
      </c>
      <c r="C1836" s="15">
        <v>5</v>
      </c>
      <c r="D1836" s="17">
        <v>1000000</v>
      </c>
      <c r="E1836" s="17">
        <v>0</v>
      </c>
      <c r="F1836" s="17">
        <v>-1000000</v>
      </c>
      <c r="G1836" s="18">
        <v>0</v>
      </c>
      <c r="H1836" s="10" t="str">
        <f t="shared" si="28"/>
        <v>COSTOS</v>
      </c>
      <c r="I1836" s="19">
        <v>2025</v>
      </c>
    </row>
    <row r="1837" spans="1:9" hidden="1" x14ac:dyDescent="0.3">
      <c r="A1837" s="16" t="s">
        <v>133</v>
      </c>
      <c r="B1837" s="16" t="s">
        <v>38</v>
      </c>
      <c r="C1837" s="15">
        <v>7</v>
      </c>
      <c r="D1837" s="17">
        <v>1000000</v>
      </c>
      <c r="E1837" s="17">
        <v>0</v>
      </c>
      <c r="F1837" s="17">
        <v>-1000000</v>
      </c>
      <c r="G1837" s="18">
        <v>0</v>
      </c>
      <c r="H1837" s="10" t="str">
        <f t="shared" si="28"/>
        <v>COSTOS</v>
      </c>
      <c r="I1837" s="19">
        <v>2025</v>
      </c>
    </row>
    <row r="1838" spans="1:9" hidden="1" x14ac:dyDescent="0.3">
      <c r="A1838" s="16" t="s">
        <v>133</v>
      </c>
      <c r="B1838" s="16" t="s">
        <v>38</v>
      </c>
      <c r="C1838" s="15">
        <v>10</v>
      </c>
      <c r="D1838" s="17">
        <v>1000000</v>
      </c>
      <c r="E1838" s="17">
        <v>0</v>
      </c>
      <c r="F1838" s="17">
        <v>-1000000</v>
      </c>
      <c r="G1838" s="18">
        <v>0</v>
      </c>
      <c r="H1838" s="10" t="str">
        <f t="shared" si="28"/>
        <v>COSTOS</v>
      </c>
      <c r="I1838" s="19">
        <v>2025</v>
      </c>
    </row>
    <row r="1839" spans="1:9" hidden="1" x14ac:dyDescent="0.3">
      <c r="A1839" s="16" t="s">
        <v>133</v>
      </c>
      <c r="B1839" s="16" t="s">
        <v>39</v>
      </c>
      <c r="C1839" s="15">
        <v>2</v>
      </c>
      <c r="D1839" s="17">
        <v>45000</v>
      </c>
      <c r="E1839" s="17">
        <v>0</v>
      </c>
      <c r="F1839" s="17">
        <v>-45000</v>
      </c>
      <c r="G1839" s="18">
        <v>0</v>
      </c>
      <c r="H1839" s="10" t="str">
        <f t="shared" si="28"/>
        <v>COSTOS</v>
      </c>
      <c r="I1839" s="19">
        <v>2025</v>
      </c>
    </row>
    <row r="1840" spans="1:9" hidden="1" x14ac:dyDescent="0.3">
      <c r="A1840" s="16" t="s">
        <v>133</v>
      </c>
      <c r="B1840" s="16" t="s">
        <v>39</v>
      </c>
      <c r="C1840" s="15">
        <v>3</v>
      </c>
      <c r="D1840" s="17">
        <v>45000</v>
      </c>
      <c r="E1840" s="17">
        <v>53550</v>
      </c>
      <c r="F1840" s="17">
        <v>8550</v>
      </c>
      <c r="G1840" s="18">
        <v>1.19</v>
      </c>
      <c r="H1840" s="10" t="str">
        <f t="shared" si="28"/>
        <v>COSTOS</v>
      </c>
      <c r="I1840" s="19">
        <v>2025</v>
      </c>
    </row>
    <row r="1841" spans="1:9" hidden="1" x14ac:dyDescent="0.3">
      <c r="A1841" s="16" t="s">
        <v>133</v>
      </c>
      <c r="B1841" s="16" t="s">
        <v>39</v>
      </c>
      <c r="C1841" s="15">
        <v>4</v>
      </c>
      <c r="D1841" s="17">
        <v>45000</v>
      </c>
      <c r="E1841" s="17">
        <v>53550</v>
      </c>
      <c r="F1841" s="17">
        <v>8550</v>
      </c>
      <c r="G1841" s="18">
        <v>1.19</v>
      </c>
      <c r="H1841" s="10" t="str">
        <f t="shared" si="28"/>
        <v>COSTOS</v>
      </c>
      <c r="I1841" s="19">
        <v>2025</v>
      </c>
    </row>
    <row r="1842" spans="1:9" hidden="1" x14ac:dyDescent="0.3">
      <c r="A1842" s="16" t="s">
        <v>133</v>
      </c>
      <c r="B1842" s="16" t="s">
        <v>39</v>
      </c>
      <c r="C1842" s="15">
        <v>5</v>
      </c>
      <c r="D1842" s="17">
        <v>245000</v>
      </c>
      <c r="E1842" s="17">
        <v>53550</v>
      </c>
      <c r="F1842" s="17">
        <v>-191450</v>
      </c>
      <c r="G1842" s="18">
        <v>0.21857142857142858</v>
      </c>
      <c r="H1842" s="10" t="str">
        <f t="shared" si="28"/>
        <v>COSTOS</v>
      </c>
      <c r="I1842" s="19">
        <v>2025</v>
      </c>
    </row>
    <row r="1843" spans="1:9" hidden="1" x14ac:dyDescent="0.3">
      <c r="A1843" s="16" t="s">
        <v>133</v>
      </c>
      <c r="B1843" s="16" t="s">
        <v>39</v>
      </c>
      <c r="C1843" s="15">
        <v>6</v>
      </c>
      <c r="D1843" s="17">
        <v>245000</v>
      </c>
      <c r="E1843" s="17">
        <v>53550</v>
      </c>
      <c r="F1843" s="17">
        <v>-191450</v>
      </c>
      <c r="G1843" s="18">
        <v>0.21857142857142858</v>
      </c>
      <c r="H1843" s="10" t="str">
        <f t="shared" si="28"/>
        <v>COSTOS</v>
      </c>
      <c r="I1843" s="19">
        <v>2025</v>
      </c>
    </row>
    <row r="1844" spans="1:9" hidden="1" x14ac:dyDescent="0.3">
      <c r="A1844" s="16" t="s">
        <v>133</v>
      </c>
      <c r="B1844" s="16" t="s">
        <v>39</v>
      </c>
      <c r="C1844" s="15">
        <v>7</v>
      </c>
      <c r="D1844" s="17">
        <v>245000</v>
      </c>
      <c r="E1844" s="17">
        <v>53550</v>
      </c>
      <c r="F1844" s="17">
        <v>-191450</v>
      </c>
      <c r="G1844" s="18">
        <v>0.21857142857142858</v>
      </c>
      <c r="H1844" s="10" t="str">
        <f t="shared" si="28"/>
        <v>COSTOS</v>
      </c>
      <c r="I1844" s="19">
        <v>2025</v>
      </c>
    </row>
    <row r="1845" spans="1:9" hidden="1" x14ac:dyDescent="0.3">
      <c r="A1845" s="16" t="s">
        <v>133</v>
      </c>
      <c r="B1845" s="16" t="s">
        <v>39</v>
      </c>
      <c r="C1845" s="15">
        <v>8</v>
      </c>
      <c r="D1845" s="17">
        <v>245000</v>
      </c>
      <c r="E1845" s="17">
        <v>53550</v>
      </c>
      <c r="F1845" s="17">
        <v>-191450</v>
      </c>
      <c r="G1845" s="18">
        <v>0.21857142857142858</v>
      </c>
      <c r="H1845" s="10" t="str">
        <f t="shared" si="28"/>
        <v>COSTOS</v>
      </c>
      <c r="I1845" s="19">
        <v>2025</v>
      </c>
    </row>
    <row r="1846" spans="1:9" hidden="1" x14ac:dyDescent="0.3">
      <c r="A1846" s="16" t="s">
        <v>133</v>
      </c>
      <c r="B1846" s="16" t="s">
        <v>39</v>
      </c>
      <c r="C1846" s="15">
        <v>9</v>
      </c>
      <c r="D1846" s="17">
        <v>245000</v>
      </c>
      <c r="E1846" s="17">
        <v>53550</v>
      </c>
      <c r="F1846" s="17">
        <v>-191450</v>
      </c>
      <c r="G1846" s="18">
        <v>0.21857142857142858</v>
      </c>
      <c r="H1846" s="10" t="str">
        <f t="shared" si="28"/>
        <v>COSTOS</v>
      </c>
      <c r="I1846" s="19">
        <v>2025</v>
      </c>
    </row>
    <row r="1847" spans="1:9" hidden="1" x14ac:dyDescent="0.3">
      <c r="A1847" s="16" t="s">
        <v>133</v>
      </c>
      <c r="B1847" s="16" t="s">
        <v>39</v>
      </c>
      <c r="C1847" s="15">
        <v>10</v>
      </c>
      <c r="D1847" s="17">
        <v>245000</v>
      </c>
      <c r="E1847" s="17">
        <v>53550</v>
      </c>
      <c r="F1847" s="17">
        <v>-191450</v>
      </c>
      <c r="G1847" s="18">
        <v>0.21857142857142858</v>
      </c>
      <c r="H1847" s="10" t="str">
        <f t="shared" si="28"/>
        <v>COSTOS</v>
      </c>
      <c r="I1847" s="19">
        <v>2025</v>
      </c>
    </row>
    <row r="1848" spans="1:9" hidden="1" x14ac:dyDescent="0.3">
      <c r="A1848" s="16" t="s">
        <v>133</v>
      </c>
      <c r="B1848" s="16" t="s">
        <v>39</v>
      </c>
      <c r="C1848" s="15">
        <v>11</v>
      </c>
      <c r="D1848" s="17">
        <v>490000</v>
      </c>
      <c r="E1848" s="17">
        <v>53550</v>
      </c>
      <c r="F1848" s="17">
        <v>-436450</v>
      </c>
      <c r="G1848" s="18">
        <v>0.10928571428571429</v>
      </c>
      <c r="H1848" s="10" t="str">
        <f t="shared" si="28"/>
        <v>COSTOS</v>
      </c>
      <c r="I1848" s="19">
        <v>2025</v>
      </c>
    </row>
    <row r="1849" spans="1:9" hidden="1" x14ac:dyDescent="0.3">
      <c r="A1849" s="16" t="s">
        <v>133</v>
      </c>
      <c r="B1849" s="16" t="s">
        <v>39</v>
      </c>
      <c r="C1849" s="15">
        <v>12</v>
      </c>
      <c r="D1849" s="17">
        <v>490000</v>
      </c>
      <c r="E1849" s="17">
        <v>53550</v>
      </c>
      <c r="F1849" s="17">
        <v>-436450</v>
      </c>
      <c r="G1849" s="18">
        <v>0.10928571428571429</v>
      </c>
      <c r="H1849" s="10" t="str">
        <f t="shared" si="28"/>
        <v>COSTOS</v>
      </c>
      <c r="I1849" s="19">
        <v>2025</v>
      </c>
    </row>
    <row r="1850" spans="1:9" hidden="1" x14ac:dyDescent="0.3">
      <c r="A1850" s="16" t="s">
        <v>134</v>
      </c>
      <c r="B1850" s="16" t="s">
        <v>38</v>
      </c>
      <c r="C1850" s="15">
        <v>2</v>
      </c>
      <c r="D1850" s="17">
        <v>0</v>
      </c>
      <c r="E1850" s="17">
        <v>71400</v>
      </c>
      <c r="F1850" s="17">
        <v>71400</v>
      </c>
      <c r="G1850" s="18">
        <v>0</v>
      </c>
      <c r="H1850" s="10" t="str">
        <f t="shared" si="28"/>
        <v>COSTOS</v>
      </c>
      <c r="I1850" s="19">
        <v>2025</v>
      </c>
    </row>
    <row r="1851" spans="1:9" hidden="1" x14ac:dyDescent="0.3">
      <c r="A1851" s="16" t="s">
        <v>134</v>
      </c>
      <c r="B1851" s="16" t="s">
        <v>38</v>
      </c>
      <c r="C1851" s="15">
        <v>8</v>
      </c>
      <c r="D1851" s="17">
        <v>150000</v>
      </c>
      <c r="E1851" s="17">
        <v>0</v>
      </c>
      <c r="F1851" s="17">
        <v>-150000</v>
      </c>
      <c r="G1851" s="18">
        <v>0</v>
      </c>
      <c r="H1851" s="10" t="str">
        <f t="shared" si="28"/>
        <v>COSTOS</v>
      </c>
      <c r="I1851" s="19">
        <v>2025</v>
      </c>
    </row>
    <row r="1852" spans="1:9" hidden="1" x14ac:dyDescent="0.3">
      <c r="A1852" s="16" t="s">
        <v>134</v>
      </c>
      <c r="B1852" s="16" t="s">
        <v>38</v>
      </c>
      <c r="C1852" s="15">
        <v>10</v>
      </c>
      <c r="D1852" s="17">
        <v>0</v>
      </c>
      <c r="E1852" s="17">
        <v>19160</v>
      </c>
      <c r="F1852" s="17">
        <v>19160</v>
      </c>
      <c r="G1852" s="18">
        <v>0</v>
      </c>
      <c r="H1852" s="10" t="str">
        <f t="shared" si="28"/>
        <v>COSTOS</v>
      </c>
      <c r="I1852" s="19">
        <v>2025</v>
      </c>
    </row>
    <row r="1853" spans="1:9" hidden="1" x14ac:dyDescent="0.3">
      <c r="A1853" s="16" t="s">
        <v>135</v>
      </c>
      <c r="B1853" s="16" t="s">
        <v>16</v>
      </c>
      <c r="C1853" s="15">
        <v>4</v>
      </c>
      <c r="D1853" s="17">
        <v>0</v>
      </c>
      <c r="E1853" s="17">
        <v>22000</v>
      </c>
      <c r="F1853" s="17">
        <v>22000</v>
      </c>
      <c r="G1853" s="18">
        <v>0</v>
      </c>
      <c r="H1853" s="10" t="str">
        <f t="shared" si="28"/>
        <v>COSTOS</v>
      </c>
      <c r="I1853" s="19">
        <v>2025</v>
      </c>
    </row>
    <row r="1854" spans="1:9" hidden="1" x14ac:dyDescent="0.3">
      <c r="A1854" s="16" t="s">
        <v>135</v>
      </c>
      <c r="B1854" s="16" t="s">
        <v>16</v>
      </c>
      <c r="C1854" s="15">
        <v>7</v>
      </c>
      <c r="D1854" s="17">
        <v>0</v>
      </c>
      <c r="E1854" s="17">
        <v>38000</v>
      </c>
      <c r="F1854" s="17">
        <v>38000</v>
      </c>
      <c r="G1854" s="18">
        <v>0</v>
      </c>
      <c r="H1854" s="10" t="str">
        <f t="shared" si="28"/>
        <v>COSTOS</v>
      </c>
      <c r="I1854" s="19">
        <v>2025</v>
      </c>
    </row>
    <row r="1855" spans="1:9" hidden="1" x14ac:dyDescent="0.3">
      <c r="A1855" s="16" t="s">
        <v>135</v>
      </c>
      <c r="B1855" s="16" t="s">
        <v>54</v>
      </c>
      <c r="C1855" s="15">
        <v>9</v>
      </c>
      <c r="D1855" s="17">
        <v>0</v>
      </c>
      <c r="E1855" s="17">
        <v>229412</v>
      </c>
      <c r="F1855" s="17">
        <v>229412</v>
      </c>
      <c r="G1855" s="18">
        <v>0</v>
      </c>
      <c r="H1855" s="10" t="str">
        <f t="shared" si="28"/>
        <v>COSTOS</v>
      </c>
      <c r="I1855" s="19">
        <v>2025</v>
      </c>
    </row>
    <row r="1856" spans="1:9" hidden="1" x14ac:dyDescent="0.3">
      <c r="A1856" s="16" t="s">
        <v>135</v>
      </c>
      <c r="B1856" s="16" t="s">
        <v>38</v>
      </c>
      <c r="C1856" s="15">
        <v>2</v>
      </c>
      <c r="D1856" s="17">
        <v>0</v>
      </c>
      <c r="E1856" s="17">
        <v>106302</v>
      </c>
      <c r="F1856" s="17">
        <v>106302</v>
      </c>
      <c r="G1856" s="18">
        <v>0</v>
      </c>
      <c r="H1856" s="10" t="str">
        <f t="shared" si="28"/>
        <v>COSTOS</v>
      </c>
      <c r="I1856" s="19">
        <v>2025</v>
      </c>
    </row>
    <row r="1857" spans="1:9" hidden="1" x14ac:dyDescent="0.3">
      <c r="A1857" s="16" t="s">
        <v>135</v>
      </c>
      <c r="B1857" s="16" t="s">
        <v>38</v>
      </c>
      <c r="C1857" s="15">
        <v>6</v>
      </c>
      <c r="D1857" s="17">
        <v>3000000</v>
      </c>
      <c r="E1857" s="17">
        <v>0</v>
      </c>
      <c r="F1857" s="17">
        <v>-3000000</v>
      </c>
      <c r="G1857" s="18">
        <v>0</v>
      </c>
      <c r="H1857" s="10" t="str">
        <f t="shared" si="28"/>
        <v>COSTOS</v>
      </c>
      <c r="I1857" s="19">
        <v>2025</v>
      </c>
    </row>
    <row r="1858" spans="1:9" hidden="1" x14ac:dyDescent="0.3">
      <c r="A1858" s="16" t="s">
        <v>135</v>
      </c>
      <c r="B1858" s="16" t="s">
        <v>38</v>
      </c>
      <c r="C1858" s="15">
        <v>7</v>
      </c>
      <c r="D1858" s="17">
        <v>0</v>
      </c>
      <c r="E1858" s="17">
        <v>1021345</v>
      </c>
      <c r="F1858" s="17">
        <v>1021345</v>
      </c>
      <c r="G1858" s="18">
        <v>0</v>
      </c>
      <c r="H1858" s="10" t="str">
        <f t="shared" si="28"/>
        <v>COSTOS</v>
      </c>
      <c r="I1858" s="19">
        <v>2025</v>
      </c>
    </row>
    <row r="1859" spans="1:9" hidden="1" x14ac:dyDescent="0.3">
      <c r="A1859" s="16" t="s">
        <v>135</v>
      </c>
      <c r="B1859" s="16" t="s">
        <v>38</v>
      </c>
      <c r="C1859" s="15">
        <v>8</v>
      </c>
      <c r="D1859" s="17">
        <v>0</v>
      </c>
      <c r="E1859" s="17">
        <v>660000</v>
      </c>
      <c r="F1859" s="17">
        <v>660000</v>
      </c>
      <c r="G1859" s="18">
        <v>0</v>
      </c>
      <c r="H1859" s="10" t="str">
        <f t="shared" ref="H1859:H1922" si="29">+IF(OR(A1859="ADMINISTRACION",A1859="COMERCIAL",A1859="COMERCIAL-EXPORTACIONES",A1859="LEASING DE LA BODEGA",A1859="LOGISTICA-SALIDA",A1859="OTROS GASTOS",A1859="BODEGA ALQUILADA", A1859="BODEGA CARTOPLAST", A1859="BODEGA CARTOPLAS", A1859= "GESTION HUMANA-OTROS GASTOS"),"GASTOS","COSTOS")</f>
        <v>COSTOS</v>
      </c>
      <c r="I1859" s="19">
        <v>2025</v>
      </c>
    </row>
    <row r="1860" spans="1:9" hidden="1" x14ac:dyDescent="0.3">
      <c r="A1860" s="16" t="s">
        <v>135</v>
      </c>
      <c r="B1860" s="16" t="s">
        <v>39</v>
      </c>
      <c r="C1860" s="15">
        <v>1</v>
      </c>
      <c r="D1860" s="17">
        <v>95531</v>
      </c>
      <c r="E1860" s="17">
        <v>95531</v>
      </c>
      <c r="F1860" s="17">
        <v>0</v>
      </c>
      <c r="G1860" s="18">
        <v>1</v>
      </c>
      <c r="H1860" s="10" t="str">
        <f t="shared" si="29"/>
        <v>COSTOS</v>
      </c>
      <c r="I1860" s="19">
        <v>2025</v>
      </c>
    </row>
    <row r="1861" spans="1:9" hidden="1" x14ac:dyDescent="0.3">
      <c r="A1861" s="16" t="s">
        <v>135</v>
      </c>
      <c r="B1861" s="16" t="s">
        <v>39</v>
      </c>
      <c r="C1861" s="15">
        <v>2</v>
      </c>
      <c r="D1861" s="17">
        <v>95531</v>
      </c>
      <c r="E1861" s="17">
        <v>95531</v>
      </c>
      <c r="F1861" s="17">
        <v>0</v>
      </c>
      <c r="G1861" s="18">
        <v>1</v>
      </c>
      <c r="H1861" s="10" t="str">
        <f t="shared" si="29"/>
        <v>COSTOS</v>
      </c>
      <c r="I1861" s="19">
        <v>2025</v>
      </c>
    </row>
    <row r="1862" spans="1:9" hidden="1" x14ac:dyDescent="0.3">
      <c r="A1862" s="16" t="s">
        <v>135</v>
      </c>
      <c r="B1862" s="16" t="s">
        <v>39</v>
      </c>
      <c r="C1862" s="15">
        <v>3</v>
      </c>
      <c r="D1862" s="17">
        <v>95531</v>
      </c>
      <c r="E1862" s="17">
        <v>95531</v>
      </c>
      <c r="F1862" s="17">
        <v>0</v>
      </c>
      <c r="G1862" s="18">
        <v>1</v>
      </c>
      <c r="H1862" s="10" t="str">
        <f t="shared" si="29"/>
        <v>COSTOS</v>
      </c>
      <c r="I1862" s="19">
        <v>2025</v>
      </c>
    </row>
    <row r="1863" spans="1:9" hidden="1" x14ac:dyDescent="0.3">
      <c r="A1863" s="16" t="s">
        <v>135</v>
      </c>
      <c r="B1863" s="16" t="s">
        <v>39</v>
      </c>
      <c r="C1863" s="15">
        <v>4</v>
      </c>
      <c r="D1863" s="17">
        <v>95531</v>
      </c>
      <c r="E1863" s="17">
        <v>95531</v>
      </c>
      <c r="F1863" s="17">
        <v>0</v>
      </c>
      <c r="G1863" s="18">
        <v>1</v>
      </c>
      <c r="H1863" s="10" t="str">
        <f t="shared" si="29"/>
        <v>COSTOS</v>
      </c>
      <c r="I1863" s="19">
        <v>2025</v>
      </c>
    </row>
    <row r="1864" spans="1:9" hidden="1" x14ac:dyDescent="0.3">
      <c r="A1864" s="16" t="s">
        <v>135</v>
      </c>
      <c r="B1864" s="16" t="s">
        <v>39</v>
      </c>
      <c r="C1864" s="15">
        <v>5</v>
      </c>
      <c r="D1864" s="17">
        <v>95531</v>
      </c>
      <c r="E1864" s="17">
        <v>95531</v>
      </c>
      <c r="F1864" s="17">
        <v>0</v>
      </c>
      <c r="G1864" s="18">
        <v>1</v>
      </c>
      <c r="H1864" s="10" t="str">
        <f t="shared" si="29"/>
        <v>COSTOS</v>
      </c>
      <c r="I1864" s="19">
        <v>2025</v>
      </c>
    </row>
    <row r="1865" spans="1:9" hidden="1" x14ac:dyDescent="0.3">
      <c r="A1865" s="16" t="s">
        <v>135</v>
      </c>
      <c r="B1865" s="16" t="s">
        <v>39</v>
      </c>
      <c r="C1865" s="15">
        <v>6</v>
      </c>
      <c r="D1865" s="17">
        <v>95531</v>
      </c>
      <c r="E1865" s="17">
        <v>95531</v>
      </c>
      <c r="F1865" s="17">
        <v>0</v>
      </c>
      <c r="G1865" s="18">
        <v>1</v>
      </c>
      <c r="H1865" s="10" t="str">
        <f t="shared" si="29"/>
        <v>COSTOS</v>
      </c>
      <c r="I1865" s="19">
        <v>2025</v>
      </c>
    </row>
    <row r="1866" spans="1:9" hidden="1" x14ac:dyDescent="0.3">
      <c r="A1866" s="16" t="s">
        <v>135</v>
      </c>
      <c r="B1866" s="16" t="s">
        <v>39</v>
      </c>
      <c r="C1866" s="15">
        <v>7</v>
      </c>
      <c r="D1866" s="17">
        <v>95531</v>
      </c>
      <c r="E1866" s="17">
        <v>95531</v>
      </c>
      <c r="F1866" s="17">
        <v>0</v>
      </c>
      <c r="G1866" s="18">
        <v>1</v>
      </c>
      <c r="H1866" s="10" t="str">
        <f t="shared" si="29"/>
        <v>COSTOS</v>
      </c>
      <c r="I1866" s="19">
        <v>2025</v>
      </c>
    </row>
    <row r="1867" spans="1:9" hidden="1" x14ac:dyDescent="0.3">
      <c r="A1867" s="16" t="s">
        <v>135</v>
      </c>
      <c r="B1867" s="16" t="s">
        <v>39</v>
      </c>
      <c r="C1867" s="15">
        <v>8</v>
      </c>
      <c r="D1867" s="17">
        <v>95531</v>
      </c>
      <c r="E1867" s="17">
        <v>95531</v>
      </c>
      <c r="F1867" s="17">
        <v>0</v>
      </c>
      <c r="G1867" s="18">
        <v>1</v>
      </c>
      <c r="H1867" s="10" t="str">
        <f t="shared" si="29"/>
        <v>COSTOS</v>
      </c>
      <c r="I1867" s="19">
        <v>2025</v>
      </c>
    </row>
    <row r="1868" spans="1:9" hidden="1" x14ac:dyDescent="0.3">
      <c r="A1868" s="16" t="s">
        <v>135</v>
      </c>
      <c r="B1868" s="16" t="s">
        <v>39</v>
      </c>
      <c r="C1868" s="15">
        <v>9</v>
      </c>
      <c r="D1868" s="17">
        <v>95531</v>
      </c>
      <c r="E1868" s="17">
        <v>95531</v>
      </c>
      <c r="F1868" s="17">
        <v>0</v>
      </c>
      <c r="G1868" s="18">
        <v>1</v>
      </c>
      <c r="H1868" s="10" t="str">
        <f t="shared" si="29"/>
        <v>COSTOS</v>
      </c>
      <c r="I1868" s="19">
        <v>2025</v>
      </c>
    </row>
    <row r="1869" spans="1:9" hidden="1" x14ac:dyDescent="0.3">
      <c r="A1869" s="16" t="s">
        <v>135</v>
      </c>
      <c r="B1869" s="16" t="s">
        <v>39</v>
      </c>
      <c r="C1869" s="15">
        <v>10</v>
      </c>
      <c r="D1869" s="17">
        <v>95531</v>
      </c>
      <c r="E1869" s="17">
        <v>95531</v>
      </c>
      <c r="F1869" s="17">
        <v>0</v>
      </c>
      <c r="G1869" s="18">
        <v>1</v>
      </c>
      <c r="H1869" s="10" t="str">
        <f t="shared" si="29"/>
        <v>COSTOS</v>
      </c>
      <c r="I1869" s="19">
        <v>2025</v>
      </c>
    </row>
    <row r="1870" spans="1:9" hidden="1" x14ac:dyDescent="0.3">
      <c r="A1870" s="16" t="s">
        <v>135</v>
      </c>
      <c r="B1870" s="16" t="s">
        <v>28</v>
      </c>
      <c r="C1870" s="15">
        <v>4</v>
      </c>
      <c r="D1870" s="17">
        <v>0</v>
      </c>
      <c r="E1870" s="17">
        <v>421849</v>
      </c>
      <c r="F1870" s="17">
        <v>421849</v>
      </c>
      <c r="G1870" s="18">
        <v>0</v>
      </c>
      <c r="H1870" s="10" t="str">
        <f t="shared" si="29"/>
        <v>COSTOS</v>
      </c>
      <c r="I1870" s="19">
        <v>2025</v>
      </c>
    </row>
    <row r="1871" spans="1:9" hidden="1" x14ac:dyDescent="0.3">
      <c r="A1871" s="16" t="s">
        <v>135</v>
      </c>
      <c r="B1871" s="16" t="s">
        <v>28</v>
      </c>
      <c r="C1871" s="15">
        <v>7</v>
      </c>
      <c r="D1871" s="17">
        <v>0</v>
      </c>
      <c r="E1871" s="17">
        <v>287395</v>
      </c>
      <c r="F1871" s="17">
        <v>287395</v>
      </c>
      <c r="G1871" s="18">
        <v>0</v>
      </c>
      <c r="H1871" s="10" t="str">
        <f t="shared" si="29"/>
        <v>COSTOS</v>
      </c>
      <c r="I1871" s="19">
        <v>2025</v>
      </c>
    </row>
    <row r="1872" spans="1:9" hidden="1" x14ac:dyDescent="0.3">
      <c r="A1872" s="16" t="s">
        <v>135</v>
      </c>
      <c r="B1872" s="16" t="s">
        <v>28</v>
      </c>
      <c r="C1872" s="15">
        <v>8</v>
      </c>
      <c r="D1872" s="17">
        <v>0</v>
      </c>
      <c r="E1872" s="17">
        <v>223529</v>
      </c>
      <c r="F1872" s="17">
        <v>223529</v>
      </c>
      <c r="G1872" s="18">
        <v>0</v>
      </c>
      <c r="H1872" s="10" t="str">
        <f t="shared" si="29"/>
        <v>COSTOS</v>
      </c>
      <c r="I1872" s="19">
        <v>2025</v>
      </c>
    </row>
    <row r="1873" spans="1:9" hidden="1" x14ac:dyDescent="0.3">
      <c r="A1873" s="16" t="s">
        <v>135</v>
      </c>
      <c r="B1873" s="16" t="s">
        <v>28</v>
      </c>
      <c r="C1873" s="15">
        <v>10</v>
      </c>
      <c r="D1873" s="17">
        <v>0</v>
      </c>
      <c r="E1873" s="17">
        <v>18000</v>
      </c>
      <c r="F1873" s="17">
        <v>18000</v>
      </c>
      <c r="G1873" s="18">
        <v>0</v>
      </c>
      <c r="H1873" s="10" t="str">
        <f t="shared" si="29"/>
        <v>COSTOS</v>
      </c>
      <c r="I1873" s="19">
        <v>2025</v>
      </c>
    </row>
    <row r="1874" spans="1:9" hidden="1" x14ac:dyDescent="0.3">
      <c r="A1874" s="16" t="s">
        <v>135</v>
      </c>
      <c r="B1874" s="16" t="s">
        <v>58</v>
      </c>
      <c r="C1874" s="15">
        <v>1</v>
      </c>
      <c r="D1874" s="17">
        <v>0</v>
      </c>
      <c r="E1874" s="17">
        <v>56000</v>
      </c>
      <c r="F1874" s="17">
        <v>56000</v>
      </c>
      <c r="G1874" s="18">
        <v>0</v>
      </c>
      <c r="H1874" s="10" t="str">
        <f t="shared" si="29"/>
        <v>COSTOS</v>
      </c>
      <c r="I1874" s="19">
        <v>2025</v>
      </c>
    </row>
    <row r="1875" spans="1:9" hidden="1" x14ac:dyDescent="0.3">
      <c r="A1875" s="16" t="s">
        <v>135</v>
      </c>
      <c r="B1875" s="16" t="s">
        <v>59</v>
      </c>
      <c r="C1875" s="15">
        <v>10</v>
      </c>
      <c r="D1875" s="17">
        <v>0</v>
      </c>
      <c r="E1875" s="17">
        <v>135751</v>
      </c>
      <c r="F1875" s="17">
        <v>135751</v>
      </c>
      <c r="G1875" s="18">
        <v>0</v>
      </c>
      <c r="H1875" s="10" t="str">
        <f t="shared" si="29"/>
        <v>COSTOS</v>
      </c>
      <c r="I1875" s="19">
        <v>2025</v>
      </c>
    </row>
    <row r="1876" spans="1:9" hidden="1" x14ac:dyDescent="0.3">
      <c r="A1876" s="16" t="s">
        <v>135</v>
      </c>
      <c r="B1876" s="16" t="s">
        <v>38</v>
      </c>
      <c r="C1876" s="15">
        <v>11</v>
      </c>
      <c r="D1876" s="17">
        <v>0</v>
      </c>
      <c r="E1876" s="17">
        <v>670000</v>
      </c>
      <c r="F1876" s="17">
        <v>670000</v>
      </c>
      <c r="G1876" s="18">
        <v>0</v>
      </c>
      <c r="H1876" s="10" t="str">
        <f t="shared" si="29"/>
        <v>COSTOS</v>
      </c>
      <c r="I1876" s="19">
        <v>2025</v>
      </c>
    </row>
    <row r="1877" spans="1:9" hidden="1" x14ac:dyDescent="0.3">
      <c r="A1877" s="16" t="s">
        <v>135</v>
      </c>
      <c r="B1877" s="16" t="s">
        <v>39</v>
      </c>
      <c r="C1877" s="15">
        <v>11</v>
      </c>
      <c r="D1877" s="17">
        <v>95531</v>
      </c>
      <c r="E1877" s="17">
        <v>95531</v>
      </c>
      <c r="F1877" s="17">
        <v>0</v>
      </c>
      <c r="G1877" s="18">
        <v>1</v>
      </c>
      <c r="H1877" s="10" t="str">
        <f t="shared" si="29"/>
        <v>COSTOS</v>
      </c>
      <c r="I1877" s="19">
        <v>2025</v>
      </c>
    </row>
    <row r="1878" spans="1:9" hidden="1" x14ac:dyDescent="0.3">
      <c r="A1878" s="16" t="s">
        <v>135</v>
      </c>
      <c r="B1878" s="16" t="s">
        <v>28</v>
      </c>
      <c r="C1878" s="15">
        <v>11</v>
      </c>
      <c r="D1878" s="17">
        <v>0</v>
      </c>
      <c r="E1878" s="17">
        <v>341176</v>
      </c>
      <c r="F1878" s="17">
        <v>341176</v>
      </c>
      <c r="G1878" s="18">
        <v>0</v>
      </c>
      <c r="H1878" s="10" t="str">
        <f t="shared" si="29"/>
        <v>COSTOS</v>
      </c>
      <c r="I1878" s="19">
        <v>2025</v>
      </c>
    </row>
    <row r="1879" spans="1:9" hidden="1" x14ac:dyDescent="0.3">
      <c r="A1879" s="16" t="s">
        <v>135</v>
      </c>
      <c r="B1879" s="16" t="s">
        <v>16</v>
      </c>
      <c r="C1879" s="15">
        <v>12</v>
      </c>
      <c r="D1879" s="17">
        <v>0</v>
      </c>
      <c r="E1879" s="17">
        <v>12000</v>
      </c>
      <c r="F1879" s="17">
        <v>12000</v>
      </c>
      <c r="G1879" s="18">
        <v>0</v>
      </c>
      <c r="H1879" s="10" t="str">
        <f t="shared" si="29"/>
        <v>COSTOS</v>
      </c>
      <c r="I1879" s="19">
        <v>2025</v>
      </c>
    </row>
    <row r="1880" spans="1:9" hidden="1" x14ac:dyDescent="0.3">
      <c r="A1880" s="16" t="s">
        <v>135</v>
      </c>
      <c r="B1880" s="16" t="s">
        <v>39</v>
      </c>
      <c r="C1880" s="15">
        <v>12</v>
      </c>
      <c r="D1880" s="17">
        <v>95531</v>
      </c>
      <c r="E1880" s="17">
        <v>95531</v>
      </c>
      <c r="F1880" s="17">
        <v>0</v>
      </c>
      <c r="G1880" s="18">
        <v>1</v>
      </c>
      <c r="H1880" s="10" t="str">
        <f t="shared" si="29"/>
        <v>COSTOS</v>
      </c>
      <c r="I1880" s="19">
        <v>2025</v>
      </c>
    </row>
    <row r="1881" spans="1:9" hidden="1" x14ac:dyDescent="0.3">
      <c r="A1881" s="16" t="s">
        <v>135</v>
      </c>
      <c r="B1881" s="16" t="s">
        <v>58</v>
      </c>
      <c r="C1881" s="15">
        <v>12</v>
      </c>
      <c r="D1881" s="17">
        <v>0</v>
      </c>
      <c r="E1881" s="17">
        <v>7000000</v>
      </c>
      <c r="F1881" s="17">
        <v>7000000</v>
      </c>
      <c r="G1881" s="18">
        <v>0</v>
      </c>
      <c r="H1881" s="10" t="str">
        <f t="shared" si="29"/>
        <v>COSTOS</v>
      </c>
      <c r="I1881" s="19">
        <v>2025</v>
      </c>
    </row>
    <row r="1882" spans="1:9" hidden="1" x14ac:dyDescent="0.3">
      <c r="A1882" s="16" t="s">
        <v>136</v>
      </c>
      <c r="B1882" s="16" t="s">
        <v>16</v>
      </c>
      <c r="C1882" s="15">
        <v>2</v>
      </c>
      <c r="D1882" s="17">
        <v>0</v>
      </c>
      <c r="E1882" s="17">
        <v>70000</v>
      </c>
      <c r="F1882" s="17">
        <v>70000</v>
      </c>
      <c r="G1882" s="18">
        <v>0</v>
      </c>
      <c r="H1882" s="10" t="str">
        <f t="shared" si="29"/>
        <v>COSTOS</v>
      </c>
      <c r="I1882" s="19">
        <v>2025</v>
      </c>
    </row>
    <row r="1883" spans="1:9" hidden="1" x14ac:dyDescent="0.3">
      <c r="A1883" s="16" t="s">
        <v>136</v>
      </c>
      <c r="B1883" s="16" t="s">
        <v>16</v>
      </c>
      <c r="C1883" s="15">
        <v>3</v>
      </c>
      <c r="D1883" s="17">
        <v>0</v>
      </c>
      <c r="E1883" s="17">
        <v>15000</v>
      </c>
      <c r="F1883" s="17">
        <v>15000</v>
      </c>
      <c r="G1883" s="18">
        <v>0</v>
      </c>
      <c r="H1883" s="10" t="str">
        <f t="shared" si="29"/>
        <v>COSTOS</v>
      </c>
      <c r="I1883" s="19">
        <v>2025</v>
      </c>
    </row>
    <row r="1884" spans="1:9" hidden="1" x14ac:dyDescent="0.3">
      <c r="A1884" s="16" t="s">
        <v>136</v>
      </c>
      <c r="B1884" s="16" t="s">
        <v>16</v>
      </c>
      <c r="C1884" s="15">
        <v>5</v>
      </c>
      <c r="D1884" s="17">
        <v>0</v>
      </c>
      <c r="E1884" s="17">
        <v>10000</v>
      </c>
      <c r="F1884" s="17">
        <v>10000</v>
      </c>
      <c r="G1884" s="18">
        <v>0</v>
      </c>
      <c r="H1884" s="10" t="str">
        <f t="shared" si="29"/>
        <v>COSTOS</v>
      </c>
      <c r="I1884" s="19">
        <v>2025</v>
      </c>
    </row>
    <row r="1885" spans="1:9" hidden="1" x14ac:dyDescent="0.3">
      <c r="A1885" s="16" t="s">
        <v>136</v>
      </c>
      <c r="B1885" s="16" t="s">
        <v>54</v>
      </c>
      <c r="C1885" s="15">
        <v>1</v>
      </c>
      <c r="D1885" s="17">
        <v>0</v>
      </c>
      <c r="E1885" s="17">
        <v>60500</v>
      </c>
      <c r="F1885" s="17">
        <v>60500</v>
      </c>
      <c r="G1885" s="18">
        <v>0</v>
      </c>
      <c r="H1885" s="10" t="str">
        <f t="shared" si="29"/>
        <v>COSTOS</v>
      </c>
      <c r="I1885" s="19">
        <v>2025</v>
      </c>
    </row>
    <row r="1886" spans="1:9" hidden="1" x14ac:dyDescent="0.3">
      <c r="A1886" s="16" t="s">
        <v>136</v>
      </c>
      <c r="B1886" s="16" t="s">
        <v>38</v>
      </c>
      <c r="C1886" s="15">
        <v>1</v>
      </c>
      <c r="D1886" s="17">
        <v>483000</v>
      </c>
      <c r="E1886" s="17">
        <v>1361524</v>
      </c>
      <c r="F1886" s="17">
        <v>878524</v>
      </c>
      <c r="G1886" s="18">
        <v>2.8188902691511388</v>
      </c>
      <c r="H1886" s="10" t="str">
        <f t="shared" si="29"/>
        <v>COSTOS</v>
      </c>
      <c r="I1886" s="19">
        <v>2025</v>
      </c>
    </row>
    <row r="1887" spans="1:9" hidden="1" x14ac:dyDescent="0.3">
      <c r="A1887" s="16" t="s">
        <v>136</v>
      </c>
      <c r="B1887" s="16" t="s">
        <v>38</v>
      </c>
      <c r="C1887" s="15">
        <v>2</v>
      </c>
      <c r="D1887" s="17">
        <v>483000</v>
      </c>
      <c r="E1887" s="17">
        <v>231277</v>
      </c>
      <c r="F1887" s="17">
        <v>-251723</v>
      </c>
      <c r="G1887" s="18">
        <v>0.4788343685300207</v>
      </c>
      <c r="H1887" s="10" t="str">
        <f t="shared" si="29"/>
        <v>COSTOS</v>
      </c>
      <c r="I1887" s="19">
        <v>2025</v>
      </c>
    </row>
    <row r="1888" spans="1:9" hidden="1" x14ac:dyDescent="0.3">
      <c r="A1888" s="16" t="s">
        <v>136</v>
      </c>
      <c r="B1888" s="16" t="s">
        <v>38</v>
      </c>
      <c r="C1888" s="15">
        <v>3</v>
      </c>
      <c r="D1888" s="17">
        <v>483000</v>
      </c>
      <c r="E1888" s="17">
        <v>134454</v>
      </c>
      <c r="F1888" s="17">
        <v>-348546</v>
      </c>
      <c r="G1888" s="18">
        <v>0.27837267080745343</v>
      </c>
      <c r="H1888" s="10" t="str">
        <f t="shared" si="29"/>
        <v>COSTOS</v>
      </c>
      <c r="I1888" s="19">
        <v>2025</v>
      </c>
    </row>
    <row r="1889" spans="1:9" hidden="1" x14ac:dyDescent="0.3">
      <c r="A1889" s="16" t="s">
        <v>136</v>
      </c>
      <c r="B1889" s="16" t="s">
        <v>38</v>
      </c>
      <c r="C1889" s="15">
        <v>4</v>
      </c>
      <c r="D1889" s="17">
        <v>483000</v>
      </c>
      <c r="E1889" s="17">
        <v>31200</v>
      </c>
      <c r="F1889" s="17">
        <v>-451800</v>
      </c>
      <c r="G1889" s="18">
        <v>6.4596273291925466E-2</v>
      </c>
      <c r="H1889" s="10" t="str">
        <f t="shared" si="29"/>
        <v>COSTOS</v>
      </c>
      <c r="I1889" s="19">
        <v>2025</v>
      </c>
    </row>
    <row r="1890" spans="1:9" hidden="1" x14ac:dyDescent="0.3">
      <c r="A1890" s="16" t="s">
        <v>136</v>
      </c>
      <c r="B1890" s="16" t="s">
        <v>38</v>
      </c>
      <c r="C1890" s="15">
        <v>5</v>
      </c>
      <c r="D1890" s="17">
        <v>483000</v>
      </c>
      <c r="E1890" s="17">
        <v>484951</v>
      </c>
      <c r="F1890" s="17">
        <v>1951</v>
      </c>
      <c r="G1890" s="18">
        <v>1.0040393374741201</v>
      </c>
      <c r="H1890" s="10" t="str">
        <f t="shared" si="29"/>
        <v>COSTOS</v>
      </c>
      <c r="I1890" s="19">
        <v>2025</v>
      </c>
    </row>
    <row r="1891" spans="1:9" hidden="1" x14ac:dyDescent="0.3">
      <c r="A1891" s="16" t="s">
        <v>136</v>
      </c>
      <c r="B1891" s="16" t="s">
        <v>38</v>
      </c>
      <c r="C1891" s="15">
        <v>6</v>
      </c>
      <c r="D1891" s="17">
        <v>483000</v>
      </c>
      <c r="E1891" s="17">
        <v>0</v>
      </c>
      <c r="F1891" s="17">
        <v>-483000</v>
      </c>
      <c r="G1891" s="18">
        <v>0</v>
      </c>
      <c r="H1891" s="10" t="str">
        <f t="shared" si="29"/>
        <v>COSTOS</v>
      </c>
      <c r="I1891" s="19">
        <v>2025</v>
      </c>
    </row>
    <row r="1892" spans="1:9" hidden="1" x14ac:dyDescent="0.3">
      <c r="A1892" s="16" t="s">
        <v>136</v>
      </c>
      <c r="B1892" s="16" t="s">
        <v>38</v>
      </c>
      <c r="C1892" s="15">
        <v>7</v>
      </c>
      <c r="D1892" s="17">
        <v>483000</v>
      </c>
      <c r="E1892" s="17">
        <v>1068396</v>
      </c>
      <c r="F1892" s="17">
        <v>585396</v>
      </c>
      <c r="G1892" s="18">
        <v>2.2120000000000002</v>
      </c>
      <c r="H1892" s="10" t="str">
        <f t="shared" si="29"/>
        <v>COSTOS</v>
      </c>
      <c r="I1892" s="19">
        <v>2025</v>
      </c>
    </row>
    <row r="1893" spans="1:9" hidden="1" x14ac:dyDescent="0.3">
      <c r="A1893" s="16" t="s">
        <v>136</v>
      </c>
      <c r="B1893" s="16" t="s">
        <v>38</v>
      </c>
      <c r="C1893" s="15">
        <v>8</v>
      </c>
      <c r="D1893" s="17">
        <v>483000</v>
      </c>
      <c r="E1893" s="17">
        <v>0</v>
      </c>
      <c r="F1893" s="17">
        <v>-483000</v>
      </c>
      <c r="G1893" s="18">
        <v>0</v>
      </c>
      <c r="H1893" s="10" t="str">
        <f t="shared" si="29"/>
        <v>COSTOS</v>
      </c>
      <c r="I1893" s="19">
        <v>2025</v>
      </c>
    </row>
    <row r="1894" spans="1:9" hidden="1" x14ac:dyDescent="0.3">
      <c r="A1894" s="16" t="s">
        <v>136</v>
      </c>
      <c r="B1894" s="16" t="s">
        <v>38</v>
      </c>
      <c r="C1894" s="15">
        <v>9</v>
      </c>
      <c r="D1894" s="17">
        <v>483000</v>
      </c>
      <c r="E1894" s="17">
        <v>0</v>
      </c>
      <c r="F1894" s="17">
        <v>-483000</v>
      </c>
      <c r="G1894" s="18">
        <v>0</v>
      </c>
      <c r="H1894" s="10" t="str">
        <f t="shared" si="29"/>
        <v>COSTOS</v>
      </c>
      <c r="I1894" s="19">
        <v>2025</v>
      </c>
    </row>
    <row r="1895" spans="1:9" hidden="1" x14ac:dyDescent="0.3">
      <c r="A1895" s="16" t="s">
        <v>136</v>
      </c>
      <c r="B1895" s="16" t="s">
        <v>38</v>
      </c>
      <c r="C1895" s="15">
        <v>10</v>
      </c>
      <c r="D1895" s="17">
        <v>483000</v>
      </c>
      <c r="E1895" s="17">
        <v>263718</v>
      </c>
      <c r="F1895" s="17">
        <v>-219282</v>
      </c>
      <c r="G1895" s="18">
        <v>0.54600000000000004</v>
      </c>
      <c r="H1895" s="10" t="str">
        <f t="shared" si="29"/>
        <v>COSTOS</v>
      </c>
      <c r="I1895" s="19">
        <v>2025</v>
      </c>
    </row>
    <row r="1896" spans="1:9" hidden="1" x14ac:dyDescent="0.3">
      <c r="A1896" s="16" t="s">
        <v>136</v>
      </c>
      <c r="B1896" s="16" t="s">
        <v>59</v>
      </c>
      <c r="C1896" s="15">
        <v>8</v>
      </c>
      <c r="D1896" s="17">
        <v>0</v>
      </c>
      <c r="E1896" s="17">
        <v>277311</v>
      </c>
      <c r="F1896" s="17">
        <v>277311</v>
      </c>
      <c r="G1896" s="18">
        <v>0</v>
      </c>
      <c r="H1896" s="10" t="str">
        <f t="shared" si="29"/>
        <v>COSTOS</v>
      </c>
      <c r="I1896" s="19">
        <v>2025</v>
      </c>
    </row>
    <row r="1897" spans="1:9" hidden="1" x14ac:dyDescent="0.3">
      <c r="A1897" s="16" t="s">
        <v>136</v>
      </c>
      <c r="B1897" s="16" t="s">
        <v>38</v>
      </c>
      <c r="C1897" s="15">
        <v>11</v>
      </c>
      <c r="D1897" s="17">
        <v>483000</v>
      </c>
      <c r="E1897" s="17">
        <v>2175871</v>
      </c>
      <c r="F1897" s="17">
        <v>1692871</v>
      </c>
      <c r="G1897" s="18">
        <v>4.5049089026915112</v>
      </c>
      <c r="H1897" s="10" t="str">
        <f t="shared" si="29"/>
        <v>COSTOS</v>
      </c>
      <c r="I1897" s="19">
        <v>2025</v>
      </c>
    </row>
    <row r="1898" spans="1:9" hidden="1" x14ac:dyDescent="0.3">
      <c r="A1898" s="16" t="s">
        <v>136</v>
      </c>
      <c r="B1898" s="16" t="s">
        <v>38</v>
      </c>
      <c r="C1898" s="15">
        <v>12</v>
      </c>
      <c r="D1898" s="17">
        <v>483000</v>
      </c>
      <c r="E1898" s="17">
        <v>579832</v>
      </c>
      <c r="F1898" s="17">
        <v>96832</v>
      </c>
      <c r="G1898" s="18">
        <v>1.20048033126294</v>
      </c>
      <c r="H1898" s="10" t="str">
        <f t="shared" si="29"/>
        <v>COSTOS</v>
      </c>
      <c r="I1898" s="19">
        <v>2025</v>
      </c>
    </row>
    <row r="1899" spans="1:9" hidden="1" x14ac:dyDescent="0.3">
      <c r="A1899" s="16" t="s">
        <v>137</v>
      </c>
      <c r="B1899" s="16" t="s">
        <v>54</v>
      </c>
      <c r="C1899" s="15">
        <v>2</v>
      </c>
      <c r="D1899" s="17">
        <v>0</v>
      </c>
      <c r="E1899" s="17">
        <v>40000</v>
      </c>
      <c r="F1899" s="17">
        <v>40000</v>
      </c>
      <c r="G1899" s="18">
        <v>0</v>
      </c>
      <c r="H1899" s="10" t="str">
        <f t="shared" si="29"/>
        <v>COSTOS</v>
      </c>
      <c r="I1899" s="19">
        <v>2025</v>
      </c>
    </row>
    <row r="1900" spans="1:9" hidden="1" x14ac:dyDescent="0.3">
      <c r="A1900" s="16" t="s">
        <v>137</v>
      </c>
      <c r="B1900" s="16" t="s">
        <v>54</v>
      </c>
      <c r="C1900" s="15">
        <v>4</v>
      </c>
      <c r="D1900" s="17">
        <v>0</v>
      </c>
      <c r="E1900" s="17">
        <v>146520</v>
      </c>
      <c r="F1900" s="17">
        <v>146520</v>
      </c>
      <c r="G1900" s="18">
        <v>0</v>
      </c>
      <c r="H1900" s="10" t="str">
        <f t="shared" si="29"/>
        <v>COSTOS</v>
      </c>
      <c r="I1900" s="19">
        <v>2025</v>
      </c>
    </row>
    <row r="1901" spans="1:9" hidden="1" x14ac:dyDescent="0.3">
      <c r="A1901" s="16" t="s">
        <v>137</v>
      </c>
      <c r="B1901" s="16" t="s">
        <v>54</v>
      </c>
      <c r="C1901" s="15">
        <v>10</v>
      </c>
      <c r="D1901" s="17">
        <v>0</v>
      </c>
      <c r="E1901" s="17">
        <v>145294</v>
      </c>
      <c r="F1901" s="17">
        <v>145294</v>
      </c>
      <c r="G1901" s="18">
        <v>0</v>
      </c>
      <c r="H1901" s="10" t="str">
        <f t="shared" si="29"/>
        <v>COSTOS</v>
      </c>
      <c r="I1901" s="19">
        <v>2025</v>
      </c>
    </row>
    <row r="1902" spans="1:9" hidden="1" x14ac:dyDescent="0.3">
      <c r="A1902" s="16" t="s">
        <v>137</v>
      </c>
      <c r="B1902" s="16" t="s">
        <v>38</v>
      </c>
      <c r="C1902" s="15">
        <v>1</v>
      </c>
      <c r="D1902" s="17">
        <v>50000</v>
      </c>
      <c r="E1902" s="17">
        <v>295366</v>
      </c>
      <c r="F1902" s="17">
        <v>245366</v>
      </c>
      <c r="G1902" s="18">
        <v>5.9073200000000003</v>
      </c>
      <c r="H1902" s="10" t="str">
        <f t="shared" si="29"/>
        <v>COSTOS</v>
      </c>
      <c r="I1902" s="19">
        <v>2025</v>
      </c>
    </row>
    <row r="1903" spans="1:9" hidden="1" x14ac:dyDescent="0.3">
      <c r="A1903" s="16" t="s">
        <v>137</v>
      </c>
      <c r="B1903" s="16" t="s">
        <v>38</v>
      </c>
      <c r="C1903" s="15">
        <v>2</v>
      </c>
      <c r="D1903" s="17">
        <v>50000</v>
      </c>
      <c r="E1903" s="17">
        <v>2485880</v>
      </c>
      <c r="F1903" s="17">
        <v>2435880</v>
      </c>
      <c r="G1903" s="18">
        <v>49.717599999999997</v>
      </c>
      <c r="H1903" s="10" t="str">
        <f t="shared" si="29"/>
        <v>COSTOS</v>
      </c>
      <c r="I1903" s="19">
        <v>2025</v>
      </c>
    </row>
    <row r="1904" spans="1:9" hidden="1" x14ac:dyDescent="0.3">
      <c r="A1904" s="16" t="s">
        <v>137</v>
      </c>
      <c r="B1904" s="16" t="s">
        <v>38</v>
      </c>
      <c r="C1904" s="15">
        <v>3</v>
      </c>
      <c r="D1904" s="17">
        <v>50000</v>
      </c>
      <c r="E1904" s="17">
        <v>0</v>
      </c>
      <c r="F1904" s="17">
        <v>-50000</v>
      </c>
      <c r="G1904" s="18">
        <v>0</v>
      </c>
      <c r="H1904" s="10" t="str">
        <f t="shared" si="29"/>
        <v>COSTOS</v>
      </c>
      <c r="I1904" s="19">
        <v>2025</v>
      </c>
    </row>
    <row r="1905" spans="1:9" hidden="1" x14ac:dyDescent="0.3">
      <c r="A1905" s="16" t="s">
        <v>137</v>
      </c>
      <c r="B1905" s="16" t="s">
        <v>38</v>
      </c>
      <c r="C1905" s="15">
        <v>4</v>
      </c>
      <c r="D1905" s="17">
        <v>50000</v>
      </c>
      <c r="E1905" s="17">
        <v>205387</v>
      </c>
      <c r="F1905" s="17">
        <v>155387</v>
      </c>
      <c r="G1905" s="18">
        <v>4.1077399999999997</v>
      </c>
      <c r="H1905" s="10" t="str">
        <f t="shared" si="29"/>
        <v>COSTOS</v>
      </c>
      <c r="I1905" s="19">
        <v>2025</v>
      </c>
    </row>
    <row r="1906" spans="1:9" hidden="1" x14ac:dyDescent="0.3">
      <c r="A1906" s="16" t="s">
        <v>137</v>
      </c>
      <c r="B1906" s="16" t="s">
        <v>38</v>
      </c>
      <c r="C1906" s="15">
        <v>5</v>
      </c>
      <c r="D1906" s="17">
        <v>50000</v>
      </c>
      <c r="E1906" s="17">
        <v>2354851</v>
      </c>
      <c r="F1906" s="17">
        <v>2304851</v>
      </c>
      <c r="G1906" s="18">
        <v>47.097020000000001</v>
      </c>
      <c r="H1906" s="10" t="str">
        <f t="shared" si="29"/>
        <v>COSTOS</v>
      </c>
      <c r="I1906" s="19">
        <v>2025</v>
      </c>
    </row>
    <row r="1907" spans="1:9" hidden="1" x14ac:dyDescent="0.3">
      <c r="A1907" s="16" t="s">
        <v>137</v>
      </c>
      <c r="B1907" s="16" t="s">
        <v>38</v>
      </c>
      <c r="C1907" s="15">
        <v>6</v>
      </c>
      <c r="D1907" s="17">
        <v>50000</v>
      </c>
      <c r="E1907" s="17">
        <v>520702</v>
      </c>
      <c r="F1907" s="17">
        <v>470702</v>
      </c>
      <c r="G1907" s="18">
        <v>10.41404</v>
      </c>
      <c r="H1907" s="10" t="str">
        <f t="shared" si="29"/>
        <v>COSTOS</v>
      </c>
      <c r="I1907" s="19">
        <v>2025</v>
      </c>
    </row>
    <row r="1908" spans="1:9" hidden="1" x14ac:dyDescent="0.3">
      <c r="A1908" s="16" t="s">
        <v>137</v>
      </c>
      <c r="B1908" s="16" t="s">
        <v>38</v>
      </c>
      <c r="C1908" s="15">
        <v>7</v>
      </c>
      <c r="D1908" s="17">
        <v>50000</v>
      </c>
      <c r="E1908" s="17">
        <v>274218</v>
      </c>
      <c r="F1908" s="17">
        <v>224218</v>
      </c>
      <c r="G1908" s="18">
        <v>5.4843599999999997</v>
      </c>
      <c r="H1908" s="10" t="str">
        <f t="shared" si="29"/>
        <v>COSTOS</v>
      </c>
      <c r="I1908" s="19">
        <v>2025</v>
      </c>
    </row>
    <row r="1909" spans="1:9" hidden="1" x14ac:dyDescent="0.3">
      <c r="A1909" s="16" t="s">
        <v>137</v>
      </c>
      <c r="B1909" s="16" t="s">
        <v>38</v>
      </c>
      <c r="C1909" s="15">
        <v>8</v>
      </c>
      <c r="D1909" s="17">
        <v>50000</v>
      </c>
      <c r="E1909" s="17">
        <v>42020</v>
      </c>
      <c r="F1909" s="17">
        <v>-7980</v>
      </c>
      <c r="G1909" s="18">
        <v>0.84040000000000004</v>
      </c>
      <c r="H1909" s="10" t="str">
        <f t="shared" si="29"/>
        <v>COSTOS</v>
      </c>
      <c r="I1909" s="19">
        <v>2025</v>
      </c>
    </row>
    <row r="1910" spans="1:9" hidden="1" x14ac:dyDescent="0.3">
      <c r="A1910" s="16" t="s">
        <v>137</v>
      </c>
      <c r="B1910" s="16" t="s">
        <v>38</v>
      </c>
      <c r="C1910" s="15">
        <v>9</v>
      </c>
      <c r="D1910" s="17">
        <v>50000</v>
      </c>
      <c r="E1910" s="17">
        <v>0</v>
      </c>
      <c r="F1910" s="17">
        <v>-50000</v>
      </c>
      <c r="G1910" s="18">
        <v>0</v>
      </c>
      <c r="H1910" s="10" t="str">
        <f t="shared" si="29"/>
        <v>COSTOS</v>
      </c>
      <c r="I1910" s="19">
        <v>2025</v>
      </c>
    </row>
    <row r="1911" spans="1:9" hidden="1" x14ac:dyDescent="0.3">
      <c r="A1911" s="16" t="s">
        <v>137</v>
      </c>
      <c r="B1911" s="16" t="s">
        <v>38</v>
      </c>
      <c r="C1911" s="15">
        <v>10</v>
      </c>
      <c r="D1911" s="17">
        <v>50000</v>
      </c>
      <c r="E1911" s="17">
        <v>1221849</v>
      </c>
      <c r="F1911" s="17">
        <v>1171849</v>
      </c>
      <c r="G1911" s="18">
        <v>24.436979999999998</v>
      </c>
      <c r="H1911" s="10" t="str">
        <f t="shared" si="29"/>
        <v>COSTOS</v>
      </c>
      <c r="I1911" s="19">
        <v>2025</v>
      </c>
    </row>
    <row r="1912" spans="1:9" hidden="1" x14ac:dyDescent="0.3">
      <c r="A1912" s="16" t="s">
        <v>137</v>
      </c>
      <c r="B1912" s="16" t="s">
        <v>22</v>
      </c>
      <c r="C1912" s="15">
        <v>1</v>
      </c>
      <c r="D1912" s="17">
        <v>0</v>
      </c>
      <c r="E1912" s="17">
        <v>116600</v>
      </c>
      <c r="F1912" s="17">
        <v>116600</v>
      </c>
      <c r="G1912" s="18">
        <v>0</v>
      </c>
      <c r="H1912" s="10" t="str">
        <f t="shared" si="29"/>
        <v>COSTOS</v>
      </c>
      <c r="I1912" s="19">
        <v>2025</v>
      </c>
    </row>
    <row r="1913" spans="1:9" hidden="1" x14ac:dyDescent="0.3">
      <c r="A1913" s="16" t="s">
        <v>137</v>
      </c>
      <c r="B1913" s="16" t="s">
        <v>39</v>
      </c>
      <c r="C1913" s="15">
        <v>2</v>
      </c>
      <c r="D1913" s="17">
        <v>64250</v>
      </c>
      <c r="E1913" s="17">
        <v>0</v>
      </c>
      <c r="F1913" s="17">
        <v>-64250</v>
      </c>
      <c r="G1913" s="18">
        <v>0</v>
      </c>
      <c r="H1913" s="10" t="str">
        <f t="shared" si="29"/>
        <v>COSTOS</v>
      </c>
      <c r="I1913" s="19">
        <v>2025</v>
      </c>
    </row>
    <row r="1914" spans="1:9" hidden="1" x14ac:dyDescent="0.3">
      <c r="A1914" s="16" t="s">
        <v>137</v>
      </c>
      <c r="B1914" s="16" t="s">
        <v>39</v>
      </c>
      <c r="C1914" s="15">
        <v>3</v>
      </c>
      <c r="D1914" s="17">
        <v>64250</v>
      </c>
      <c r="E1914" s="17">
        <v>76458</v>
      </c>
      <c r="F1914" s="17">
        <v>12208</v>
      </c>
      <c r="G1914" s="18">
        <v>1.1900077821011674</v>
      </c>
      <c r="H1914" s="10" t="str">
        <f t="shared" si="29"/>
        <v>COSTOS</v>
      </c>
      <c r="I1914" s="19">
        <v>2025</v>
      </c>
    </row>
    <row r="1915" spans="1:9" hidden="1" x14ac:dyDescent="0.3">
      <c r="A1915" s="16" t="s">
        <v>137</v>
      </c>
      <c r="B1915" s="16" t="s">
        <v>39</v>
      </c>
      <c r="C1915" s="15">
        <v>4</v>
      </c>
      <c r="D1915" s="17">
        <v>64250</v>
      </c>
      <c r="E1915" s="17">
        <v>76458</v>
      </c>
      <c r="F1915" s="17">
        <v>12208</v>
      </c>
      <c r="G1915" s="18">
        <v>1.1900077821011674</v>
      </c>
      <c r="H1915" s="10" t="str">
        <f t="shared" si="29"/>
        <v>COSTOS</v>
      </c>
      <c r="I1915" s="19">
        <v>2025</v>
      </c>
    </row>
    <row r="1916" spans="1:9" hidden="1" x14ac:dyDescent="0.3">
      <c r="A1916" s="16" t="s">
        <v>137</v>
      </c>
      <c r="B1916" s="16" t="s">
        <v>39</v>
      </c>
      <c r="C1916" s="15">
        <v>5</v>
      </c>
      <c r="D1916" s="17">
        <v>95500</v>
      </c>
      <c r="E1916" s="17">
        <v>76458</v>
      </c>
      <c r="F1916" s="17">
        <v>-19042</v>
      </c>
      <c r="G1916" s="18">
        <v>0.80060732984293193</v>
      </c>
      <c r="H1916" s="10" t="str">
        <f t="shared" si="29"/>
        <v>COSTOS</v>
      </c>
      <c r="I1916" s="19">
        <v>2025</v>
      </c>
    </row>
    <row r="1917" spans="1:9" hidden="1" x14ac:dyDescent="0.3">
      <c r="A1917" s="16" t="s">
        <v>137</v>
      </c>
      <c r="B1917" s="16" t="s">
        <v>39</v>
      </c>
      <c r="C1917" s="15">
        <v>6</v>
      </c>
      <c r="D1917" s="17">
        <v>95500</v>
      </c>
      <c r="E1917" s="17">
        <v>76458</v>
      </c>
      <c r="F1917" s="17">
        <v>-19042</v>
      </c>
      <c r="G1917" s="18">
        <v>0.80060732984293193</v>
      </c>
      <c r="H1917" s="10" t="str">
        <f t="shared" si="29"/>
        <v>COSTOS</v>
      </c>
      <c r="I1917" s="19">
        <v>2025</v>
      </c>
    </row>
    <row r="1918" spans="1:9" hidden="1" x14ac:dyDescent="0.3">
      <c r="A1918" s="16" t="s">
        <v>137</v>
      </c>
      <c r="B1918" s="16" t="s">
        <v>39</v>
      </c>
      <c r="C1918" s="15">
        <v>7</v>
      </c>
      <c r="D1918" s="17">
        <v>95500</v>
      </c>
      <c r="E1918" s="17">
        <v>76458</v>
      </c>
      <c r="F1918" s="17">
        <v>-19042</v>
      </c>
      <c r="G1918" s="18">
        <v>0.80060732984293193</v>
      </c>
      <c r="H1918" s="10" t="str">
        <f t="shared" si="29"/>
        <v>COSTOS</v>
      </c>
      <c r="I1918" s="19">
        <v>2025</v>
      </c>
    </row>
    <row r="1919" spans="1:9" hidden="1" x14ac:dyDescent="0.3">
      <c r="A1919" s="16" t="s">
        <v>137</v>
      </c>
      <c r="B1919" s="16" t="s">
        <v>39</v>
      </c>
      <c r="C1919" s="15">
        <v>8</v>
      </c>
      <c r="D1919" s="17">
        <v>95500</v>
      </c>
      <c r="E1919" s="17">
        <v>109783</v>
      </c>
      <c r="F1919" s="17">
        <v>14283</v>
      </c>
      <c r="G1919" s="18">
        <v>1.1495602094240838</v>
      </c>
      <c r="H1919" s="10" t="str">
        <f t="shared" si="29"/>
        <v>COSTOS</v>
      </c>
      <c r="I1919" s="19">
        <v>2025</v>
      </c>
    </row>
    <row r="1920" spans="1:9" hidden="1" x14ac:dyDescent="0.3">
      <c r="A1920" s="16" t="s">
        <v>137</v>
      </c>
      <c r="B1920" s="16" t="s">
        <v>39</v>
      </c>
      <c r="C1920" s="15">
        <v>9</v>
      </c>
      <c r="D1920" s="17">
        <v>95500</v>
      </c>
      <c r="E1920" s="17">
        <v>109783</v>
      </c>
      <c r="F1920" s="17">
        <v>14283</v>
      </c>
      <c r="G1920" s="18">
        <v>1.1495602094240838</v>
      </c>
      <c r="H1920" s="10" t="str">
        <f t="shared" si="29"/>
        <v>COSTOS</v>
      </c>
      <c r="I1920" s="19">
        <v>2025</v>
      </c>
    </row>
    <row r="1921" spans="1:9" hidden="1" x14ac:dyDescent="0.3">
      <c r="A1921" s="16" t="s">
        <v>137</v>
      </c>
      <c r="B1921" s="16" t="s">
        <v>39</v>
      </c>
      <c r="C1921" s="15">
        <v>10</v>
      </c>
      <c r="D1921" s="17">
        <v>95500</v>
      </c>
      <c r="E1921" s="17">
        <v>109783</v>
      </c>
      <c r="F1921" s="17">
        <v>14283</v>
      </c>
      <c r="G1921" s="18">
        <v>1.1495602094240838</v>
      </c>
      <c r="H1921" s="10" t="str">
        <f t="shared" si="29"/>
        <v>COSTOS</v>
      </c>
      <c r="I1921" s="19">
        <v>2025</v>
      </c>
    </row>
    <row r="1922" spans="1:9" hidden="1" x14ac:dyDescent="0.3">
      <c r="A1922" s="16" t="s">
        <v>137</v>
      </c>
      <c r="B1922" s="16" t="s">
        <v>59</v>
      </c>
      <c r="C1922" s="15">
        <v>10</v>
      </c>
      <c r="D1922" s="17">
        <v>0</v>
      </c>
      <c r="E1922" s="17">
        <v>14286</v>
      </c>
      <c r="F1922" s="17">
        <v>14286</v>
      </c>
      <c r="G1922" s="18">
        <v>0</v>
      </c>
      <c r="H1922" s="10" t="str">
        <f t="shared" si="29"/>
        <v>COSTOS</v>
      </c>
      <c r="I1922" s="19">
        <v>2025</v>
      </c>
    </row>
    <row r="1923" spans="1:9" hidden="1" x14ac:dyDescent="0.3">
      <c r="A1923" s="16" t="s">
        <v>137</v>
      </c>
      <c r="B1923" s="16" t="s">
        <v>54</v>
      </c>
      <c r="C1923" s="15">
        <v>11</v>
      </c>
      <c r="D1923" s="17">
        <v>0</v>
      </c>
      <c r="E1923" s="17">
        <v>145900</v>
      </c>
      <c r="F1923" s="17">
        <v>145900</v>
      </c>
      <c r="G1923" s="18">
        <v>0</v>
      </c>
      <c r="H1923" s="10" t="str">
        <f t="shared" ref="H1923:H1986" si="30">+IF(OR(A1923="ADMINISTRACION",A1923="COMERCIAL",A1923="COMERCIAL-EXPORTACIONES",A1923="LEASING DE LA BODEGA",A1923="LOGISTICA-SALIDA",A1923="OTROS GASTOS",A1923="BODEGA ALQUILADA", A1923="BODEGA CARTOPLAST", A1923="BODEGA CARTOPLAS", A1923= "GESTION HUMANA-OTROS GASTOS"),"GASTOS","COSTOS")</f>
        <v>COSTOS</v>
      </c>
      <c r="I1923" s="19">
        <v>2025</v>
      </c>
    </row>
    <row r="1924" spans="1:9" hidden="1" x14ac:dyDescent="0.3">
      <c r="A1924" s="16" t="s">
        <v>137</v>
      </c>
      <c r="B1924" s="16" t="s">
        <v>38</v>
      </c>
      <c r="C1924" s="15">
        <v>11</v>
      </c>
      <c r="D1924" s="17">
        <v>50000</v>
      </c>
      <c r="E1924" s="17">
        <v>63866</v>
      </c>
      <c r="F1924" s="17">
        <v>13866</v>
      </c>
      <c r="G1924" s="18">
        <v>1.27732</v>
      </c>
      <c r="H1924" s="10" t="str">
        <f t="shared" si="30"/>
        <v>COSTOS</v>
      </c>
      <c r="I1924" s="19">
        <v>2025</v>
      </c>
    </row>
    <row r="1925" spans="1:9" hidden="1" x14ac:dyDescent="0.3">
      <c r="A1925" s="16" t="s">
        <v>137</v>
      </c>
      <c r="B1925" s="16" t="s">
        <v>39</v>
      </c>
      <c r="C1925" s="15">
        <v>11</v>
      </c>
      <c r="D1925" s="17">
        <v>95500</v>
      </c>
      <c r="E1925" s="17">
        <v>109783</v>
      </c>
      <c r="F1925" s="17">
        <v>14283</v>
      </c>
      <c r="G1925" s="18">
        <v>1.1495602094240838</v>
      </c>
      <c r="H1925" s="10" t="str">
        <f t="shared" si="30"/>
        <v>COSTOS</v>
      </c>
      <c r="I1925" s="19">
        <v>2025</v>
      </c>
    </row>
    <row r="1926" spans="1:9" hidden="1" x14ac:dyDescent="0.3">
      <c r="A1926" s="16" t="s">
        <v>137</v>
      </c>
      <c r="B1926" s="16" t="s">
        <v>54</v>
      </c>
      <c r="C1926" s="15">
        <v>12</v>
      </c>
      <c r="D1926" s="17">
        <v>0</v>
      </c>
      <c r="E1926" s="17">
        <v>450000</v>
      </c>
      <c r="F1926" s="17">
        <v>450000</v>
      </c>
      <c r="G1926" s="18">
        <v>0</v>
      </c>
      <c r="H1926" s="10" t="str">
        <f t="shared" si="30"/>
        <v>COSTOS</v>
      </c>
      <c r="I1926" s="19">
        <v>2025</v>
      </c>
    </row>
    <row r="1927" spans="1:9" hidden="1" x14ac:dyDescent="0.3">
      <c r="A1927" s="16" t="s">
        <v>137</v>
      </c>
      <c r="B1927" s="16" t="s">
        <v>38</v>
      </c>
      <c r="C1927" s="15">
        <v>12</v>
      </c>
      <c r="D1927" s="17">
        <v>50000</v>
      </c>
      <c r="E1927" s="17">
        <v>0</v>
      </c>
      <c r="F1927" s="17">
        <v>-50000</v>
      </c>
      <c r="G1927" s="18">
        <v>0</v>
      </c>
      <c r="H1927" s="10" t="str">
        <f t="shared" si="30"/>
        <v>COSTOS</v>
      </c>
      <c r="I1927" s="19">
        <v>2025</v>
      </c>
    </row>
    <row r="1928" spans="1:9" hidden="1" x14ac:dyDescent="0.3">
      <c r="A1928" s="16" t="s">
        <v>137</v>
      </c>
      <c r="B1928" s="16" t="s">
        <v>39</v>
      </c>
      <c r="C1928" s="15">
        <v>12</v>
      </c>
      <c r="D1928" s="17">
        <v>95500</v>
      </c>
      <c r="E1928" s="17">
        <v>109783</v>
      </c>
      <c r="F1928" s="17">
        <v>14283</v>
      </c>
      <c r="G1928" s="18">
        <v>1.1495602094240838</v>
      </c>
      <c r="H1928" s="10" t="str">
        <f t="shared" si="30"/>
        <v>COSTOS</v>
      </c>
      <c r="I1928" s="19">
        <v>2025</v>
      </c>
    </row>
    <row r="1929" spans="1:9" hidden="1" x14ac:dyDescent="0.3">
      <c r="A1929" s="16" t="s">
        <v>138</v>
      </c>
      <c r="B1929" s="16" t="s">
        <v>16</v>
      </c>
      <c r="C1929" s="15">
        <v>2</v>
      </c>
      <c r="D1929" s="17">
        <v>0</v>
      </c>
      <c r="E1929" s="17">
        <v>18000</v>
      </c>
      <c r="F1929" s="17">
        <v>18000</v>
      </c>
      <c r="G1929" s="18">
        <v>0</v>
      </c>
      <c r="H1929" s="10" t="str">
        <f t="shared" si="30"/>
        <v>COSTOS</v>
      </c>
      <c r="I1929" s="19">
        <v>2025</v>
      </c>
    </row>
    <row r="1930" spans="1:9" hidden="1" x14ac:dyDescent="0.3">
      <c r="A1930" s="16" t="s">
        <v>138</v>
      </c>
      <c r="B1930" s="16" t="s">
        <v>54</v>
      </c>
      <c r="C1930" s="15">
        <v>3</v>
      </c>
      <c r="D1930" s="17">
        <v>5844000</v>
      </c>
      <c r="E1930" s="17">
        <v>0</v>
      </c>
      <c r="F1930" s="17">
        <v>-5844000</v>
      </c>
      <c r="G1930" s="18">
        <v>0</v>
      </c>
      <c r="H1930" s="10" t="str">
        <f t="shared" si="30"/>
        <v>COSTOS</v>
      </c>
      <c r="I1930" s="19">
        <v>2025</v>
      </c>
    </row>
    <row r="1931" spans="1:9" hidden="1" x14ac:dyDescent="0.3">
      <c r="A1931" s="16" t="s">
        <v>138</v>
      </c>
      <c r="B1931" s="16" t="s">
        <v>38</v>
      </c>
      <c r="C1931" s="15">
        <v>1</v>
      </c>
      <c r="D1931" s="17">
        <v>1450000</v>
      </c>
      <c r="E1931" s="17">
        <v>2566294</v>
      </c>
      <c r="F1931" s="17">
        <v>1116294</v>
      </c>
      <c r="G1931" s="18">
        <v>1.7698579310344829</v>
      </c>
      <c r="H1931" s="10" t="str">
        <f t="shared" si="30"/>
        <v>COSTOS</v>
      </c>
      <c r="I1931" s="19">
        <v>2025</v>
      </c>
    </row>
    <row r="1932" spans="1:9" hidden="1" x14ac:dyDescent="0.3">
      <c r="A1932" s="16" t="s">
        <v>138</v>
      </c>
      <c r="B1932" s="16" t="s">
        <v>38</v>
      </c>
      <c r="C1932" s="15">
        <v>2</v>
      </c>
      <c r="D1932" s="17">
        <v>1450000</v>
      </c>
      <c r="E1932" s="17">
        <v>1460000</v>
      </c>
      <c r="F1932" s="17">
        <v>10000</v>
      </c>
      <c r="G1932" s="18">
        <v>1.0068965517241379</v>
      </c>
      <c r="H1932" s="10" t="str">
        <f t="shared" si="30"/>
        <v>COSTOS</v>
      </c>
      <c r="I1932" s="19">
        <v>2025</v>
      </c>
    </row>
    <row r="1933" spans="1:9" hidden="1" x14ac:dyDescent="0.3">
      <c r="A1933" s="16" t="s">
        <v>138</v>
      </c>
      <c r="B1933" s="16" t="s">
        <v>38</v>
      </c>
      <c r="C1933" s="15">
        <v>3</v>
      </c>
      <c r="D1933" s="17">
        <v>1450000</v>
      </c>
      <c r="E1933" s="17">
        <v>5042125</v>
      </c>
      <c r="F1933" s="17">
        <v>3592125</v>
      </c>
      <c r="G1933" s="18">
        <v>3.4773275862068966</v>
      </c>
      <c r="H1933" s="10" t="str">
        <f t="shared" si="30"/>
        <v>COSTOS</v>
      </c>
      <c r="I1933" s="19">
        <v>2025</v>
      </c>
    </row>
    <row r="1934" spans="1:9" hidden="1" x14ac:dyDescent="0.3">
      <c r="A1934" s="16" t="s">
        <v>138</v>
      </c>
      <c r="B1934" s="16" t="s">
        <v>38</v>
      </c>
      <c r="C1934" s="15">
        <v>4</v>
      </c>
      <c r="D1934" s="17">
        <v>1450000</v>
      </c>
      <c r="E1934" s="17">
        <v>10763960</v>
      </c>
      <c r="F1934" s="17">
        <v>9313960</v>
      </c>
      <c r="G1934" s="18">
        <v>7.4234206896551731</v>
      </c>
      <c r="H1934" s="10" t="str">
        <f t="shared" si="30"/>
        <v>COSTOS</v>
      </c>
      <c r="I1934" s="19">
        <v>2025</v>
      </c>
    </row>
    <row r="1935" spans="1:9" hidden="1" x14ac:dyDescent="0.3">
      <c r="A1935" s="16" t="s">
        <v>138</v>
      </c>
      <c r="B1935" s="16" t="s">
        <v>38</v>
      </c>
      <c r="C1935" s="15">
        <v>5</v>
      </c>
      <c r="D1935" s="17">
        <v>1450000</v>
      </c>
      <c r="E1935" s="17">
        <v>5004060</v>
      </c>
      <c r="F1935" s="17">
        <v>3554060</v>
      </c>
      <c r="G1935" s="18">
        <v>3.4510758620689659</v>
      </c>
      <c r="H1935" s="10" t="str">
        <f t="shared" si="30"/>
        <v>COSTOS</v>
      </c>
      <c r="I1935" s="19">
        <v>2025</v>
      </c>
    </row>
    <row r="1936" spans="1:9" hidden="1" x14ac:dyDescent="0.3">
      <c r="A1936" s="16" t="s">
        <v>138</v>
      </c>
      <c r="B1936" s="16" t="s">
        <v>38</v>
      </c>
      <c r="C1936" s="15">
        <v>6</v>
      </c>
      <c r="D1936" s="17">
        <v>1450000</v>
      </c>
      <c r="E1936" s="17">
        <v>1854000</v>
      </c>
      <c r="F1936" s="17">
        <v>404000</v>
      </c>
      <c r="G1936" s="18">
        <v>1.2786206896551724</v>
      </c>
      <c r="H1936" s="10" t="str">
        <f t="shared" si="30"/>
        <v>COSTOS</v>
      </c>
      <c r="I1936" s="19">
        <v>2025</v>
      </c>
    </row>
    <row r="1937" spans="1:9" hidden="1" x14ac:dyDescent="0.3">
      <c r="A1937" s="16" t="s">
        <v>138</v>
      </c>
      <c r="B1937" s="16" t="s">
        <v>38</v>
      </c>
      <c r="C1937" s="15">
        <v>7</v>
      </c>
      <c r="D1937" s="17">
        <v>1450000</v>
      </c>
      <c r="E1937" s="17">
        <v>53344</v>
      </c>
      <c r="F1937" s="17">
        <v>-1396656</v>
      </c>
      <c r="G1937" s="18">
        <v>3.6788965517241382E-2</v>
      </c>
      <c r="H1937" s="10" t="str">
        <f t="shared" si="30"/>
        <v>COSTOS</v>
      </c>
      <c r="I1937" s="19">
        <v>2025</v>
      </c>
    </row>
    <row r="1938" spans="1:9" hidden="1" x14ac:dyDescent="0.3">
      <c r="A1938" s="16" t="s">
        <v>138</v>
      </c>
      <c r="B1938" s="16" t="s">
        <v>38</v>
      </c>
      <c r="C1938" s="15">
        <v>8</v>
      </c>
      <c r="D1938" s="17">
        <v>1450000</v>
      </c>
      <c r="E1938" s="17">
        <v>0</v>
      </c>
      <c r="F1938" s="17">
        <v>-1450000</v>
      </c>
      <c r="G1938" s="18">
        <v>0</v>
      </c>
      <c r="H1938" s="10" t="str">
        <f t="shared" si="30"/>
        <v>COSTOS</v>
      </c>
      <c r="I1938" s="19">
        <v>2025</v>
      </c>
    </row>
    <row r="1939" spans="1:9" hidden="1" x14ac:dyDescent="0.3">
      <c r="A1939" s="16" t="s">
        <v>138</v>
      </c>
      <c r="B1939" s="16" t="s">
        <v>38</v>
      </c>
      <c r="C1939" s="15">
        <v>9</v>
      </c>
      <c r="D1939" s="17">
        <v>1450000</v>
      </c>
      <c r="E1939" s="17">
        <v>0</v>
      </c>
      <c r="F1939" s="17">
        <v>-1450000</v>
      </c>
      <c r="G1939" s="18">
        <v>0</v>
      </c>
      <c r="H1939" s="10" t="str">
        <f t="shared" si="30"/>
        <v>COSTOS</v>
      </c>
      <c r="I1939" s="19">
        <v>2025</v>
      </c>
    </row>
    <row r="1940" spans="1:9" hidden="1" x14ac:dyDescent="0.3">
      <c r="A1940" s="16" t="s">
        <v>138</v>
      </c>
      <c r="B1940" s="16" t="s">
        <v>38</v>
      </c>
      <c r="C1940" s="15">
        <v>10</v>
      </c>
      <c r="D1940" s="17">
        <v>1450000</v>
      </c>
      <c r="E1940" s="17">
        <v>10658000</v>
      </c>
      <c r="F1940" s="17">
        <v>9208000</v>
      </c>
      <c r="G1940" s="18">
        <v>7.3503448275862073</v>
      </c>
      <c r="H1940" s="10" t="str">
        <f t="shared" si="30"/>
        <v>COSTOS</v>
      </c>
      <c r="I1940" s="19">
        <v>2025</v>
      </c>
    </row>
    <row r="1941" spans="1:9" hidden="1" x14ac:dyDescent="0.3">
      <c r="A1941" s="16" t="s">
        <v>138</v>
      </c>
      <c r="B1941" s="16" t="s">
        <v>39</v>
      </c>
      <c r="C1941" s="15">
        <v>3</v>
      </c>
      <c r="D1941" s="17">
        <v>142222</v>
      </c>
      <c r="E1941" s="17">
        <v>0</v>
      </c>
      <c r="F1941" s="17">
        <v>-142222</v>
      </c>
      <c r="G1941" s="18">
        <v>0</v>
      </c>
      <c r="H1941" s="10" t="str">
        <f t="shared" si="30"/>
        <v>COSTOS</v>
      </c>
      <c r="I1941" s="19">
        <v>2025</v>
      </c>
    </row>
    <row r="1942" spans="1:9" hidden="1" x14ac:dyDescent="0.3">
      <c r="A1942" s="16" t="s">
        <v>138</v>
      </c>
      <c r="B1942" s="16" t="s">
        <v>39</v>
      </c>
      <c r="C1942" s="15">
        <v>4</v>
      </c>
      <c r="D1942" s="17">
        <v>142222</v>
      </c>
      <c r="E1942" s="17">
        <v>0</v>
      </c>
      <c r="F1942" s="17">
        <v>-142222</v>
      </c>
      <c r="G1942" s="18">
        <v>0</v>
      </c>
      <c r="H1942" s="10" t="str">
        <f t="shared" si="30"/>
        <v>COSTOS</v>
      </c>
      <c r="I1942" s="19">
        <v>2025</v>
      </c>
    </row>
    <row r="1943" spans="1:9" hidden="1" x14ac:dyDescent="0.3">
      <c r="A1943" s="16" t="s">
        <v>138</v>
      </c>
      <c r="B1943" s="16" t="s">
        <v>39</v>
      </c>
      <c r="C1943" s="15">
        <v>5</v>
      </c>
      <c r="D1943" s="17">
        <v>142222</v>
      </c>
      <c r="E1943" s="17">
        <v>0</v>
      </c>
      <c r="F1943" s="17">
        <v>-142222</v>
      </c>
      <c r="G1943" s="18">
        <v>0</v>
      </c>
      <c r="H1943" s="10" t="str">
        <f t="shared" si="30"/>
        <v>COSTOS</v>
      </c>
      <c r="I1943" s="19">
        <v>2025</v>
      </c>
    </row>
    <row r="1944" spans="1:9" hidden="1" x14ac:dyDescent="0.3">
      <c r="A1944" s="16" t="s">
        <v>138</v>
      </c>
      <c r="B1944" s="16" t="s">
        <v>39</v>
      </c>
      <c r="C1944" s="15">
        <v>6</v>
      </c>
      <c r="D1944" s="17">
        <v>142222</v>
      </c>
      <c r="E1944" s="17">
        <v>0</v>
      </c>
      <c r="F1944" s="17">
        <v>-142222</v>
      </c>
      <c r="G1944" s="18">
        <v>0</v>
      </c>
      <c r="H1944" s="10" t="str">
        <f t="shared" si="30"/>
        <v>COSTOS</v>
      </c>
      <c r="I1944" s="19">
        <v>2025</v>
      </c>
    </row>
    <row r="1945" spans="1:9" hidden="1" x14ac:dyDescent="0.3">
      <c r="A1945" s="16" t="s">
        <v>138</v>
      </c>
      <c r="B1945" s="16" t="s">
        <v>39</v>
      </c>
      <c r="C1945" s="15">
        <v>7</v>
      </c>
      <c r="D1945" s="17">
        <v>267222</v>
      </c>
      <c r="E1945" s="17">
        <v>0</v>
      </c>
      <c r="F1945" s="17">
        <v>-267222</v>
      </c>
      <c r="G1945" s="18">
        <v>0</v>
      </c>
      <c r="H1945" s="10" t="str">
        <f t="shared" si="30"/>
        <v>COSTOS</v>
      </c>
      <c r="I1945" s="19">
        <v>2025</v>
      </c>
    </row>
    <row r="1946" spans="1:9" hidden="1" x14ac:dyDescent="0.3">
      <c r="A1946" s="16" t="s">
        <v>138</v>
      </c>
      <c r="B1946" s="16" t="s">
        <v>39</v>
      </c>
      <c r="C1946" s="15">
        <v>8</v>
      </c>
      <c r="D1946" s="17">
        <v>267222</v>
      </c>
      <c r="E1946" s="17">
        <v>163666</v>
      </c>
      <c r="F1946" s="17">
        <v>-103556</v>
      </c>
      <c r="G1946" s="18">
        <v>0.61247202700376469</v>
      </c>
      <c r="H1946" s="10" t="str">
        <f t="shared" si="30"/>
        <v>COSTOS</v>
      </c>
      <c r="I1946" s="19">
        <v>2025</v>
      </c>
    </row>
    <row r="1947" spans="1:9" hidden="1" x14ac:dyDescent="0.3">
      <c r="A1947" s="16" t="s">
        <v>138</v>
      </c>
      <c r="B1947" s="16" t="s">
        <v>39</v>
      </c>
      <c r="C1947" s="15">
        <v>9</v>
      </c>
      <c r="D1947" s="17">
        <v>267222</v>
      </c>
      <c r="E1947" s="17">
        <v>163666</v>
      </c>
      <c r="F1947" s="17">
        <v>-103556</v>
      </c>
      <c r="G1947" s="18">
        <v>0.61247202700376469</v>
      </c>
      <c r="H1947" s="10" t="str">
        <f t="shared" si="30"/>
        <v>COSTOS</v>
      </c>
      <c r="I1947" s="19">
        <v>2025</v>
      </c>
    </row>
    <row r="1948" spans="1:9" hidden="1" x14ac:dyDescent="0.3">
      <c r="A1948" s="16" t="s">
        <v>138</v>
      </c>
      <c r="B1948" s="16" t="s">
        <v>39</v>
      </c>
      <c r="C1948" s="15">
        <v>10</v>
      </c>
      <c r="D1948" s="17">
        <v>267222</v>
      </c>
      <c r="E1948" s="17">
        <v>163666</v>
      </c>
      <c r="F1948" s="17">
        <v>-103556</v>
      </c>
      <c r="G1948" s="18">
        <v>0.61247202700376469</v>
      </c>
      <c r="H1948" s="10" t="str">
        <f t="shared" si="30"/>
        <v>COSTOS</v>
      </c>
      <c r="I1948" s="19">
        <v>2025</v>
      </c>
    </row>
    <row r="1949" spans="1:9" hidden="1" x14ac:dyDescent="0.3">
      <c r="A1949" s="16" t="s">
        <v>138</v>
      </c>
      <c r="B1949" s="16" t="s">
        <v>59</v>
      </c>
      <c r="C1949" s="15">
        <v>1</v>
      </c>
      <c r="D1949" s="17">
        <v>1500000</v>
      </c>
      <c r="E1949" s="17">
        <v>0</v>
      </c>
      <c r="F1949" s="17">
        <v>-1500000</v>
      </c>
      <c r="G1949" s="18">
        <v>0</v>
      </c>
      <c r="H1949" s="10" t="str">
        <f t="shared" si="30"/>
        <v>COSTOS</v>
      </c>
      <c r="I1949" s="19">
        <v>2025</v>
      </c>
    </row>
    <row r="1950" spans="1:9" hidden="1" x14ac:dyDescent="0.3">
      <c r="A1950" s="16" t="s">
        <v>138</v>
      </c>
      <c r="B1950" s="16" t="s">
        <v>59</v>
      </c>
      <c r="C1950" s="15">
        <v>2</v>
      </c>
      <c r="D1950" s="17">
        <v>1500000</v>
      </c>
      <c r="E1950" s="17">
        <v>0</v>
      </c>
      <c r="F1950" s="17">
        <v>-1500000</v>
      </c>
      <c r="G1950" s="18">
        <v>0</v>
      </c>
      <c r="H1950" s="10" t="str">
        <f t="shared" si="30"/>
        <v>COSTOS</v>
      </c>
      <c r="I1950" s="19">
        <v>2025</v>
      </c>
    </row>
    <row r="1951" spans="1:9" hidden="1" x14ac:dyDescent="0.3">
      <c r="A1951" s="16" t="s">
        <v>138</v>
      </c>
      <c r="B1951" s="16" t="s">
        <v>59</v>
      </c>
      <c r="C1951" s="15">
        <v>3</v>
      </c>
      <c r="D1951" s="17">
        <v>1500000</v>
      </c>
      <c r="E1951" s="17">
        <v>0</v>
      </c>
      <c r="F1951" s="17">
        <v>-1500000</v>
      </c>
      <c r="G1951" s="18">
        <v>0</v>
      </c>
      <c r="H1951" s="10" t="str">
        <f t="shared" si="30"/>
        <v>COSTOS</v>
      </c>
      <c r="I1951" s="19">
        <v>2025</v>
      </c>
    </row>
    <row r="1952" spans="1:9" hidden="1" x14ac:dyDescent="0.3">
      <c r="A1952" s="16" t="s">
        <v>138</v>
      </c>
      <c r="B1952" s="16" t="s">
        <v>59</v>
      </c>
      <c r="C1952" s="15">
        <v>4</v>
      </c>
      <c r="D1952" s="17">
        <v>1500000</v>
      </c>
      <c r="E1952" s="17">
        <v>0</v>
      </c>
      <c r="F1952" s="17">
        <v>-1500000</v>
      </c>
      <c r="G1952" s="18">
        <v>0</v>
      </c>
      <c r="H1952" s="10" t="str">
        <f t="shared" si="30"/>
        <v>COSTOS</v>
      </c>
      <c r="I1952" s="19">
        <v>2025</v>
      </c>
    </row>
    <row r="1953" spans="1:9" hidden="1" x14ac:dyDescent="0.3">
      <c r="A1953" s="16" t="s">
        <v>138</v>
      </c>
      <c r="B1953" s="16" t="s">
        <v>59</v>
      </c>
      <c r="C1953" s="15">
        <v>5</v>
      </c>
      <c r="D1953" s="17">
        <v>1500000</v>
      </c>
      <c r="E1953" s="17">
        <v>0</v>
      </c>
      <c r="F1953" s="17">
        <v>-1500000</v>
      </c>
      <c r="G1953" s="18">
        <v>0</v>
      </c>
      <c r="H1953" s="10" t="str">
        <f t="shared" si="30"/>
        <v>COSTOS</v>
      </c>
      <c r="I1953" s="19">
        <v>2025</v>
      </c>
    </row>
    <row r="1954" spans="1:9" hidden="1" x14ac:dyDescent="0.3">
      <c r="A1954" s="16" t="s">
        <v>138</v>
      </c>
      <c r="B1954" s="16" t="s">
        <v>59</v>
      </c>
      <c r="C1954" s="15">
        <v>6</v>
      </c>
      <c r="D1954" s="17">
        <v>1500000</v>
      </c>
      <c r="E1954" s="17">
        <v>0</v>
      </c>
      <c r="F1954" s="17">
        <v>-1500000</v>
      </c>
      <c r="G1954" s="18">
        <v>0</v>
      </c>
      <c r="H1954" s="10" t="str">
        <f t="shared" si="30"/>
        <v>COSTOS</v>
      </c>
      <c r="I1954" s="19">
        <v>2025</v>
      </c>
    </row>
    <row r="1955" spans="1:9" hidden="1" x14ac:dyDescent="0.3">
      <c r="A1955" s="16" t="s">
        <v>138</v>
      </c>
      <c r="B1955" s="16" t="s">
        <v>59</v>
      </c>
      <c r="C1955" s="15">
        <v>7</v>
      </c>
      <c r="D1955" s="17">
        <v>1500000</v>
      </c>
      <c r="E1955" s="17">
        <v>1475000</v>
      </c>
      <c r="F1955" s="17">
        <v>-25000</v>
      </c>
      <c r="G1955" s="18">
        <v>0.98333333333333339</v>
      </c>
      <c r="H1955" s="10" t="str">
        <f t="shared" si="30"/>
        <v>COSTOS</v>
      </c>
      <c r="I1955" s="19">
        <v>2025</v>
      </c>
    </row>
    <row r="1956" spans="1:9" hidden="1" x14ac:dyDescent="0.3">
      <c r="A1956" s="16" t="s">
        <v>138</v>
      </c>
      <c r="B1956" s="16" t="s">
        <v>59</v>
      </c>
      <c r="C1956" s="15">
        <v>8</v>
      </c>
      <c r="D1956" s="17">
        <v>1500000</v>
      </c>
      <c r="E1956" s="17">
        <v>287058</v>
      </c>
      <c r="F1956" s="17">
        <v>-1212942</v>
      </c>
      <c r="G1956" s="18">
        <v>0.19137199999999999</v>
      </c>
      <c r="H1956" s="10" t="str">
        <f t="shared" si="30"/>
        <v>COSTOS</v>
      </c>
      <c r="I1956" s="19">
        <v>2025</v>
      </c>
    </row>
    <row r="1957" spans="1:9" hidden="1" x14ac:dyDescent="0.3">
      <c r="A1957" s="16" t="s">
        <v>138</v>
      </c>
      <c r="B1957" s="16" t="s">
        <v>59</v>
      </c>
      <c r="C1957" s="15">
        <v>9</v>
      </c>
      <c r="D1957" s="17">
        <v>1500000</v>
      </c>
      <c r="E1957" s="17">
        <v>0</v>
      </c>
      <c r="F1957" s="17">
        <v>-1500000</v>
      </c>
      <c r="G1957" s="18">
        <v>0</v>
      </c>
      <c r="H1957" s="10" t="str">
        <f t="shared" si="30"/>
        <v>COSTOS</v>
      </c>
      <c r="I1957" s="19">
        <v>2025</v>
      </c>
    </row>
    <row r="1958" spans="1:9" hidden="1" x14ac:dyDescent="0.3">
      <c r="A1958" s="16" t="s">
        <v>138</v>
      </c>
      <c r="B1958" s="16" t="s">
        <v>59</v>
      </c>
      <c r="C1958" s="15">
        <v>10</v>
      </c>
      <c r="D1958" s="17">
        <v>1500000</v>
      </c>
      <c r="E1958" s="17">
        <v>0</v>
      </c>
      <c r="F1958" s="17">
        <v>-1500000</v>
      </c>
      <c r="G1958" s="18">
        <v>0</v>
      </c>
      <c r="H1958" s="10" t="str">
        <f t="shared" si="30"/>
        <v>COSTOS</v>
      </c>
      <c r="I1958" s="19">
        <v>2025</v>
      </c>
    </row>
    <row r="1959" spans="1:9" hidden="1" x14ac:dyDescent="0.3">
      <c r="A1959" s="16" t="s">
        <v>138</v>
      </c>
      <c r="B1959" s="16" t="s">
        <v>38</v>
      </c>
      <c r="C1959" s="15">
        <v>11</v>
      </c>
      <c r="D1959" s="17">
        <v>1450000</v>
      </c>
      <c r="E1959" s="17">
        <v>505000</v>
      </c>
      <c r="F1959" s="17">
        <v>-945000</v>
      </c>
      <c r="G1959" s="18">
        <v>0.34827586206896555</v>
      </c>
      <c r="H1959" s="10" t="str">
        <f t="shared" si="30"/>
        <v>COSTOS</v>
      </c>
      <c r="I1959" s="19">
        <v>2025</v>
      </c>
    </row>
    <row r="1960" spans="1:9" hidden="1" x14ac:dyDescent="0.3">
      <c r="A1960" s="16" t="s">
        <v>138</v>
      </c>
      <c r="B1960" s="16" t="s">
        <v>39</v>
      </c>
      <c r="C1960" s="15">
        <v>11</v>
      </c>
      <c r="D1960" s="17">
        <v>267222</v>
      </c>
      <c r="E1960" s="17">
        <v>163666</v>
      </c>
      <c r="F1960" s="17">
        <v>-103556</v>
      </c>
      <c r="G1960" s="18">
        <v>0.61247202700376469</v>
      </c>
      <c r="H1960" s="10" t="str">
        <f t="shared" si="30"/>
        <v>COSTOS</v>
      </c>
      <c r="I1960" s="19">
        <v>2025</v>
      </c>
    </row>
    <row r="1961" spans="1:9" hidden="1" x14ac:dyDescent="0.3">
      <c r="A1961" s="16" t="s">
        <v>138</v>
      </c>
      <c r="B1961" s="16" t="s">
        <v>59</v>
      </c>
      <c r="C1961" s="15">
        <v>11</v>
      </c>
      <c r="D1961" s="17">
        <v>1500000</v>
      </c>
      <c r="E1961" s="17">
        <v>0</v>
      </c>
      <c r="F1961" s="17">
        <v>-1500000</v>
      </c>
      <c r="G1961" s="18">
        <v>0</v>
      </c>
      <c r="H1961" s="10" t="str">
        <f t="shared" si="30"/>
        <v>COSTOS</v>
      </c>
      <c r="I1961" s="19">
        <v>2025</v>
      </c>
    </row>
    <row r="1962" spans="1:9" hidden="1" x14ac:dyDescent="0.3">
      <c r="A1962" s="16" t="s">
        <v>138</v>
      </c>
      <c r="B1962" s="16" t="s">
        <v>38</v>
      </c>
      <c r="C1962" s="15">
        <v>12</v>
      </c>
      <c r="D1962" s="17">
        <v>1450000</v>
      </c>
      <c r="E1962" s="17">
        <v>10747000</v>
      </c>
      <c r="F1962" s="17">
        <v>9297000</v>
      </c>
      <c r="G1962" s="18">
        <v>7.411724137931035</v>
      </c>
      <c r="H1962" s="10" t="str">
        <f t="shared" si="30"/>
        <v>COSTOS</v>
      </c>
      <c r="I1962" s="19">
        <v>2025</v>
      </c>
    </row>
    <row r="1963" spans="1:9" hidden="1" x14ac:dyDescent="0.3">
      <c r="A1963" s="16" t="s">
        <v>138</v>
      </c>
      <c r="B1963" s="16" t="s">
        <v>39</v>
      </c>
      <c r="C1963" s="15">
        <v>12</v>
      </c>
      <c r="D1963" s="17">
        <v>267222</v>
      </c>
      <c r="E1963" s="17">
        <v>163666</v>
      </c>
      <c r="F1963" s="17">
        <v>-103556</v>
      </c>
      <c r="G1963" s="18">
        <v>0.61247202700376469</v>
      </c>
      <c r="H1963" s="10" t="str">
        <f t="shared" si="30"/>
        <v>COSTOS</v>
      </c>
      <c r="I1963" s="19">
        <v>2025</v>
      </c>
    </row>
    <row r="1964" spans="1:9" hidden="1" x14ac:dyDescent="0.3">
      <c r="A1964" s="16" t="s">
        <v>138</v>
      </c>
      <c r="B1964" s="16" t="s">
        <v>59</v>
      </c>
      <c r="C1964" s="15">
        <v>12</v>
      </c>
      <c r="D1964" s="17">
        <v>1500000</v>
      </c>
      <c r="E1964" s="17">
        <v>0</v>
      </c>
      <c r="F1964" s="17">
        <v>-1500000</v>
      </c>
      <c r="G1964" s="18">
        <v>0</v>
      </c>
      <c r="H1964" s="10" t="str">
        <f t="shared" si="30"/>
        <v>COSTOS</v>
      </c>
      <c r="I1964" s="19">
        <v>2025</v>
      </c>
    </row>
    <row r="1965" spans="1:9" hidden="1" x14ac:dyDescent="0.3">
      <c r="A1965" s="16" t="s">
        <v>139</v>
      </c>
      <c r="B1965" s="16" t="s">
        <v>16</v>
      </c>
      <c r="C1965" s="15">
        <v>1</v>
      </c>
      <c r="D1965" s="17">
        <v>738100</v>
      </c>
      <c r="E1965" s="17">
        <v>0</v>
      </c>
      <c r="F1965" s="17">
        <v>-738100</v>
      </c>
      <c r="G1965" s="18">
        <v>0</v>
      </c>
      <c r="H1965" s="10" t="str">
        <f t="shared" si="30"/>
        <v>COSTOS</v>
      </c>
      <c r="I1965" s="19">
        <v>2025</v>
      </c>
    </row>
    <row r="1966" spans="1:9" hidden="1" x14ac:dyDescent="0.3">
      <c r="A1966" s="16" t="s">
        <v>139</v>
      </c>
      <c r="B1966" s="16" t="s">
        <v>16</v>
      </c>
      <c r="C1966" s="15">
        <v>2</v>
      </c>
      <c r="D1966" s="17">
        <v>738100</v>
      </c>
      <c r="E1966" s="17">
        <v>0</v>
      </c>
      <c r="F1966" s="17">
        <v>-738100</v>
      </c>
      <c r="G1966" s="18">
        <v>0</v>
      </c>
      <c r="H1966" s="10" t="str">
        <f t="shared" si="30"/>
        <v>COSTOS</v>
      </c>
      <c r="I1966" s="19">
        <v>2025</v>
      </c>
    </row>
    <row r="1967" spans="1:9" hidden="1" x14ac:dyDescent="0.3">
      <c r="A1967" s="16" t="s">
        <v>139</v>
      </c>
      <c r="B1967" s="16" t="s">
        <v>16</v>
      </c>
      <c r="C1967" s="15">
        <v>3</v>
      </c>
      <c r="D1967" s="17">
        <v>738100</v>
      </c>
      <c r="E1967" s="17">
        <v>8190321</v>
      </c>
      <c r="F1967" s="17">
        <v>7452221</v>
      </c>
      <c r="G1967" s="18">
        <v>11.096492345210676</v>
      </c>
      <c r="H1967" s="10" t="str">
        <f t="shared" si="30"/>
        <v>COSTOS</v>
      </c>
      <c r="I1967" s="19">
        <v>2025</v>
      </c>
    </row>
    <row r="1968" spans="1:9" hidden="1" x14ac:dyDescent="0.3">
      <c r="A1968" s="16" t="s">
        <v>139</v>
      </c>
      <c r="B1968" s="16" t="s">
        <v>16</v>
      </c>
      <c r="C1968" s="15">
        <v>4</v>
      </c>
      <c r="D1968" s="17">
        <v>738100</v>
      </c>
      <c r="E1968" s="17">
        <v>0</v>
      </c>
      <c r="F1968" s="17">
        <v>-738100</v>
      </c>
      <c r="G1968" s="18">
        <v>0</v>
      </c>
      <c r="H1968" s="10" t="str">
        <f t="shared" si="30"/>
        <v>COSTOS</v>
      </c>
      <c r="I1968" s="19">
        <v>2025</v>
      </c>
    </row>
    <row r="1969" spans="1:9" hidden="1" x14ac:dyDescent="0.3">
      <c r="A1969" s="16" t="s">
        <v>139</v>
      </c>
      <c r="B1969" s="16" t="s">
        <v>16</v>
      </c>
      <c r="C1969" s="15">
        <v>5</v>
      </c>
      <c r="D1969" s="17">
        <v>738100</v>
      </c>
      <c r="E1969" s="17">
        <v>0</v>
      </c>
      <c r="F1969" s="17">
        <v>-738100</v>
      </c>
      <c r="G1969" s="18">
        <v>0</v>
      </c>
      <c r="H1969" s="10" t="str">
        <f t="shared" si="30"/>
        <v>COSTOS</v>
      </c>
      <c r="I1969" s="19">
        <v>2025</v>
      </c>
    </row>
    <row r="1970" spans="1:9" hidden="1" x14ac:dyDescent="0.3">
      <c r="A1970" s="16" t="s">
        <v>139</v>
      </c>
      <c r="B1970" s="16" t="s">
        <v>16</v>
      </c>
      <c r="C1970" s="15">
        <v>6</v>
      </c>
      <c r="D1970" s="17">
        <v>738100</v>
      </c>
      <c r="E1970" s="17">
        <v>0</v>
      </c>
      <c r="F1970" s="17">
        <v>-738100</v>
      </c>
      <c r="G1970" s="18">
        <v>0</v>
      </c>
      <c r="H1970" s="10" t="str">
        <f t="shared" si="30"/>
        <v>COSTOS</v>
      </c>
      <c r="I1970" s="19">
        <v>2025</v>
      </c>
    </row>
    <row r="1971" spans="1:9" hidden="1" x14ac:dyDescent="0.3">
      <c r="A1971" s="16" t="s">
        <v>139</v>
      </c>
      <c r="B1971" s="16" t="s">
        <v>16</v>
      </c>
      <c r="C1971" s="15">
        <v>7</v>
      </c>
      <c r="D1971" s="17">
        <v>738100</v>
      </c>
      <c r="E1971" s="17">
        <v>0</v>
      </c>
      <c r="F1971" s="17">
        <v>-738100</v>
      </c>
      <c r="G1971" s="18">
        <v>0</v>
      </c>
      <c r="H1971" s="10" t="str">
        <f t="shared" si="30"/>
        <v>COSTOS</v>
      </c>
      <c r="I1971" s="19">
        <v>2025</v>
      </c>
    </row>
    <row r="1972" spans="1:9" hidden="1" x14ac:dyDescent="0.3">
      <c r="A1972" s="16" t="s">
        <v>139</v>
      </c>
      <c r="B1972" s="16" t="s">
        <v>16</v>
      </c>
      <c r="C1972" s="15">
        <v>8</v>
      </c>
      <c r="D1972" s="17">
        <v>738100</v>
      </c>
      <c r="E1972" s="17">
        <v>0</v>
      </c>
      <c r="F1972" s="17">
        <v>-738100</v>
      </c>
      <c r="G1972" s="18">
        <v>0</v>
      </c>
      <c r="H1972" s="10" t="str">
        <f t="shared" si="30"/>
        <v>COSTOS</v>
      </c>
      <c r="I1972" s="19">
        <v>2025</v>
      </c>
    </row>
    <row r="1973" spans="1:9" hidden="1" x14ac:dyDescent="0.3">
      <c r="A1973" s="16" t="s">
        <v>139</v>
      </c>
      <c r="B1973" s="16" t="s">
        <v>16</v>
      </c>
      <c r="C1973" s="15">
        <v>9</v>
      </c>
      <c r="D1973" s="17">
        <v>738100</v>
      </c>
      <c r="E1973" s="17">
        <v>3615719</v>
      </c>
      <c r="F1973" s="17">
        <v>2877619</v>
      </c>
      <c r="G1973" s="18">
        <v>4.8986844601002577</v>
      </c>
      <c r="H1973" s="10" t="str">
        <f t="shared" si="30"/>
        <v>COSTOS</v>
      </c>
      <c r="I1973" s="19">
        <v>2025</v>
      </c>
    </row>
    <row r="1974" spans="1:9" hidden="1" x14ac:dyDescent="0.3">
      <c r="A1974" s="16" t="s">
        <v>139</v>
      </c>
      <c r="B1974" s="16" t="s">
        <v>16</v>
      </c>
      <c r="C1974" s="15">
        <v>10</v>
      </c>
      <c r="D1974" s="17">
        <v>738100</v>
      </c>
      <c r="E1974" s="17">
        <v>3273339</v>
      </c>
      <c r="F1974" s="17">
        <v>2535239</v>
      </c>
      <c r="G1974" s="18">
        <v>4.4348177753691918</v>
      </c>
      <c r="H1974" s="10" t="str">
        <f t="shared" si="30"/>
        <v>COSTOS</v>
      </c>
      <c r="I1974" s="19">
        <v>2025</v>
      </c>
    </row>
    <row r="1975" spans="1:9" hidden="1" x14ac:dyDescent="0.3">
      <c r="A1975" s="16" t="s">
        <v>139</v>
      </c>
      <c r="B1975" s="16" t="s">
        <v>54</v>
      </c>
      <c r="C1975" s="15">
        <v>8</v>
      </c>
      <c r="D1975" s="17">
        <v>0</v>
      </c>
      <c r="E1975" s="17">
        <v>1710000</v>
      </c>
      <c r="F1975" s="17">
        <v>1710000</v>
      </c>
      <c r="G1975" s="18">
        <v>0</v>
      </c>
      <c r="H1975" s="10" t="str">
        <f t="shared" si="30"/>
        <v>COSTOS</v>
      </c>
      <c r="I1975" s="19">
        <v>2025</v>
      </c>
    </row>
    <row r="1976" spans="1:9" hidden="1" x14ac:dyDescent="0.3">
      <c r="A1976" s="16" t="s">
        <v>139</v>
      </c>
      <c r="B1976" s="16" t="s">
        <v>54</v>
      </c>
      <c r="C1976" s="15">
        <v>9</v>
      </c>
      <c r="D1976" s="17">
        <v>0</v>
      </c>
      <c r="E1976" s="17">
        <v>545000</v>
      </c>
      <c r="F1976" s="17">
        <v>545000</v>
      </c>
      <c r="G1976" s="18">
        <v>0</v>
      </c>
      <c r="H1976" s="10" t="str">
        <f t="shared" si="30"/>
        <v>COSTOS</v>
      </c>
      <c r="I1976" s="19">
        <v>2025</v>
      </c>
    </row>
    <row r="1977" spans="1:9" hidden="1" x14ac:dyDescent="0.3">
      <c r="A1977" s="16" t="s">
        <v>139</v>
      </c>
      <c r="B1977" s="16" t="s">
        <v>38</v>
      </c>
      <c r="C1977" s="15">
        <v>1</v>
      </c>
      <c r="D1977" s="17">
        <v>3000000</v>
      </c>
      <c r="E1977" s="17">
        <v>904530</v>
      </c>
      <c r="F1977" s="17">
        <v>-2095470</v>
      </c>
      <c r="G1977" s="18">
        <v>0.30151</v>
      </c>
      <c r="H1977" s="10" t="str">
        <f t="shared" si="30"/>
        <v>COSTOS</v>
      </c>
      <c r="I1977" s="19">
        <v>2025</v>
      </c>
    </row>
    <row r="1978" spans="1:9" hidden="1" x14ac:dyDescent="0.3">
      <c r="A1978" s="16" t="s">
        <v>139</v>
      </c>
      <c r="B1978" s="16" t="s">
        <v>38</v>
      </c>
      <c r="C1978" s="15">
        <v>2</v>
      </c>
      <c r="D1978" s="17">
        <v>3000000</v>
      </c>
      <c r="E1978" s="17">
        <v>293916</v>
      </c>
      <c r="F1978" s="17">
        <v>-2706084</v>
      </c>
      <c r="G1978" s="18">
        <v>9.7972000000000004E-2</v>
      </c>
      <c r="H1978" s="10" t="str">
        <f t="shared" si="30"/>
        <v>COSTOS</v>
      </c>
      <c r="I1978" s="19">
        <v>2025</v>
      </c>
    </row>
    <row r="1979" spans="1:9" hidden="1" x14ac:dyDescent="0.3">
      <c r="A1979" s="16" t="s">
        <v>139</v>
      </c>
      <c r="B1979" s="16" t="s">
        <v>38</v>
      </c>
      <c r="C1979" s="15">
        <v>3</v>
      </c>
      <c r="D1979" s="17">
        <v>3000000</v>
      </c>
      <c r="E1979" s="17">
        <v>8421654</v>
      </c>
      <c r="F1979" s="17">
        <v>5421654</v>
      </c>
      <c r="G1979" s="18">
        <v>2.8072180000000002</v>
      </c>
      <c r="H1979" s="10" t="str">
        <f t="shared" si="30"/>
        <v>COSTOS</v>
      </c>
      <c r="I1979" s="19">
        <v>2025</v>
      </c>
    </row>
    <row r="1980" spans="1:9" hidden="1" x14ac:dyDescent="0.3">
      <c r="A1980" s="16" t="s">
        <v>139</v>
      </c>
      <c r="B1980" s="16" t="s">
        <v>38</v>
      </c>
      <c r="C1980" s="15">
        <v>4</v>
      </c>
      <c r="D1980" s="17">
        <v>3000000</v>
      </c>
      <c r="E1980" s="17">
        <v>0</v>
      </c>
      <c r="F1980" s="17">
        <v>-3000000</v>
      </c>
      <c r="G1980" s="18">
        <v>0</v>
      </c>
      <c r="H1980" s="10" t="str">
        <f t="shared" si="30"/>
        <v>COSTOS</v>
      </c>
      <c r="I1980" s="19">
        <v>2025</v>
      </c>
    </row>
    <row r="1981" spans="1:9" hidden="1" x14ac:dyDescent="0.3">
      <c r="A1981" s="16" t="s">
        <v>139</v>
      </c>
      <c r="B1981" s="16" t="s">
        <v>38</v>
      </c>
      <c r="C1981" s="15">
        <v>5</v>
      </c>
      <c r="D1981" s="17">
        <v>3000000</v>
      </c>
      <c r="E1981" s="17">
        <v>366800</v>
      </c>
      <c r="F1981" s="17">
        <v>-2633200</v>
      </c>
      <c r="G1981" s="18">
        <v>0.12226666666666668</v>
      </c>
      <c r="H1981" s="10" t="str">
        <f t="shared" si="30"/>
        <v>COSTOS</v>
      </c>
      <c r="I1981" s="19">
        <v>2025</v>
      </c>
    </row>
    <row r="1982" spans="1:9" hidden="1" x14ac:dyDescent="0.3">
      <c r="A1982" s="16" t="s">
        <v>139</v>
      </c>
      <c r="B1982" s="16" t="s">
        <v>38</v>
      </c>
      <c r="C1982" s="15">
        <v>6</v>
      </c>
      <c r="D1982" s="17">
        <v>3000000</v>
      </c>
      <c r="E1982" s="17">
        <v>260000</v>
      </c>
      <c r="F1982" s="17">
        <v>-2740000</v>
      </c>
      <c r="G1982" s="18">
        <v>8.666666666666667E-2</v>
      </c>
      <c r="H1982" s="10" t="str">
        <f t="shared" si="30"/>
        <v>COSTOS</v>
      </c>
      <c r="I1982" s="19">
        <v>2025</v>
      </c>
    </row>
    <row r="1983" spans="1:9" hidden="1" x14ac:dyDescent="0.3">
      <c r="A1983" s="16" t="s">
        <v>139</v>
      </c>
      <c r="B1983" s="16" t="s">
        <v>38</v>
      </c>
      <c r="C1983" s="15">
        <v>7</v>
      </c>
      <c r="D1983" s="17">
        <v>3000000</v>
      </c>
      <c r="E1983" s="17">
        <v>1092800</v>
      </c>
      <c r="F1983" s="17">
        <v>-1907200</v>
      </c>
      <c r="G1983" s="18">
        <v>0.36426666666666668</v>
      </c>
      <c r="H1983" s="10" t="str">
        <f t="shared" si="30"/>
        <v>COSTOS</v>
      </c>
      <c r="I1983" s="19">
        <v>2025</v>
      </c>
    </row>
    <row r="1984" spans="1:9" hidden="1" x14ac:dyDescent="0.3">
      <c r="A1984" s="16" t="s">
        <v>139</v>
      </c>
      <c r="B1984" s="16" t="s">
        <v>38</v>
      </c>
      <c r="C1984" s="15">
        <v>8</v>
      </c>
      <c r="D1984" s="17">
        <v>3000000</v>
      </c>
      <c r="E1984" s="17">
        <v>5177815</v>
      </c>
      <c r="F1984" s="17">
        <v>2177815</v>
      </c>
      <c r="G1984" s="18">
        <v>1.7259383333333334</v>
      </c>
      <c r="H1984" s="10" t="str">
        <f t="shared" si="30"/>
        <v>COSTOS</v>
      </c>
      <c r="I1984" s="19">
        <v>2025</v>
      </c>
    </row>
    <row r="1985" spans="1:9" hidden="1" x14ac:dyDescent="0.3">
      <c r="A1985" s="16" t="s">
        <v>139</v>
      </c>
      <c r="B1985" s="16" t="s">
        <v>38</v>
      </c>
      <c r="C1985" s="15">
        <v>9</v>
      </c>
      <c r="D1985" s="17">
        <v>3000000</v>
      </c>
      <c r="E1985" s="17">
        <v>34000</v>
      </c>
      <c r="F1985" s="17">
        <v>-2966000</v>
      </c>
      <c r="G1985" s="18">
        <v>1.1333333333333334E-2</v>
      </c>
      <c r="H1985" s="10" t="str">
        <f t="shared" si="30"/>
        <v>COSTOS</v>
      </c>
      <c r="I1985" s="19">
        <v>2025</v>
      </c>
    </row>
    <row r="1986" spans="1:9" hidden="1" x14ac:dyDescent="0.3">
      <c r="A1986" s="16" t="s">
        <v>139</v>
      </c>
      <c r="B1986" s="16" t="s">
        <v>38</v>
      </c>
      <c r="C1986" s="15">
        <v>10</v>
      </c>
      <c r="D1986" s="17">
        <v>3000000</v>
      </c>
      <c r="E1986" s="17">
        <v>3760570</v>
      </c>
      <c r="F1986" s="17">
        <v>760570</v>
      </c>
      <c r="G1986" s="18">
        <v>1.2535233333333333</v>
      </c>
      <c r="H1986" s="10" t="str">
        <f t="shared" si="30"/>
        <v>COSTOS</v>
      </c>
      <c r="I1986" s="19">
        <v>2025</v>
      </c>
    </row>
    <row r="1987" spans="1:9" hidden="1" x14ac:dyDescent="0.3">
      <c r="A1987" s="16" t="s">
        <v>139</v>
      </c>
      <c r="B1987" s="16" t="s">
        <v>39</v>
      </c>
      <c r="C1987" s="15">
        <v>3</v>
      </c>
      <c r="D1987" s="17">
        <v>133333</v>
      </c>
      <c r="E1987" s="17">
        <v>0</v>
      </c>
      <c r="F1987" s="17">
        <v>-133333</v>
      </c>
      <c r="G1987" s="18">
        <v>0</v>
      </c>
      <c r="H1987" s="10" t="str">
        <f t="shared" ref="H1987:H2050" si="31">+IF(OR(A1987="ADMINISTRACION",A1987="COMERCIAL",A1987="COMERCIAL-EXPORTACIONES",A1987="LEASING DE LA BODEGA",A1987="LOGISTICA-SALIDA",A1987="OTROS GASTOS",A1987="BODEGA ALQUILADA", A1987="BODEGA CARTOPLAST", A1987="BODEGA CARTOPLAS", A1987= "GESTION HUMANA-OTROS GASTOS"),"GASTOS","COSTOS")</f>
        <v>COSTOS</v>
      </c>
      <c r="I1987" s="19">
        <v>2025</v>
      </c>
    </row>
    <row r="1988" spans="1:9" hidden="1" x14ac:dyDescent="0.3">
      <c r="A1988" s="16" t="s">
        <v>139</v>
      </c>
      <c r="B1988" s="16" t="s">
        <v>39</v>
      </c>
      <c r="C1988" s="15">
        <v>4</v>
      </c>
      <c r="D1988" s="17">
        <v>133333</v>
      </c>
      <c r="E1988" s="17">
        <v>0</v>
      </c>
      <c r="F1988" s="17">
        <v>-133333</v>
      </c>
      <c r="G1988" s="18">
        <v>0</v>
      </c>
      <c r="H1988" s="10" t="str">
        <f t="shared" si="31"/>
        <v>COSTOS</v>
      </c>
      <c r="I1988" s="19">
        <v>2025</v>
      </c>
    </row>
    <row r="1989" spans="1:9" hidden="1" x14ac:dyDescent="0.3">
      <c r="A1989" s="16" t="s">
        <v>139</v>
      </c>
      <c r="B1989" s="16" t="s">
        <v>39</v>
      </c>
      <c r="C1989" s="15">
        <v>5</v>
      </c>
      <c r="D1989" s="17">
        <v>133333</v>
      </c>
      <c r="E1989" s="17">
        <v>0</v>
      </c>
      <c r="F1989" s="17">
        <v>-133333</v>
      </c>
      <c r="G1989" s="18">
        <v>0</v>
      </c>
      <c r="H1989" s="10" t="str">
        <f t="shared" si="31"/>
        <v>COSTOS</v>
      </c>
      <c r="I1989" s="19">
        <v>2025</v>
      </c>
    </row>
    <row r="1990" spans="1:9" hidden="1" x14ac:dyDescent="0.3">
      <c r="A1990" s="16" t="s">
        <v>139</v>
      </c>
      <c r="B1990" s="16" t="s">
        <v>39</v>
      </c>
      <c r="C1990" s="15">
        <v>6</v>
      </c>
      <c r="D1990" s="17">
        <v>133333</v>
      </c>
      <c r="E1990" s="17">
        <v>0</v>
      </c>
      <c r="F1990" s="17">
        <v>-133333</v>
      </c>
      <c r="G1990" s="18">
        <v>0</v>
      </c>
      <c r="H1990" s="10" t="str">
        <f t="shared" si="31"/>
        <v>COSTOS</v>
      </c>
      <c r="I1990" s="19">
        <v>2025</v>
      </c>
    </row>
    <row r="1991" spans="1:9" hidden="1" x14ac:dyDescent="0.3">
      <c r="A1991" s="16" t="s">
        <v>139</v>
      </c>
      <c r="B1991" s="16" t="s">
        <v>39</v>
      </c>
      <c r="C1991" s="15">
        <v>7</v>
      </c>
      <c r="D1991" s="17">
        <v>133333</v>
      </c>
      <c r="E1991" s="17">
        <v>0</v>
      </c>
      <c r="F1991" s="17">
        <v>-133333</v>
      </c>
      <c r="G1991" s="18">
        <v>0</v>
      </c>
      <c r="H1991" s="10" t="str">
        <f t="shared" si="31"/>
        <v>COSTOS</v>
      </c>
      <c r="I1991" s="19">
        <v>2025</v>
      </c>
    </row>
    <row r="1992" spans="1:9" hidden="1" x14ac:dyDescent="0.3">
      <c r="A1992" s="16" t="s">
        <v>139</v>
      </c>
      <c r="B1992" s="16" t="s">
        <v>39</v>
      </c>
      <c r="C1992" s="15">
        <v>8</v>
      </c>
      <c r="D1992" s="17">
        <v>275000</v>
      </c>
      <c r="E1992" s="17">
        <v>0</v>
      </c>
      <c r="F1992" s="17">
        <v>-275000</v>
      </c>
      <c r="G1992" s="18">
        <v>0</v>
      </c>
      <c r="H1992" s="10" t="str">
        <f t="shared" si="31"/>
        <v>COSTOS</v>
      </c>
      <c r="I1992" s="19">
        <v>2025</v>
      </c>
    </row>
    <row r="1993" spans="1:9" hidden="1" x14ac:dyDescent="0.3">
      <c r="A1993" s="16" t="s">
        <v>139</v>
      </c>
      <c r="B1993" s="16" t="s">
        <v>39</v>
      </c>
      <c r="C1993" s="15">
        <v>9</v>
      </c>
      <c r="D1993" s="17">
        <v>275000</v>
      </c>
      <c r="E1993" s="17">
        <v>0</v>
      </c>
      <c r="F1993" s="17">
        <v>-275000</v>
      </c>
      <c r="G1993" s="18">
        <v>0</v>
      </c>
      <c r="H1993" s="10" t="str">
        <f t="shared" si="31"/>
        <v>COSTOS</v>
      </c>
      <c r="I1993" s="19">
        <v>2025</v>
      </c>
    </row>
    <row r="1994" spans="1:9" hidden="1" x14ac:dyDescent="0.3">
      <c r="A1994" s="16" t="s">
        <v>139</v>
      </c>
      <c r="B1994" s="16" t="s">
        <v>39</v>
      </c>
      <c r="C1994" s="15">
        <v>10</v>
      </c>
      <c r="D1994" s="17">
        <v>275000</v>
      </c>
      <c r="E1994" s="17">
        <v>0</v>
      </c>
      <c r="F1994" s="17">
        <v>-275000</v>
      </c>
      <c r="G1994" s="18">
        <v>0</v>
      </c>
      <c r="H1994" s="10" t="str">
        <f t="shared" si="31"/>
        <v>COSTOS</v>
      </c>
      <c r="I1994" s="19">
        <v>2025</v>
      </c>
    </row>
    <row r="1995" spans="1:9" hidden="1" x14ac:dyDescent="0.3">
      <c r="A1995" s="16" t="s">
        <v>139</v>
      </c>
      <c r="B1995" s="16" t="s">
        <v>52</v>
      </c>
      <c r="C1995" s="15">
        <v>1</v>
      </c>
      <c r="D1995" s="17">
        <v>0</v>
      </c>
      <c r="E1995" s="17">
        <v>50000</v>
      </c>
      <c r="F1995" s="17">
        <v>50000</v>
      </c>
      <c r="G1995" s="18">
        <v>0</v>
      </c>
      <c r="H1995" s="10" t="str">
        <f t="shared" si="31"/>
        <v>COSTOS</v>
      </c>
      <c r="I1995" s="19">
        <v>2025</v>
      </c>
    </row>
    <row r="1996" spans="1:9" hidden="1" x14ac:dyDescent="0.3">
      <c r="A1996" s="16" t="s">
        <v>139</v>
      </c>
      <c r="B1996" s="16" t="s">
        <v>52</v>
      </c>
      <c r="C1996" s="15">
        <v>5</v>
      </c>
      <c r="D1996" s="17">
        <v>3340000</v>
      </c>
      <c r="E1996" s="17">
        <v>0</v>
      </c>
      <c r="F1996" s="17">
        <v>-3340000</v>
      </c>
      <c r="G1996" s="18">
        <v>0</v>
      </c>
      <c r="H1996" s="10" t="str">
        <f t="shared" si="31"/>
        <v>COSTOS</v>
      </c>
      <c r="I1996" s="19">
        <v>2025</v>
      </c>
    </row>
    <row r="1997" spans="1:9" hidden="1" x14ac:dyDescent="0.3">
      <c r="A1997" s="16" t="s">
        <v>139</v>
      </c>
      <c r="B1997" s="16" t="s">
        <v>52</v>
      </c>
      <c r="C1997" s="15">
        <v>6</v>
      </c>
      <c r="D1997" s="17">
        <v>1162000</v>
      </c>
      <c r="E1997" s="17">
        <v>0</v>
      </c>
      <c r="F1997" s="17">
        <v>-1162000</v>
      </c>
      <c r="G1997" s="18">
        <v>0</v>
      </c>
      <c r="H1997" s="10" t="str">
        <f t="shared" si="31"/>
        <v>COSTOS</v>
      </c>
      <c r="I1997" s="19">
        <v>2025</v>
      </c>
    </row>
    <row r="1998" spans="1:9" hidden="1" x14ac:dyDescent="0.3">
      <c r="A1998" s="16" t="s">
        <v>139</v>
      </c>
      <c r="B1998" s="16" t="s">
        <v>52</v>
      </c>
      <c r="C1998" s="15">
        <v>7</v>
      </c>
      <c r="D1998" s="17">
        <v>0</v>
      </c>
      <c r="E1998" s="17">
        <v>715000</v>
      </c>
      <c r="F1998" s="17">
        <v>715000</v>
      </c>
      <c r="G1998" s="18">
        <v>0</v>
      </c>
      <c r="H1998" s="10" t="str">
        <f t="shared" si="31"/>
        <v>COSTOS</v>
      </c>
      <c r="I1998" s="19">
        <v>2025</v>
      </c>
    </row>
    <row r="1999" spans="1:9" hidden="1" x14ac:dyDescent="0.3">
      <c r="A1999" s="16" t="s">
        <v>139</v>
      </c>
      <c r="B1999" s="16" t="s">
        <v>52</v>
      </c>
      <c r="C1999" s="15">
        <v>8</v>
      </c>
      <c r="D1999" s="17">
        <v>1162000</v>
      </c>
      <c r="E1999" s="17">
        <v>0</v>
      </c>
      <c r="F1999" s="17">
        <v>-1162000</v>
      </c>
      <c r="G1999" s="18">
        <v>0</v>
      </c>
      <c r="H1999" s="10" t="str">
        <f t="shared" si="31"/>
        <v>COSTOS</v>
      </c>
      <c r="I1999" s="19">
        <v>2025</v>
      </c>
    </row>
    <row r="2000" spans="1:9" hidden="1" x14ac:dyDescent="0.3">
      <c r="A2000" s="16" t="s">
        <v>139</v>
      </c>
      <c r="B2000" s="16" t="s">
        <v>58</v>
      </c>
      <c r="C2000" s="15">
        <v>1</v>
      </c>
      <c r="D2000" s="17">
        <v>602840</v>
      </c>
      <c r="E2000" s="17">
        <v>602840</v>
      </c>
      <c r="F2000" s="17">
        <v>0</v>
      </c>
      <c r="G2000" s="18">
        <v>1</v>
      </c>
      <c r="H2000" s="10" t="str">
        <f t="shared" si="31"/>
        <v>COSTOS</v>
      </c>
      <c r="I2000" s="19">
        <v>2025</v>
      </c>
    </row>
    <row r="2001" spans="1:9" hidden="1" x14ac:dyDescent="0.3">
      <c r="A2001" s="16" t="s">
        <v>139</v>
      </c>
      <c r="B2001" s="16" t="s">
        <v>58</v>
      </c>
      <c r="C2001" s="15">
        <v>3</v>
      </c>
      <c r="D2001" s="17">
        <v>2048403</v>
      </c>
      <c r="E2001" s="17">
        <v>2048403</v>
      </c>
      <c r="F2001" s="17">
        <v>0</v>
      </c>
      <c r="G2001" s="18">
        <v>1</v>
      </c>
      <c r="H2001" s="10" t="str">
        <f t="shared" si="31"/>
        <v>COSTOS</v>
      </c>
      <c r="I2001" s="19">
        <v>2025</v>
      </c>
    </row>
    <row r="2002" spans="1:9" hidden="1" x14ac:dyDescent="0.3">
      <c r="A2002" s="16" t="s">
        <v>139</v>
      </c>
      <c r="B2002" s="16" t="s">
        <v>58</v>
      </c>
      <c r="C2002" s="15">
        <v>4</v>
      </c>
      <c r="D2002" s="17">
        <v>6200000</v>
      </c>
      <c r="E2002" s="17">
        <v>14041423</v>
      </c>
      <c r="F2002" s="17">
        <v>7841423</v>
      </c>
      <c r="G2002" s="18">
        <v>2.2647456451612906</v>
      </c>
      <c r="H2002" s="10" t="str">
        <f t="shared" si="31"/>
        <v>COSTOS</v>
      </c>
      <c r="I2002" s="19">
        <v>2025</v>
      </c>
    </row>
    <row r="2003" spans="1:9" hidden="1" x14ac:dyDescent="0.3">
      <c r="A2003" s="16" t="s">
        <v>139</v>
      </c>
      <c r="B2003" s="16" t="s">
        <v>58</v>
      </c>
      <c r="C2003" s="15">
        <v>5</v>
      </c>
      <c r="D2003" s="17">
        <v>6200000</v>
      </c>
      <c r="E2003" s="17">
        <v>4198792</v>
      </c>
      <c r="F2003" s="17">
        <v>-2001208</v>
      </c>
      <c r="G2003" s="18">
        <v>0.67722451612903223</v>
      </c>
      <c r="H2003" s="10" t="str">
        <f t="shared" si="31"/>
        <v>COSTOS</v>
      </c>
      <c r="I2003" s="19">
        <v>2025</v>
      </c>
    </row>
    <row r="2004" spans="1:9" hidden="1" x14ac:dyDescent="0.3">
      <c r="A2004" s="16" t="s">
        <v>139</v>
      </c>
      <c r="B2004" s="16" t="s">
        <v>58</v>
      </c>
      <c r="C2004" s="15">
        <v>6</v>
      </c>
      <c r="D2004" s="17">
        <v>6200000</v>
      </c>
      <c r="E2004" s="17">
        <v>342673</v>
      </c>
      <c r="F2004" s="17">
        <v>-5857327</v>
      </c>
      <c r="G2004" s="18">
        <v>5.5269838709677423E-2</v>
      </c>
      <c r="H2004" s="10" t="str">
        <f t="shared" si="31"/>
        <v>COSTOS</v>
      </c>
      <c r="I2004" s="19">
        <v>2025</v>
      </c>
    </row>
    <row r="2005" spans="1:9" hidden="1" x14ac:dyDescent="0.3">
      <c r="A2005" s="16" t="s">
        <v>139</v>
      </c>
      <c r="B2005" s="16" t="s">
        <v>58</v>
      </c>
      <c r="C2005" s="15">
        <v>7</v>
      </c>
      <c r="D2005" s="17">
        <v>4000000</v>
      </c>
      <c r="E2005" s="17">
        <v>23387720</v>
      </c>
      <c r="F2005" s="17">
        <v>19387720</v>
      </c>
      <c r="G2005" s="18">
        <v>5.8469300000000004</v>
      </c>
      <c r="H2005" s="10" t="str">
        <f t="shared" si="31"/>
        <v>COSTOS</v>
      </c>
      <c r="I2005" s="19">
        <v>2025</v>
      </c>
    </row>
    <row r="2006" spans="1:9" hidden="1" x14ac:dyDescent="0.3">
      <c r="A2006" s="16" t="s">
        <v>139</v>
      </c>
      <c r="B2006" s="16" t="s">
        <v>58</v>
      </c>
      <c r="C2006" s="15">
        <v>8</v>
      </c>
      <c r="D2006" s="17">
        <v>4000000</v>
      </c>
      <c r="E2006" s="17">
        <v>4224748</v>
      </c>
      <c r="F2006" s="17">
        <v>224748</v>
      </c>
      <c r="G2006" s="18">
        <v>1.056187</v>
      </c>
      <c r="H2006" s="10" t="str">
        <f t="shared" si="31"/>
        <v>COSTOS</v>
      </c>
      <c r="I2006" s="19">
        <v>2025</v>
      </c>
    </row>
    <row r="2007" spans="1:9" hidden="1" x14ac:dyDescent="0.3">
      <c r="A2007" s="16" t="s">
        <v>139</v>
      </c>
      <c r="B2007" s="16" t="s">
        <v>58</v>
      </c>
      <c r="C2007" s="15">
        <v>9</v>
      </c>
      <c r="D2007" s="17">
        <v>4000000</v>
      </c>
      <c r="E2007" s="17">
        <v>0</v>
      </c>
      <c r="F2007" s="17">
        <v>-4000000</v>
      </c>
      <c r="G2007" s="18">
        <v>0</v>
      </c>
      <c r="H2007" s="10" t="str">
        <f t="shared" si="31"/>
        <v>COSTOS</v>
      </c>
      <c r="I2007" s="19">
        <v>2025</v>
      </c>
    </row>
    <row r="2008" spans="1:9" hidden="1" x14ac:dyDescent="0.3">
      <c r="A2008" s="16" t="s">
        <v>139</v>
      </c>
      <c r="B2008" s="16" t="s">
        <v>58</v>
      </c>
      <c r="C2008" s="15">
        <v>10</v>
      </c>
      <c r="D2008" s="17">
        <v>4000000</v>
      </c>
      <c r="E2008" s="17">
        <v>5148205</v>
      </c>
      <c r="F2008" s="17">
        <v>1148205</v>
      </c>
      <c r="G2008" s="18">
        <v>1.28705125</v>
      </c>
      <c r="H2008" s="10" t="str">
        <f t="shared" si="31"/>
        <v>COSTOS</v>
      </c>
      <c r="I2008" s="19">
        <v>2025</v>
      </c>
    </row>
    <row r="2009" spans="1:9" hidden="1" x14ac:dyDescent="0.3">
      <c r="A2009" s="16" t="s">
        <v>139</v>
      </c>
      <c r="B2009" s="16" t="s">
        <v>69</v>
      </c>
      <c r="C2009" s="15">
        <v>4</v>
      </c>
      <c r="D2009" s="17">
        <v>0</v>
      </c>
      <c r="E2009" s="17">
        <v>1444948</v>
      </c>
      <c r="F2009" s="17">
        <v>1444948</v>
      </c>
      <c r="G2009" s="18">
        <v>0</v>
      </c>
      <c r="H2009" s="10" t="str">
        <f t="shared" si="31"/>
        <v>COSTOS</v>
      </c>
      <c r="I2009" s="19">
        <v>2025</v>
      </c>
    </row>
    <row r="2010" spans="1:9" hidden="1" x14ac:dyDescent="0.3">
      <c r="A2010" s="16" t="s">
        <v>139</v>
      </c>
      <c r="B2010" s="16" t="s">
        <v>16</v>
      </c>
      <c r="C2010" s="15">
        <v>11</v>
      </c>
      <c r="D2010" s="17">
        <v>738100</v>
      </c>
      <c r="E2010" s="17">
        <v>716985</v>
      </c>
      <c r="F2010" s="17">
        <v>-21115</v>
      </c>
      <c r="G2010" s="18">
        <v>0.97139276520796636</v>
      </c>
      <c r="H2010" s="10" t="str">
        <f t="shared" si="31"/>
        <v>COSTOS</v>
      </c>
      <c r="I2010" s="19">
        <v>2025</v>
      </c>
    </row>
    <row r="2011" spans="1:9" hidden="1" x14ac:dyDescent="0.3">
      <c r="A2011" s="16" t="s">
        <v>139</v>
      </c>
      <c r="B2011" s="16" t="s">
        <v>38</v>
      </c>
      <c r="C2011" s="15">
        <v>11</v>
      </c>
      <c r="D2011" s="17">
        <v>3000000</v>
      </c>
      <c r="E2011" s="17">
        <v>199934</v>
      </c>
      <c r="F2011" s="17">
        <v>-2800066</v>
      </c>
      <c r="G2011" s="18">
        <v>6.6644666666666671E-2</v>
      </c>
      <c r="H2011" s="10" t="str">
        <f t="shared" si="31"/>
        <v>COSTOS</v>
      </c>
      <c r="I2011" s="19">
        <v>2025</v>
      </c>
    </row>
    <row r="2012" spans="1:9" hidden="1" x14ac:dyDescent="0.3">
      <c r="A2012" s="16" t="s">
        <v>139</v>
      </c>
      <c r="B2012" s="16" t="s">
        <v>39</v>
      </c>
      <c r="C2012" s="15">
        <v>11</v>
      </c>
      <c r="D2012" s="17">
        <v>275000</v>
      </c>
      <c r="E2012" s="17">
        <v>0</v>
      </c>
      <c r="F2012" s="17">
        <v>-275000</v>
      </c>
      <c r="G2012" s="18">
        <v>0</v>
      </c>
      <c r="H2012" s="10" t="str">
        <f t="shared" si="31"/>
        <v>COSTOS</v>
      </c>
      <c r="I2012" s="19">
        <v>2025</v>
      </c>
    </row>
    <row r="2013" spans="1:9" hidden="1" x14ac:dyDescent="0.3">
      <c r="A2013" s="16" t="s">
        <v>139</v>
      </c>
      <c r="B2013" s="16" t="s">
        <v>52</v>
      </c>
      <c r="C2013" s="15">
        <v>11</v>
      </c>
      <c r="D2013" s="17">
        <v>1162000</v>
      </c>
      <c r="E2013" s="17">
        <v>0</v>
      </c>
      <c r="F2013" s="17">
        <v>-1162000</v>
      </c>
      <c r="G2013" s="18">
        <v>0</v>
      </c>
      <c r="H2013" s="10" t="str">
        <f t="shared" si="31"/>
        <v>COSTOS</v>
      </c>
      <c r="I2013" s="19">
        <v>2025</v>
      </c>
    </row>
    <row r="2014" spans="1:9" hidden="1" x14ac:dyDescent="0.3">
      <c r="A2014" s="16" t="s">
        <v>139</v>
      </c>
      <c r="B2014" s="16" t="s">
        <v>58</v>
      </c>
      <c r="C2014" s="15">
        <v>11</v>
      </c>
      <c r="D2014" s="17">
        <v>4000000</v>
      </c>
      <c r="E2014" s="17">
        <v>2728563</v>
      </c>
      <c r="F2014" s="17">
        <v>-1271437</v>
      </c>
      <c r="G2014" s="18">
        <v>0.68214074999999996</v>
      </c>
      <c r="H2014" s="10" t="str">
        <f t="shared" si="31"/>
        <v>COSTOS</v>
      </c>
      <c r="I2014" s="19">
        <v>2025</v>
      </c>
    </row>
    <row r="2015" spans="1:9" hidden="1" x14ac:dyDescent="0.3">
      <c r="A2015" s="16" t="s">
        <v>139</v>
      </c>
      <c r="B2015" s="16" t="s">
        <v>16</v>
      </c>
      <c r="C2015" s="15">
        <v>12</v>
      </c>
      <c r="D2015" s="17">
        <v>738100</v>
      </c>
      <c r="E2015" s="17">
        <v>4741205</v>
      </c>
      <c r="F2015" s="17">
        <v>4003105</v>
      </c>
      <c r="G2015" s="18">
        <v>6.4235266224088878</v>
      </c>
      <c r="H2015" s="10" t="str">
        <f t="shared" si="31"/>
        <v>COSTOS</v>
      </c>
      <c r="I2015" s="19">
        <v>2025</v>
      </c>
    </row>
    <row r="2016" spans="1:9" hidden="1" x14ac:dyDescent="0.3">
      <c r="A2016" s="16" t="s">
        <v>139</v>
      </c>
      <c r="B2016" s="16" t="s">
        <v>38</v>
      </c>
      <c r="C2016" s="15">
        <v>12</v>
      </c>
      <c r="D2016" s="17">
        <v>3000000</v>
      </c>
      <c r="E2016" s="17">
        <v>0</v>
      </c>
      <c r="F2016" s="17">
        <v>-3000000</v>
      </c>
      <c r="G2016" s="18">
        <v>0</v>
      </c>
      <c r="H2016" s="10" t="str">
        <f t="shared" si="31"/>
        <v>COSTOS</v>
      </c>
      <c r="I2016" s="19">
        <v>2025</v>
      </c>
    </row>
    <row r="2017" spans="1:9" hidden="1" x14ac:dyDescent="0.3">
      <c r="A2017" s="16" t="s">
        <v>139</v>
      </c>
      <c r="B2017" s="16" t="s">
        <v>39</v>
      </c>
      <c r="C2017" s="15">
        <v>12</v>
      </c>
      <c r="D2017" s="17">
        <v>275000</v>
      </c>
      <c r="E2017" s="17">
        <v>0</v>
      </c>
      <c r="F2017" s="17">
        <v>-275000</v>
      </c>
      <c r="G2017" s="18">
        <v>0</v>
      </c>
      <c r="H2017" s="10" t="str">
        <f t="shared" si="31"/>
        <v>COSTOS</v>
      </c>
      <c r="I2017" s="19">
        <v>2025</v>
      </c>
    </row>
    <row r="2018" spans="1:9" hidden="1" x14ac:dyDescent="0.3">
      <c r="A2018" s="16" t="s">
        <v>139</v>
      </c>
      <c r="B2018" s="16" t="s">
        <v>58</v>
      </c>
      <c r="C2018" s="15">
        <v>12</v>
      </c>
      <c r="D2018" s="17">
        <v>4000000</v>
      </c>
      <c r="E2018" s="17">
        <v>6181012</v>
      </c>
      <c r="F2018" s="17">
        <v>2181012</v>
      </c>
      <c r="G2018" s="18">
        <v>1.545253</v>
      </c>
      <c r="H2018" s="10" t="str">
        <f t="shared" si="31"/>
        <v>COSTOS</v>
      </c>
      <c r="I2018" s="19">
        <v>2025</v>
      </c>
    </row>
    <row r="2019" spans="1:9" hidden="1" x14ac:dyDescent="0.3">
      <c r="A2019" s="16" t="s">
        <v>139</v>
      </c>
      <c r="B2019" s="16" t="s">
        <v>59</v>
      </c>
      <c r="C2019" s="15">
        <v>12</v>
      </c>
      <c r="D2019" s="17">
        <v>0</v>
      </c>
      <c r="E2019" s="17">
        <v>193000</v>
      </c>
      <c r="F2019" s="17">
        <v>193000</v>
      </c>
      <c r="G2019" s="18">
        <v>0</v>
      </c>
      <c r="H2019" s="10" t="str">
        <f t="shared" si="31"/>
        <v>COSTOS</v>
      </c>
      <c r="I2019" s="19">
        <v>2025</v>
      </c>
    </row>
    <row r="2020" spans="1:9" hidden="1" x14ac:dyDescent="0.3">
      <c r="A2020" s="16" t="s">
        <v>140</v>
      </c>
      <c r="B2020" s="16" t="s">
        <v>38</v>
      </c>
      <c r="C2020" s="15">
        <v>1</v>
      </c>
      <c r="D2020" s="17">
        <v>250000</v>
      </c>
      <c r="E2020" s="17">
        <v>66480</v>
      </c>
      <c r="F2020" s="17">
        <v>-183520</v>
      </c>
      <c r="G2020" s="18">
        <v>0.26591999999999999</v>
      </c>
      <c r="H2020" s="10" t="str">
        <f t="shared" si="31"/>
        <v>COSTOS</v>
      </c>
      <c r="I2020" s="19">
        <v>2025</v>
      </c>
    </row>
    <row r="2021" spans="1:9" hidden="1" x14ac:dyDescent="0.3">
      <c r="A2021" s="16" t="s">
        <v>140</v>
      </c>
      <c r="B2021" s="16" t="s">
        <v>38</v>
      </c>
      <c r="C2021" s="15">
        <v>2</v>
      </c>
      <c r="D2021" s="17">
        <v>250000</v>
      </c>
      <c r="E2021" s="17">
        <v>0</v>
      </c>
      <c r="F2021" s="17">
        <v>-250000</v>
      </c>
      <c r="G2021" s="18">
        <v>0</v>
      </c>
      <c r="H2021" s="10" t="str">
        <f t="shared" si="31"/>
        <v>COSTOS</v>
      </c>
      <c r="I2021" s="19">
        <v>2025</v>
      </c>
    </row>
    <row r="2022" spans="1:9" hidden="1" x14ac:dyDescent="0.3">
      <c r="A2022" s="16" t="s">
        <v>140</v>
      </c>
      <c r="B2022" s="16" t="s">
        <v>38</v>
      </c>
      <c r="C2022" s="15">
        <v>3</v>
      </c>
      <c r="D2022" s="17">
        <v>250000</v>
      </c>
      <c r="E2022" s="17">
        <v>307500</v>
      </c>
      <c r="F2022" s="17">
        <v>57500</v>
      </c>
      <c r="G2022" s="18">
        <v>1.23</v>
      </c>
      <c r="H2022" s="10" t="str">
        <f t="shared" si="31"/>
        <v>COSTOS</v>
      </c>
      <c r="I2022" s="19">
        <v>2025</v>
      </c>
    </row>
    <row r="2023" spans="1:9" hidden="1" x14ac:dyDescent="0.3">
      <c r="A2023" s="16" t="s">
        <v>140</v>
      </c>
      <c r="B2023" s="16" t="s">
        <v>38</v>
      </c>
      <c r="C2023" s="15">
        <v>4</v>
      </c>
      <c r="D2023" s="17">
        <v>250000</v>
      </c>
      <c r="E2023" s="17">
        <v>0</v>
      </c>
      <c r="F2023" s="17">
        <v>-250000</v>
      </c>
      <c r="G2023" s="18">
        <v>0</v>
      </c>
      <c r="H2023" s="10" t="str">
        <f t="shared" si="31"/>
        <v>COSTOS</v>
      </c>
      <c r="I2023" s="19">
        <v>2025</v>
      </c>
    </row>
    <row r="2024" spans="1:9" hidden="1" x14ac:dyDescent="0.3">
      <c r="A2024" s="16" t="s">
        <v>140</v>
      </c>
      <c r="B2024" s="16" t="s">
        <v>38</v>
      </c>
      <c r="C2024" s="15">
        <v>5</v>
      </c>
      <c r="D2024" s="17">
        <v>250000</v>
      </c>
      <c r="E2024" s="17">
        <v>0</v>
      </c>
      <c r="F2024" s="17">
        <v>-250000</v>
      </c>
      <c r="G2024" s="18">
        <v>0</v>
      </c>
      <c r="H2024" s="10" t="str">
        <f t="shared" si="31"/>
        <v>COSTOS</v>
      </c>
      <c r="I2024" s="19">
        <v>2025</v>
      </c>
    </row>
    <row r="2025" spans="1:9" hidden="1" x14ac:dyDescent="0.3">
      <c r="A2025" s="16" t="s">
        <v>140</v>
      </c>
      <c r="B2025" s="16" t="s">
        <v>38</v>
      </c>
      <c r="C2025" s="15">
        <v>6</v>
      </c>
      <c r="D2025" s="17">
        <v>250000</v>
      </c>
      <c r="E2025" s="17">
        <v>0</v>
      </c>
      <c r="F2025" s="17">
        <v>-250000</v>
      </c>
      <c r="G2025" s="18">
        <v>0</v>
      </c>
      <c r="H2025" s="10" t="str">
        <f t="shared" si="31"/>
        <v>COSTOS</v>
      </c>
      <c r="I2025" s="19">
        <v>2025</v>
      </c>
    </row>
    <row r="2026" spans="1:9" hidden="1" x14ac:dyDescent="0.3">
      <c r="A2026" s="16" t="s">
        <v>140</v>
      </c>
      <c r="B2026" s="16" t="s">
        <v>38</v>
      </c>
      <c r="C2026" s="15">
        <v>7</v>
      </c>
      <c r="D2026" s="17">
        <v>250000</v>
      </c>
      <c r="E2026" s="17">
        <v>0</v>
      </c>
      <c r="F2026" s="17">
        <v>-250000</v>
      </c>
      <c r="G2026" s="18">
        <v>0</v>
      </c>
      <c r="H2026" s="10" t="str">
        <f t="shared" si="31"/>
        <v>COSTOS</v>
      </c>
      <c r="I2026" s="19">
        <v>2025</v>
      </c>
    </row>
    <row r="2027" spans="1:9" hidden="1" x14ac:dyDescent="0.3">
      <c r="A2027" s="16" t="s">
        <v>140</v>
      </c>
      <c r="B2027" s="16" t="s">
        <v>38</v>
      </c>
      <c r="C2027" s="15">
        <v>8</v>
      </c>
      <c r="D2027" s="17">
        <v>250000</v>
      </c>
      <c r="E2027" s="17">
        <v>436000</v>
      </c>
      <c r="F2027" s="17">
        <v>186000</v>
      </c>
      <c r="G2027" s="18">
        <v>1.744</v>
      </c>
      <c r="H2027" s="10" t="str">
        <f t="shared" si="31"/>
        <v>COSTOS</v>
      </c>
      <c r="I2027" s="19">
        <v>2025</v>
      </c>
    </row>
    <row r="2028" spans="1:9" hidden="1" x14ac:dyDescent="0.3">
      <c r="A2028" s="16" t="s">
        <v>140</v>
      </c>
      <c r="B2028" s="16" t="s">
        <v>38</v>
      </c>
      <c r="C2028" s="15">
        <v>9</v>
      </c>
      <c r="D2028" s="17">
        <v>250000</v>
      </c>
      <c r="E2028" s="17">
        <v>0</v>
      </c>
      <c r="F2028" s="17">
        <v>-250000</v>
      </c>
      <c r="G2028" s="18">
        <v>0</v>
      </c>
      <c r="H2028" s="10" t="str">
        <f t="shared" si="31"/>
        <v>COSTOS</v>
      </c>
      <c r="I2028" s="19">
        <v>2025</v>
      </c>
    </row>
    <row r="2029" spans="1:9" hidden="1" x14ac:dyDescent="0.3">
      <c r="A2029" s="16" t="s">
        <v>140</v>
      </c>
      <c r="B2029" s="16" t="s">
        <v>38</v>
      </c>
      <c r="C2029" s="15">
        <v>10</v>
      </c>
      <c r="D2029" s="17">
        <v>250000</v>
      </c>
      <c r="E2029" s="17">
        <v>253800</v>
      </c>
      <c r="F2029" s="17">
        <v>3800</v>
      </c>
      <c r="G2029" s="18">
        <v>1.0152000000000001</v>
      </c>
      <c r="H2029" s="10" t="str">
        <f t="shared" si="31"/>
        <v>COSTOS</v>
      </c>
      <c r="I2029" s="19">
        <v>2025</v>
      </c>
    </row>
    <row r="2030" spans="1:9" hidden="1" x14ac:dyDescent="0.3">
      <c r="A2030" s="16" t="s">
        <v>140</v>
      </c>
      <c r="B2030" s="16" t="s">
        <v>39</v>
      </c>
      <c r="C2030" s="15">
        <v>7</v>
      </c>
      <c r="D2030" s="17">
        <v>300000</v>
      </c>
      <c r="E2030" s="17">
        <v>0</v>
      </c>
      <c r="F2030" s="17">
        <v>-300000</v>
      </c>
      <c r="G2030" s="18">
        <v>0</v>
      </c>
      <c r="H2030" s="10" t="str">
        <f t="shared" si="31"/>
        <v>COSTOS</v>
      </c>
      <c r="I2030" s="19">
        <v>2025</v>
      </c>
    </row>
    <row r="2031" spans="1:9" hidden="1" x14ac:dyDescent="0.3">
      <c r="A2031" s="16" t="s">
        <v>140</v>
      </c>
      <c r="B2031" s="16" t="s">
        <v>39</v>
      </c>
      <c r="C2031" s="15">
        <v>8</v>
      </c>
      <c r="D2031" s="17">
        <v>300000</v>
      </c>
      <c r="E2031" s="17">
        <v>0</v>
      </c>
      <c r="F2031" s="17">
        <v>-300000</v>
      </c>
      <c r="G2031" s="18">
        <v>0</v>
      </c>
      <c r="H2031" s="10" t="str">
        <f t="shared" si="31"/>
        <v>COSTOS</v>
      </c>
      <c r="I2031" s="19">
        <v>2025</v>
      </c>
    </row>
    <row r="2032" spans="1:9" hidden="1" x14ac:dyDescent="0.3">
      <c r="A2032" s="16" t="s">
        <v>140</v>
      </c>
      <c r="B2032" s="16" t="s">
        <v>39</v>
      </c>
      <c r="C2032" s="15">
        <v>9</v>
      </c>
      <c r="D2032" s="17">
        <v>300000</v>
      </c>
      <c r="E2032" s="17">
        <v>0</v>
      </c>
      <c r="F2032" s="17">
        <v>-300000</v>
      </c>
      <c r="G2032" s="18">
        <v>0</v>
      </c>
      <c r="H2032" s="10" t="str">
        <f t="shared" si="31"/>
        <v>COSTOS</v>
      </c>
      <c r="I2032" s="19">
        <v>2025</v>
      </c>
    </row>
    <row r="2033" spans="1:9" hidden="1" x14ac:dyDescent="0.3">
      <c r="A2033" s="16" t="s">
        <v>140</v>
      </c>
      <c r="B2033" s="16" t="s">
        <v>39</v>
      </c>
      <c r="C2033" s="15">
        <v>10</v>
      </c>
      <c r="D2033" s="17">
        <v>300000</v>
      </c>
      <c r="E2033" s="17">
        <v>0</v>
      </c>
      <c r="F2033" s="17">
        <v>-300000</v>
      </c>
      <c r="G2033" s="18">
        <v>0</v>
      </c>
      <c r="H2033" s="10" t="str">
        <f t="shared" si="31"/>
        <v>COSTOS</v>
      </c>
      <c r="I2033" s="19">
        <v>2025</v>
      </c>
    </row>
    <row r="2034" spans="1:9" hidden="1" x14ac:dyDescent="0.3">
      <c r="A2034" s="16" t="s">
        <v>140</v>
      </c>
      <c r="B2034" s="16" t="s">
        <v>58</v>
      </c>
      <c r="C2034" s="15">
        <v>4</v>
      </c>
      <c r="D2034" s="17">
        <v>0</v>
      </c>
      <c r="E2034" s="17">
        <v>271600</v>
      </c>
      <c r="F2034" s="17">
        <v>271600</v>
      </c>
      <c r="G2034" s="18">
        <v>0</v>
      </c>
      <c r="H2034" s="10" t="str">
        <f t="shared" si="31"/>
        <v>COSTOS</v>
      </c>
      <c r="I2034" s="19">
        <v>2025</v>
      </c>
    </row>
    <row r="2035" spans="1:9" hidden="1" x14ac:dyDescent="0.3">
      <c r="A2035" s="16" t="s">
        <v>140</v>
      </c>
      <c r="B2035" s="16" t="s">
        <v>59</v>
      </c>
      <c r="C2035" s="15">
        <v>6</v>
      </c>
      <c r="D2035" s="17">
        <v>0</v>
      </c>
      <c r="E2035" s="17">
        <v>41500</v>
      </c>
      <c r="F2035" s="17">
        <v>41500</v>
      </c>
      <c r="G2035" s="18">
        <v>0</v>
      </c>
      <c r="H2035" s="10" t="str">
        <f t="shared" si="31"/>
        <v>COSTOS</v>
      </c>
      <c r="I2035" s="19">
        <v>2025</v>
      </c>
    </row>
    <row r="2036" spans="1:9" hidden="1" x14ac:dyDescent="0.3">
      <c r="A2036" s="16" t="s">
        <v>140</v>
      </c>
      <c r="B2036" s="16" t="s">
        <v>59</v>
      </c>
      <c r="C2036" s="15">
        <v>7</v>
      </c>
      <c r="D2036" s="17">
        <v>0</v>
      </c>
      <c r="E2036" s="17">
        <v>96000</v>
      </c>
      <c r="F2036" s="17">
        <v>96000</v>
      </c>
      <c r="G2036" s="18">
        <v>0</v>
      </c>
      <c r="H2036" s="10" t="str">
        <f t="shared" si="31"/>
        <v>COSTOS</v>
      </c>
      <c r="I2036" s="19">
        <v>2025</v>
      </c>
    </row>
    <row r="2037" spans="1:9" hidden="1" x14ac:dyDescent="0.3">
      <c r="A2037" s="16" t="s">
        <v>140</v>
      </c>
      <c r="B2037" s="16" t="s">
        <v>59</v>
      </c>
      <c r="C2037" s="15">
        <v>10</v>
      </c>
      <c r="D2037" s="17">
        <v>0</v>
      </c>
      <c r="E2037" s="17">
        <v>204600</v>
      </c>
      <c r="F2037" s="17">
        <v>204600</v>
      </c>
      <c r="G2037" s="18">
        <v>0</v>
      </c>
      <c r="H2037" s="10" t="str">
        <f t="shared" si="31"/>
        <v>COSTOS</v>
      </c>
      <c r="I2037" s="19">
        <v>2025</v>
      </c>
    </row>
    <row r="2038" spans="1:9" hidden="1" x14ac:dyDescent="0.3">
      <c r="A2038" s="16" t="s">
        <v>140</v>
      </c>
      <c r="B2038" s="16" t="s">
        <v>38</v>
      </c>
      <c r="C2038" s="15">
        <v>11</v>
      </c>
      <c r="D2038" s="17">
        <v>250000</v>
      </c>
      <c r="E2038" s="17">
        <v>153798</v>
      </c>
      <c r="F2038" s="17">
        <v>-96202</v>
      </c>
      <c r="G2038" s="18">
        <v>0.61519199999999996</v>
      </c>
      <c r="H2038" s="10" t="str">
        <f t="shared" si="31"/>
        <v>COSTOS</v>
      </c>
      <c r="I2038" s="19">
        <v>2025</v>
      </c>
    </row>
    <row r="2039" spans="1:9" hidden="1" x14ac:dyDescent="0.3">
      <c r="A2039" s="16" t="s">
        <v>140</v>
      </c>
      <c r="B2039" s="16" t="s">
        <v>39</v>
      </c>
      <c r="C2039" s="15">
        <v>11</v>
      </c>
      <c r="D2039" s="17">
        <v>300000</v>
      </c>
      <c r="E2039" s="17">
        <v>0</v>
      </c>
      <c r="F2039" s="17">
        <v>-300000</v>
      </c>
      <c r="G2039" s="18">
        <v>0</v>
      </c>
      <c r="H2039" s="10" t="str">
        <f t="shared" si="31"/>
        <v>COSTOS</v>
      </c>
      <c r="I2039" s="19">
        <v>2025</v>
      </c>
    </row>
    <row r="2040" spans="1:9" hidden="1" x14ac:dyDescent="0.3">
      <c r="A2040" s="16" t="s">
        <v>140</v>
      </c>
      <c r="B2040" s="16" t="s">
        <v>59</v>
      </c>
      <c r="C2040" s="15">
        <v>11</v>
      </c>
      <c r="D2040" s="17">
        <v>0</v>
      </c>
      <c r="E2040" s="17">
        <v>379601</v>
      </c>
      <c r="F2040" s="17">
        <v>379601</v>
      </c>
      <c r="G2040" s="18">
        <v>0</v>
      </c>
      <c r="H2040" s="10" t="str">
        <f t="shared" si="31"/>
        <v>COSTOS</v>
      </c>
      <c r="I2040" s="19">
        <v>2025</v>
      </c>
    </row>
    <row r="2041" spans="1:9" hidden="1" x14ac:dyDescent="0.3">
      <c r="A2041" s="16" t="s">
        <v>140</v>
      </c>
      <c r="B2041" s="16" t="s">
        <v>38</v>
      </c>
      <c r="C2041" s="15">
        <v>12</v>
      </c>
      <c r="D2041" s="17">
        <v>250000</v>
      </c>
      <c r="E2041" s="17">
        <v>0</v>
      </c>
      <c r="F2041" s="17">
        <v>-250000</v>
      </c>
      <c r="G2041" s="18">
        <v>0</v>
      </c>
      <c r="H2041" s="10" t="str">
        <f t="shared" si="31"/>
        <v>COSTOS</v>
      </c>
      <c r="I2041" s="19">
        <v>2025</v>
      </c>
    </row>
    <row r="2042" spans="1:9" hidden="1" x14ac:dyDescent="0.3">
      <c r="A2042" s="16" t="s">
        <v>140</v>
      </c>
      <c r="B2042" s="16" t="s">
        <v>39</v>
      </c>
      <c r="C2042" s="15">
        <v>12</v>
      </c>
      <c r="D2042" s="17">
        <v>300000</v>
      </c>
      <c r="E2042" s="17">
        <v>195265</v>
      </c>
      <c r="F2042" s="17">
        <v>-104735</v>
      </c>
      <c r="G2042" s="18">
        <v>0.65088333333333337</v>
      </c>
      <c r="H2042" s="10" t="str">
        <f t="shared" si="31"/>
        <v>COSTOS</v>
      </c>
      <c r="I2042" s="19">
        <v>2025</v>
      </c>
    </row>
    <row r="2043" spans="1:9" hidden="1" x14ac:dyDescent="0.3">
      <c r="A2043" s="16" t="s">
        <v>140</v>
      </c>
      <c r="B2043" s="16" t="s">
        <v>59</v>
      </c>
      <c r="C2043" s="15">
        <v>12</v>
      </c>
      <c r="D2043" s="17">
        <v>0</v>
      </c>
      <c r="E2043" s="17">
        <v>79000</v>
      </c>
      <c r="F2043" s="17">
        <v>79000</v>
      </c>
      <c r="G2043" s="18">
        <v>0</v>
      </c>
      <c r="H2043" s="10" t="str">
        <f t="shared" si="31"/>
        <v>COSTOS</v>
      </c>
      <c r="I2043" s="19">
        <v>2025</v>
      </c>
    </row>
    <row r="2044" spans="1:9" hidden="1" x14ac:dyDescent="0.3">
      <c r="A2044" s="16" t="s">
        <v>141</v>
      </c>
      <c r="B2044" s="16" t="s">
        <v>215</v>
      </c>
      <c r="C2044" s="15">
        <v>8</v>
      </c>
      <c r="D2044" s="17">
        <v>0</v>
      </c>
      <c r="E2044" s="17">
        <v>522750</v>
      </c>
      <c r="F2044" s="17">
        <v>522750</v>
      </c>
      <c r="G2044" s="18">
        <v>0</v>
      </c>
      <c r="H2044" s="10" t="str">
        <f t="shared" si="31"/>
        <v>COSTOS</v>
      </c>
      <c r="I2044" s="19">
        <v>2025</v>
      </c>
    </row>
    <row r="2045" spans="1:9" hidden="1" x14ac:dyDescent="0.3">
      <c r="A2045" s="16" t="s">
        <v>141</v>
      </c>
      <c r="B2045" s="16" t="s">
        <v>54</v>
      </c>
      <c r="C2045" s="15">
        <v>5</v>
      </c>
      <c r="D2045" s="17">
        <v>0</v>
      </c>
      <c r="E2045" s="17">
        <v>1863960</v>
      </c>
      <c r="F2045" s="17">
        <v>1863960</v>
      </c>
      <c r="G2045" s="18">
        <v>0</v>
      </c>
      <c r="H2045" s="10" t="str">
        <f t="shared" si="31"/>
        <v>COSTOS</v>
      </c>
      <c r="I2045" s="19">
        <v>2025</v>
      </c>
    </row>
    <row r="2046" spans="1:9" hidden="1" x14ac:dyDescent="0.3">
      <c r="A2046" s="16" t="s">
        <v>141</v>
      </c>
      <c r="B2046" s="16" t="s">
        <v>54</v>
      </c>
      <c r="C2046" s="15">
        <v>6</v>
      </c>
      <c r="D2046" s="17">
        <v>0</v>
      </c>
      <c r="E2046" s="17">
        <v>510638</v>
      </c>
      <c r="F2046" s="17">
        <v>510638</v>
      </c>
      <c r="G2046" s="18">
        <v>0</v>
      </c>
      <c r="H2046" s="10" t="str">
        <f t="shared" si="31"/>
        <v>COSTOS</v>
      </c>
      <c r="I2046" s="19">
        <v>2025</v>
      </c>
    </row>
    <row r="2047" spans="1:9" hidden="1" x14ac:dyDescent="0.3">
      <c r="A2047" s="16" t="s">
        <v>141</v>
      </c>
      <c r="B2047" s="16" t="s">
        <v>54</v>
      </c>
      <c r="C2047" s="15">
        <v>7</v>
      </c>
      <c r="D2047" s="17">
        <v>0</v>
      </c>
      <c r="E2047" s="17">
        <v>3810145</v>
      </c>
      <c r="F2047" s="17">
        <v>3810145</v>
      </c>
      <c r="G2047" s="18">
        <v>0</v>
      </c>
      <c r="H2047" s="10" t="str">
        <f t="shared" si="31"/>
        <v>COSTOS</v>
      </c>
      <c r="I2047" s="19">
        <v>2025</v>
      </c>
    </row>
    <row r="2048" spans="1:9" hidden="1" x14ac:dyDescent="0.3">
      <c r="A2048" s="16" t="s">
        <v>141</v>
      </c>
      <c r="B2048" s="16" t="s">
        <v>54</v>
      </c>
      <c r="C2048" s="15">
        <v>8</v>
      </c>
      <c r="D2048" s="17">
        <v>0</v>
      </c>
      <c r="E2048" s="17">
        <v>-248220</v>
      </c>
      <c r="F2048" s="17">
        <v>-248220</v>
      </c>
      <c r="G2048" s="18">
        <v>0</v>
      </c>
      <c r="H2048" s="10" t="str">
        <f t="shared" si="31"/>
        <v>COSTOS</v>
      </c>
      <c r="I2048" s="19">
        <v>2025</v>
      </c>
    </row>
    <row r="2049" spans="1:9" hidden="1" x14ac:dyDescent="0.3">
      <c r="A2049" s="16" t="s">
        <v>141</v>
      </c>
      <c r="B2049" s="16" t="s">
        <v>38</v>
      </c>
      <c r="C2049" s="15">
        <v>4</v>
      </c>
      <c r="D2049" s="17">
        <v>0</v>
      </c>
      <c r="E2049" s="17">
        <v>593010</v>
      </c>
      <c r="F2049" s="17">
        <v>593010</v>
      </c>
      <c r="G2049" s="18">
        <v>0</v>
      </c>
      <c r="H2049" s="10" t="str">
        <f t="shared" si="31"/>
        <v>COSTOS</v>
      </c>
      <c r="I2049" s="19">
        <v>2025</v>
      </c>
    </row>
    <row r="2050" spans="1:9" hidden="1" x14ac:dyDescent="0.3">
      <c r="A2050" s="16" t="s">
        <v>141</v>
      </c>
      <c r="B2050" s="16" t="s">
        <v>38</v>
      </c>
      <c r="C2050" s="15">
        <v>6</v>
      </c>
      <c r="D2050" s="17">
        <v>0</v>
      </c>
      <c r="E2050" s="17">
        <v>165480</v>
      </c>
      <c r="F2050" s="17">
        <v>165480</v>
      </c>
      <c r="G2050" s="18">
        <v>0</v>
      </c>
      <c r="H2050" s="10" t="str">
        <f t="shared" si="31"/>
        <v>COSTOS</v>
      </c>
      <c r="I2050" s="19">
        <v>2025</v>
      </c>
    </row>
    <row r="2051" spans="1:9" hidden="1" x14ac:dyDescent="0.3">
      <c r="A2051" s="16" t="s">
        <v>141</v>
      </c>
      <c r="B2051" s="16" t="s">
        <v>39</v>
      </c>
      <c r="C2051" s="15">
        <v>1</v>
      </c>
      <c r="D2051" s="17">
        <v>109699</v>
      </c>
      <c r="E2051" s="17">
        <v>109699</v>
      </c>
      <c r="F2051" s="17">
        <v>0</v>
      </c>
      <c r="G2051" s="18">
        <v>1</v>
      </c>
      <c r="H2051" s="10" t="str">
        <f t="shared" ref="H2051:H2114" si="32">+IF(OR(A2051="ADMINISTRACION",A2051="COMERCIAL",A2051="COMERCIAL-EXPORTACIONES",A2051="LEASING DE LA BODEGA",A2051="LOGISTICA-SALIDA",A2051="OTROS GASTOS",A2051="BODEGA ALQUILADA", A2051="BODEGA CARTOPLAST", A2051="BODEGA CARTOPLAS", A2051= "GESTION HUMANA-OTROS GASTOS"),"GASTOS","COSTOS")</f>
        <v>COSTOS</v>
      </c>
      <c r="I2051" s="19">
        <v>2025</v>
      </c>
    </row>
    <row r="2052" spans="1:9" hidden="1" x14ac:dyDescent="0.3">
      <c r="A2052" s="16" t="s">
        <v>141</v>
      </c>
      <c r="B2052" s="16" t="s">
        <v>39</v>
      </c>
      <c r="C2052" s="15">
        <v>2</v>
      </c>
      <c r="D2052" s="17">
        <v>109699</v>
      </c>
      <c r="E2052" s="17">
        <v>109699</v>
      </c>
      <c r="F2052" s="17">
        <v>0</v>
      </c>
      <c r="G2052" s="18">
        <v>1</v>
      </c>
      <c r="H2052" s="10" t="str">
        <f t="shared" si="32"/>
        <v>COSTOS</v>
      </c>
      <c r="I2052" s="19">
        <v>2025</v>
      </c>
    </row>
    <row r="2053" spans="1:9" hidden="1" x14ac:dyDescent="0.3">
      <c r="A2053" s="16" t="s">
        <v>141</v>
      </c>
      <c r="B2053" s="16" t="s">
        <v>39</v>
      </c>
      <c r="C2053" s="15">
        <v>3</v>
      </c>
      <c r="D2053" s="17">
        <v>109699</v>
      </c>
      <c r="E2053" s="17">
        <v>109699</v>
      </c>
      <c r="F2053" s="17">
        <v>0</v>
      </c>
      <c r="G2053" s="18">
        <v>1</v>
      </c>
      <c r="H2053" s="10" t="str">
        <f t="shared" si="32"/>
        <v>COSTOS</v>
      </c>
      <c r="I2053" s="19">
        <v>2025</v>
      </c>
    </row>
    <row r="2054" spans="1:9" hidden="1" x14ac:dyDescent="0.3">
      <c r="A2054" s="16" t="s">
        <v>141</v>
      </c>
      <c r="B2054" s="16" t="s">
        <v>39</v>
      </c>
      <c r="C2054" s="15">
        <v>4</v>
      </c>
      <c r="D2054" s="17">
        <v>109699</v>
      </c>
      <c r="E2054" s="17">
        <v>109699</v>
      </c>
      <c r="F2054" s="17">
        <v>0</v>
      </c>
      <c r="G2054" s="18">
        <v>1</v>
      </c>
      <c r="H2054" s="10" t="str">
        <f t="shared" si="32"/>
        <v>COSTOS</v>
      </c>
      <c r="I2054" s="19">
        <v>2025</v>
      </c>
    </row>
    <row r="2055" spans="1:9" hidden="1" x14ac:dyDescent="0.3">
      <c r="A2055" s="16" t="s">
        <v>141</v>
      </c>
      <c r="B2055" s="16" t="s">
        <v>39</v>
      </c>
      <c r="C2055" s="15">
        <v>5</v>
      </c>
      <c r="D2055" s="17">
        <v>109699</v>
      </c>
      <c r="E2055" s="17">
        <v>109699</v>
      </c>
      <c r="F2055" s="17">
        <v>0</v>
      </c>
      <c r="G2055" s="18">
        <v>1</v>
      </c>
      <c r="H2055" s="10" t="str">
        <f t="shared" si="32"/>
        <v>COSTOS</v>
      </c>
      <c r="I2055" s="19">
        <v>2025</v>
      </c>
    </row>
    <row r="2056" spans="1:9" hidden="1" x14ac:dyDescent="0.3">
      <c r="A2056" s="16" t="s">
        <v>141</v>
      </c>
      <c r="B2056" s="16" t="s">
        <v>39</v>
      </c>
      <c r="C2056" s="15">
        <v>6</v>
      </c>
      <c r="D2056" s="17">
        <v>109699</v>
      </c>
      <c r="E2056" s="17">
        <v>109699</v>
      </c>
      <c r="F2056" s="17">
        <v>0</v>
      </c>
      <c r="G2056" s="18">
        <v>1</v>
      </c>
      <c r="H2056" s="10" t="str">
        <f t="shared" si="32"/>
        <v>COSTOS</v>
      </c>
      <c r="I2056" s="19">
        <v>2025</v>
      </c>
    </row>
    <row r="2057" spans="1:9" hidden="1" x14ac:dyDescent="0.3">
      <c r="A2057" s="16" t="s">
        <v>141</v>
      </c>
      <c r="B2057" s="16" t="s">
        <v>39</v>
      </c>
      <c r="C2057" s="15">
        <v>7</v>
      </c>
      <c r="D2057" s="17">
        <v>109699</v>
      </c>
      <c r="E2057" s="17">
        <v>109699</v>
      </c>
      <c r="F2057" s="17">
        <v>0</v>
      </c>
      <c r="G2057" s="18">
        <v>1</v>
      </c>
      <c r="H2057" s="10" t="str">
        <f t="shared" si="32"/>
        <v>COSTOS</v>
      </c>
      <c r="I2057" s="19">
        <v>2025</v>
      </c>
    </row>
    <row r="2058" spans="1:9" hidden="1" x14ac:dyDescent="0.3">
      <c r="A2058" s="16" t="s">
        <v>141</v>
      </c>
      <c r="B2058" s="16" t="s">
        <v>39</v>
      </c>
      <c r="C2058" s="15">
        <v>8</v>
      </c>
      <c r="D2058" s="17">
        <v>109699</v>
      </c>
      <c r="E2058" s="17">
        <v>109699</v>
      </c>
      <c r="F2058" s="17">
        <v>0</v>
      </c>
      <c r="G2058" s="18">
        <v>1</v>
      </c>
      <c r="H2058" s="10" t="str">
        <f t="shared" si="32"/>
        <v>COSTOS</v>
      </c>
      <c r="I2058" s="19">
        <v>2025</v>
      </c>
    </row>
    <row r="2059" spans="1:9" hidden="1" x14ac:dyDescent="0.3">
      <c r="A2059" s="16" t="s">
        <v>141</v>
      </c>
      <c r="B2059" s="16" t="s">
        <v>39</v>
      </c>
      <c r="C2059" s="15">
        <v>9</v>
      </c>
      <c r="D2059" s="17">
        <v>109699</v>
      </c>
      <c r="E2059" s="17">
        <v>109699</v>
      </c>
      <c r="F2059" s="17">
        <v>0</v>
      </c>
      <c r="G2059" s="18">
        <v>1</v>
      </c>
      <c r="H2059" s="10" t="str">
        <f t="shared" si="32"/>
        <v>COSTOS</v>
      </c>
      <c r="I2059" s="19">
        <v>2025</v>
      </c>
    </row>
    <row r="2060" spans="1:9" hidden="1" x14ac:dyDescent="0.3">
      <c r="A2060" s="16" t="s">
        <v>141</v>
      </c>
      <c r="B2060" s="16" t="s">
        <v>39</v>
      </c>
      <c r="C2060" s="15">
        <v>10</v>
      </c>
      <c r="D2060" s="17">
        <v>109699</v>
      </c>
      <c r="E2060" s="17">
        <v>109699</v>
      </c>
      <c r="F2060" s="17">
        <v>0</v>
      </c>
      <c r="G2060" s="18">
        <v>1</v>
      </c>
      <c r="H2060" s="10" t="str">
        <f t="shared" si="32"/>
        <v>COSTOS</v>
      </c>
      <c r="I2060" s="19">
        <v>2025</v>
      </c>
    </row>
    <row r="2061" spans="1:9" hidden="1" x14ac:dyDescent="0.3">
      <c r="A2061" s="16" t="s">
        <v>141</v>
      </c>
      <c r="B2061" s="16" t="s">
        <v>59</v>
      </c>
      <c r="C2061" s="15">
        <v>7</v>
      </c>
      <c r="D2061" s="17">
        <v>0</v>
      </c>
      <c r="E2061" s="17">
        <v>759100</v>
      </c>
      <c r="F2061" s="17">
        <v>759100</v>
      </c>
      <c r="G2061" s="18">
        <v>0</v>
      </c>
      <c r="H2061" s="10" t="str">
        <f t="shared" si="32"/>
        <v>COSTOS</v>
      </c>
      <c r="I2061" s="19">
        <v>2025</v>
      </c>
    </row>
    <row r="2062" spans="1:9" hidden="1" x14ac:dyDescent="0.3">
      <c r="A2062" s="16" t="s">
        <v>141</v>
      </c>
      <c r="B2062" s="16" t="s">
        <v>59</v>
      </c>
      <c r="C2062" s="15">
        <v>9</v>
      </c>
      <c r="D2062" s="17">
        <v>0</v>
      </c>
      <c r="E2062" s="17">
        <v>165750</v>
      </c>
      <c r="F2062" s="17">
        <v>165750</v>
      </c>
      <c r="G2062" s="18">
        <v>0</v>
      </c>
      <c r="H2062" s="10" t="str">
        <f t="shared" si="32"/>
        <v>COSTOS</v>
      </c>
      <c r="I2062" s="19">
        <v>2025</v>
      </c>
    </row>
    <row r="2063" spans="1:9" hidden="1" x14ac:dyDescent="0.3">
      <c r="A2063" s="16" t="s">
        <v>141</v>
      </c>
      <c r="B2063" s="16" t="s">
        <v>38</v>
      </c>
      <c r="C2063" s="15">
        <v>11</v>
      </c>
      <c r="D2063" s="17">
        <v>0</v>
      </c>
      <c r="E2063" s="17">
        <v>440500</v>
      </c>
      <c r="F2063" s="17">
        <v>440500</v>
      </c>
      <c r="G2063" s="18">
        <v>0</v>
      </c>
      <c r="H2063" s="10" t="str">
        <f t="shared" si="32"/>
        <v>COSTOS</v>
      </c>
      <c r="I2063" s="19">
        <v>2025</v>
      </c>
    </row>
    <row r="2064" spans="1:9" hidden="1" x14ac:dyDescent="0.3">
      <c r="A2064" s="16" t="s">
        <v>141</v>
      </c>
      <c r="B2064" s="16" t="s">
        <v>39</v>
      </c>
      <c r="C2064" s="15">
        <v>11</v>
      </c>
      <c r="D2064" s="17">
        <v>109699</v>
      </c>
      <c r="E2064" s="17">
        <v>109699</v>
      </c>
      <c r="F2064" s="17">
        <v>0</v>
      </c>
      <c r="G2064" s="18">
        <v>1</v>
      </c>
      <c r="H2064" s="10" t="str">
        <f t="shared" si="32"/>
        <v>COSTOS</v>
      </c>
      <c r="I2064" s="19">
        <v>2025</v>
      </c>
    </row>
    <row r="2065" spans="1:9" hidden="1" x14ac:dyDescent="0.3">
      <c r="A2065" s="16" t="s">
        <v>141</v>
      </c>
      <c r="B2065" s="16" t="s">
        <v>39</v>
      </c>
      <c r="C2065" s="15">
        <v>12</v>
      </c>
      <c r="D2065" s="17">
        <v>109699</v>
      </c>
      <c r="E2065" s="17">
        <v>109699</v>
      </c>
      <c r="F2065" s="17">
        <v>0</v>
      </c>
      <c r="G2065" s="18">
        <v>1</v>
      </c>
      <c r="H2065" s="10" t="str">
        <f t="shared" si="32"/>
        <v>COSTOS</v>
      </c>
      <c r="I2065" s="19">
        <v>2025</v>
      </c>
    </row>
    <row r="2066" spans="1:9" hidden="1" x14ac:dyDescent="0.3">
      <c r="A2066" s="16" t="s">
        <v>142</v>
      </c>
      <c r="B2066" s="16" t="s">
        <v>16</v>
      </c>
      <c r="C2066" s="15">
        <v>8</v>
      </c>
      <c r="D2066" s="17">
        <v>0</v>
      </c>
      <c r="E2066" s="17">
        <v>12600</v>
      </c>
      <c r="F2066" s="17">
        <v>12600</v>
      </c>
      <c r="G2066" s="18">
        <v>0</v>
      </c>
      <c r="H2066" s="10" t="str">
        <f t="shared" si="32"/>
        <v>COSTOS</v>
      </c>
      <c r="I2066" s="19">
        <v>2025</v>
      </c>
    </row>
    <row r="2067" spans="1:9" hidden="1" x14ac:dyDescent="0.3">
      <c r="A2067" s="16" t="s">
        <v>142</v>
      </c>
      <c r="B2067" s="16" t="s">
        <v>54</v>
      </c>
      <c r="C2067" s="15">
        <v>1</v>
      </c>
      <c r="D2067" s="17">
        <v>0</v>
      </c>
      <c r="E2067" s="17">
        <v>522000</v>
      </c>
      <c r="F2067" s="17">
        <v>522000</v>
      </c>
      <c r="G2067" s="18">
        <v>0</v>
      </c>
      <c r="H2067" s="10" t="str">
        <f t="shared" si="32"/>
        <v>COSTOS</v>
      </c>
      <c r="I2067" s="19">
        <v>2025</v>
      </c>
    </row>
    <row r="2068" spans="1:9" hidden="1" x14ac:dyDescent="0.3">
      <c r="A2068" s="16" t="s">
        <v>142</v>
      </c>
      <c r="B2068" s="16" t="s">
        <v>54</v>
      </c>
      <c r="C2068" s="15">
        <v>4</v>
      </c>
      <c r="D2068" s="17">
        <v>0</v>
      </c>
      <c r="E2068" s="17">
        <v>228000</v>
      </c>
      <c r="F2068" s="17">
        <v>228000</v>
      </c>
      <c r="G2068" s="18">
        <v>0</v>
      </c>
      <c r="H2068" s="10" t="str">
        <f t="shared" si="32"/>
        <v>COSTOS</v>
      </c>
      <c r="I2068" s="19">
        <v>2025</v>
      </c>
    </row>
    <row r="2069" spans="1:9" hidden="1" x14ac:dyDescent="0.3">
      <c r="A2069" s="16" t="s">
        <v>142</v>
      </c>
      <c r="B2069" s="16" t="s">
        <v>54</v>
      </c>
      <c r="C2069" s="15">
        <v>5</v>
      </c>
      <c r="D2069" s="17">
        <v>0</v>
      </c>
      <c r="E2069" s="17">
        <v>64800</v>
      </c>
      <c r="F2069" s="17">
        <v>64800</v>
      </c>
      <c r="G2069" s="18">
        <v>0</v>
      </c>
      <c r="H2069" s="10" t="str">
        <f t="shared" si="32"/>
        <v>COSTOS</v>
      </c>
      <c r="I2069" s="19">
        <v>2025</v>
      </c>
    </row>
    <row r="2070" spans="1:9" hidden="1" x14ac:dyDescent="0.3">
      <c r="A2070" s="16" t="s">
        <v>142</v>
      </c>
      <c r="B2070" s="16" t="s">
        <v>54</v>
      </c>
      <c r="C2070" s="15">
        <v>8</v>
      </c>
      <c r="D2070" s="17">
        <v>0</v>
      </c>
      <c r="E2070" s="17">
        <v>1993691</v>
      </c>
      <c r="F2070" s="17">
        <v>1993691</v>
      </c>
      <c r="G2070" s="18">
        <v>0</v>
      </c>
      <c r="H2070" s="10" t="str">
        <f t="shared" si="32"/>
        <v>COSTOS</v>
      </c>
      <c r="I2070" s="19">
        <v>2025</v>
      </c>
    </row>
    <row r="2071" spans="1:9" hidden="1" x14ac:dyDescent="0.3">
      <c r="A2071" s="16" t="s">
        <v>142</v>
      </c>
      <c r="B2071" s="16" t="s">
        <v>54</v>
      </c>
      <c r="C2071" s="15">
        <v>9</v>
      </c>
      <c r="D2071" s="17">
        <v>0</v>
      </c>
      <c r="E2071" s="17">
        <v>6068870</v>
      </c>
      <c r="F2071" s="17">
        <v>6068870</v>
      </c>
      <c r="G2071" s="18">
        <v>0</v>
      </c>
      <c r="H2071" s="10" t="str">
        <f t="shared" si="32"/>
        <v>COSTOS</v>
      </c>
      <c r="I2071" s="19">
        <v>2025</v>
      </c>
    </row>
    <row r="2072" spans="1:9" hidden="1" x14ac:dyDescent="0.3">
      <c r="A2072" s="16" t="s">
        <v>142</v>
      </c>
      <c r="B2072" s="16" t="s">
        <v>38</v>
      </c>
      <c r="C2072" s="15">
        <v>1</v>
      </c>
      <c r="D2072" s="17">
        <v>1840000</v>
      </c>
      <c r="E2072" s="17">
        <v>130356</v>
      </c>
      <c r="F2072" s="17">
        <v>-1709644</v>
      </c>
      <c r="G2072" s="18">
        <v>7.0845652173913046E-2</v>
      </c>
      <c r="H2072" s="10" t="str">
        <f t="shared" si="32"/>
        <v>COSTOS</v>
      </c>
      <c r="I2072" s="19">
        <v>2025</v>
      </c>
    </row>
    <row r="2073" spans="1:9" hidden="1" x14ac:dyDescent="0.3">
      <c r="A2073" s="16" t="s">
        <v>142</v>
      </c>
      <c r="B2073" s="16" t="s">
        <v>38</v>
      </c>
      <c r="C2073" s="15">
        <v>2</v>
      </c>
      <c r="D2073" s="17">
        <v>1840000</v>
      </c>
      <c r="E2073" s="17">
        <v>220168</v>
      </c>
      <c r="F2073" s="17">
        <v>-1619832</v>
      </c>
      <c r="G2073" s="18">
        <v>0.11965652173913044</v>
      </c>
      <c r="H2073" s="10" t="str">
        <f t="shared" si="32"/>
        <v>COSTOS</v>
      </c>
      <c r="I2073" s="19">
        <v>2025</v>
      </c>
    </row>
    <row r="2074" spans="1:9" hidden="1" x14ac:dyDescent="0.3">
      <c r="A2074" s="16" t="s">
        <v>142</v>
      </c>
      <c r="B2074" s="16" t="s">
        <v>38</v>
      </c>
      <c r="C2074" s="15">
        <v>3</v>
      </c>
      <c r="D2074" s="17">
        <v>1840000</v>
      </c>
      <c r="E2074" s="17">
        <v>152100</v>
      </c>
      <c r="F2074" s="17">
        <v>-1687900</v>
      </c>
      <c r="G2074" s="18">
        <v>8.2663043478260867E-2</v>
      </c>
      <c r="H2074" s="10" t="str">
        <f t="shared" si="32"/>
        <v>COSTOS</v>
      </c>
      <c r="I2074" s="19">
        <v>2025</v>
      </c>
    </row>
    <row r="2075" spans="1:9" hidden="1" x14ac:dyDescent="0.3">
      <c r="A2075" s="16" t="s">
        <v>142</v>
      </c>
      <c r="B2075" s="16" t="s">
        <v>38</v>
      </c>
      <c r="C2075" s="15">
        <v>4</v>
      </c>
      <c r="D2075" s="17">
        <v>1840000</v>
      </c>
      <c r="E2075" s="17">
        <v>55840</v>
      </c>
      <c r="F2075" s="17">
        <v>-1784160</v>
      </c>
      <c r="G2075" s="18">
        <v>3.0347826086956523E-2</v>
      </c>
      <c r="H2075" s="10" t="str">
        <f t="shared" si="32"/>
        <v>COSTOS</v>
      </c>
      <c r="I2075" s="19">
        <v>2025</v>
      </c>
    </row>
    <row r="2076" spans="1:9" hidden="1" x14ac:dyDescent="0.3">
      <c r="A2076" s="16" t="s">
        <v>142</v>
      </c>
      <c r="B2076" s="16" t="s">
        <v>38</v>
      </c>
      <c r="C2076" s="15">
        <v>5</v>
      </c>
      <c r="D2076" s="17">
        <v>1840000</v>
      </c>
      <c r="E2076" s="17">
        <v>306040</v>
      </c>
      <c r="F2076" s="17">
        <v>-1533960</v>
      </c>
      <c r="G2076" s="18">
        <v>0.16632608695652173</v>
      </c>
      <c r="H2076" s="10" t="str">
        <f t="shared" si="32"/>
        <v>COSTOS</v>
      </c>
      <c r="I2076" s="19">
        <v>2025</v>
      </c>
    </row>
    <row r="2077" spans="1:9" hidden="1" x14ac:dyDescent="0.3">
      <c r="A2077" s="16" t="s">
        <v>142</v>
      </c>
      <c r="B2077" s="16" t="s">
        <v>38</v>
      </c>
      <c r="C2077" s="15">
        <v>6</v>
      </c>
      <c r="D2077" s="17">
        <v>1840000</v>
      </c>
      <c r="E2077" s="17">
        <v>3574956</v>
      </c>
      <c r="F2077" s="17">
        <v>1734956</v>
      </c>
      <c r="G2077" s="18">
        <v>1.9429108695652175</v>
      </c>
      <c r="H2077" s="10" t="str">
        <f t="shared" si="32"/>
        <v>COSTOS</v>
      </c>
      <c r="I2077" s="19">
        <v>2025</v>
      </c>
    </row>
    <row r="2078" spans="1:9" hidden="1" x14ac:dyDescent="0.3">
      <c r="A2078" s="16" t="s">
        <v>142</v>
      </c>
      <c r="B2078" s="16" t="s">
        <v>38</v>
      </c>
      <c r="C2078" s="15">
        <v>7</v>
      </c>
      <c r="D2078" s="17">
        <v>1840000</v>
      </c>
      <c r="E2078" s="17">
        <v>95450</v>
      </c>
      <c r="F2078" s="17">
        <v>-1744550</v>
      </c>
      <c r="G2078" s="18">
        <v>5.1874999999999998E-2</v>
      </c>
      <c r="H2078" s="10" t="str">
        <f t="shared" si="32"/>
        <v>COSTOS</v>
      </c>
      <c r="I2078" s="19">
        <v>2025</v>
      </c>
    </row>
    <row r="2079" spans="1:9" hidden="1" x14ac:dyDescent="0.3">
      <c r="A2079" s="16" t="s">
        <v>142</v>
      </c>
      <c r="B2079" s="16" t="s">
        <v>38</v>
      </c>
      <c r="C2079" s="15">
        <v>8</v>
      </c>
      <c r="D2079" s="17">
        <v>1840000</v>
      </c>
      <c r="E2079" s="17">
        <v>0</v>
      </c>
      <c r="F2079" s="17">
        <v>-1840000</v>
      </c>
      <c r="G2079" s="18">
        <v>0</v>
      </c>
      <c r="H2079" s="10" t="str">
        <f t="shared" si="32"/>
        <v>COSTOS</v>
      </c>
      <c r="I2079" s="19">
        <v>2025</v>
      </c>
    </row>
    <row r="2080" spans="1:9" hidden="1" x14ac:dyDescent="0.3">
      <c r="A2080" s="16" t="s">
        <v>142</v>
      </c>
      <c r="B2080" s="16" t="s">
        <v>38</v>
      </c>
      <c r="C2080" s="15">
        <v>9</v>
      </c>
      <c r="D2080" s="17">
        <v>1840000</v>
      </c>
      <c r="E2080" s="17">
        <v>0</v>
      </c>
      <c r="F2080" s="17">
        <v>-1840000</v>
      </c>
      <c r="G2080" s="18">
        <v>0</v>
      </c>
      <c r="H2080" s="10" t="str">
        <f t="shared" si="32"/>
        <v>COSTOS</v>
      </c>
      <c r="I2080" s="19">
        <v>2025</v>
      </c>
    </row>
    <row r="2081" spans="1:9" hidden="1" x14ac:dyDescent="0.3">
      <c r="A2081" s="16" t="s">
        <v>142</v>
      </c>
      <c r="B2081" s="16" t="s">
        <v>38</v>
      </c>
      <c r="C2081" s="15">
        <v>10</v>
      </c>
      <c r="D2081" s="17">
        <v>1840000</v>
      </c>
      <c r="E2081" s="17">
        <v>51800</v>
      </c>
      <c r="F2081" s="17">
        <v>-1788200</v>
      </c>
      <c r="G2081" s="18">
        <v>2.815217391304348E-2</v>
      </c>
      <c r="H2081" s="10" t="str">
        <f t="shared" si="32"/>
        <v>COSTOS</v>
      </c>
      <c r="I2081" s="19">
        <v>2025</v>
      </c>
    </row>
    <row r="2082" spans="1:9" hidden="1" x14ac:dyDescent="0.3">
      <c r="A2082" s="16" t="s">
        <v>142</v>
      </c>
      <c r="B2082" s="16" t="s">
        <v>52</v>
      </c>
      <c r="C2082" s="15">
        <v>2</v>
      </c>
      <c r="D2082" s="17">
        <v>0</v>
      </c>
      <c r="E2082" s="17">
        <v>29411</v>
      </c>
      <c r="F2082" s="17">
        <v>29411</v>
      </c>
      <c r="G2082" s="18">
        <v>0</v>
      </c>
      <c r="H2082" s="10" t="str">
        <f t="shared" si="32"/>
        <v>COSTOS</v>
      </c>
      <c r="I2082" s="19">
        <v>2025</v>
      </c>
    </row>
    <row r="2083" spans="1:9" hidden="1" x14ac:dyDescent="0.3">
      <c r="A2083" s="16" t="s">
        <v>142</v>
      </c>
      <c r="B2083" s="16" t="s">
        <v>58</v>
      </c>
      <c r="C2083" s="15">
        <v>9</v>
      </c>
      <c r="D2083" s="17">
        <v>0</v>
      </c>
      <c r="E2083" s="17">
        <v>139100</v>
      </c>
      <c r="F2083" s="17">
        <v>139100</v>
      </c>
      <c r="G2083" s="18">
        <v>0</v>
      </c>
      <c r="H2083" s="10" t="str">
        <f t="shared" si="32"/>
        <v>COSTOS</v>
      </c>
      <c r="I2083" s="19">
        <v>2025</v>
      </c>
    </row>
    <row r="2084" spans="1:9" hidden="1" x14ac:dyDescent="0.3">
      <c r="A2084" s="16" t="s">
        <v>142</v>
      </c>
      <c r="B2084" s="16" t="s">
        <v>54</v>
      </c>
      <c r="C2084" s="15">
        <v>11</v>
      </c>
      <c r="D2084" s="17">
        <v>0</v>
      </c>
      <c r="E2084" s="17">
        <v>12605</v>
      </c>
      <c r="F2084" s="17">
        <v>12605</v>
      </c>
      <c r="G2084" s="18">
        <v>0</v>
      </c>
      <c r="H2084" s="10" t="str">
        <f t="shared" si="32"/>
        <v>COSTOS</v>
      </c>
      <c r="I2084" s="19">
        <v>2025</v>
      </c>
    </row>
    <row r="2085" spans="1:9" hidden="1" x14ac:dyDescent="0.3">
      <c r="A2085" s="16" t="s">
        <v>142</v>
      </c>
      <c r="B2085" s="16" t="s">
        <v>38</v>
      </c>
      <c r="C2085" s="15">
        <v>11</v>
      </c>
      <c r="D2085" s="17">
        <v>1840000</v>
      </c>
      <c r="E2085" s="17">
        <v>542861</v>
      </c>
      <c r="F2085" s="17">
        <v>-1297139</v>
      </c>
      <c r="G2085" s="18">
        <v>0.29503315217391307</v>
      </c>
      <c r="H2085" s="10" t="str">
        <f t="shared" si="32"/>
        <v>COSTOS</v>
      </c>
      <c r="I2085" s="19">
        <v>2025</v>
      </c>
    </row>
    <row r="2086" spans="1:9" hidden="1" x14ac:dyDescent="0.3">
      <c r="A2086" s="16" t="s">
        <v>142</v>
      </c>
      <c r="B2086" s="16" t="s">
        <v>38</v>
      </c>
      <c r="C2086" s="15">
        <v>12</v>
      </c>
      <c r="D2086" s="17">
        <v>1840000</v>
      </c>
      <c r="E2086" s="17">
        <v>400332</v>
      </c>
      <c r="F2086" s="17">
        <v>-1439668</v>
      </c>
      <c r="G2086" s="18">
        <v>0.21757173913043479</v>
      </c>
      <c r="H2086" s="10" t="str">
        <f t="shared" si="32"/>
        <v>COSTOS</v>
      </c>
      <c r="I2086" s="19">
        <v>2025</v>
      </c>
    </row>
    <row r="2087" spans="1:9" hidden="1" x14ac:dyDescent="0.3">
      <c r="A2087" s="16" t="s">
        <v>143</v>
      </c>
      <c r="B2087" s="16" t="s">
        <v>16</v>
      </c>
      <c r="C2087" s="15">
        <v>4</v>
      </c>
      <c r="D2087" s="17">
        <v>0</v>
      </c>
      <c r="E2087" s="17">
        <v>17000</v>
      </c>
      <c r="F2087" s="17">
        <v>17000</v>
      </c>
      <c r="G2087" s="18">
        <v>0</v>
      </c>
      <c r="H2087" s="10" t="str">
        <f t="shared" si="32"/>
        <v>COSTOS</v>
      </c>
      <c r="I2087" s="19">
        <v>2025</v>
      </c>
    </row>
    <row r="2088" spans="1:9" hidden="1" x14ac:dyDescent="0.3">
      <c r="A2088" s="16" t="s">
        <v>143</v>
      </c>
      <c r="B2088" s="16" t="s">
        <v>16</v>
      </c>
      <c r="C2088" s="15">
        <v>5</v>
      </c>
      <c r="D2088" s="17">
        <v>0</v>
      </c>
      <c r="E2088" s="17">
        <v>10000</v>
      </c>
      <c r="F2088" s="17">
        <v>10000</v>
      </c>
      <c r="G2088" s="18">
        <v>0</v>
      </c>
      <c r="H2088" s="10" t="str">
        <f t="shared" si="32"/>
        <v>COSTOS</v>
      </c>
      <c r="I2088" s="19">
        <v>2025</v>
      </c>
    </row>
    <row r="2089" spans="1:9" hidden="1" x14ac:dyDescent="0.3">
      <c r="A2089" s="16" t="s">
        <v>143</v>
      </c>
      <c r="B2089" s="16" t="s">
        <v>54</v>
      </c>
      <c r="C2089" s="15">
        <v>3</v>
      </c>
      <c r="D2089" s="17">
        <v>0</v>
      </c>
      <c r="E2089" s="17">
        <v>473515</v>
      </c>
      <c r="F2089" s="17">
        <v>473515</v>
      </c>
      <c r="G2089" s="18">
        <v>0</v>
      </c>
      <c r="H2089" s="10" t="str">
        <f t="shared" si="32"/>
        <v>COSTOS</v>
      </c>
      <c r="I2089" s="19">
        <v>2025</v>
      </c>
    </row>
    <row r="2090" spans="1:9" hidden="1" x14ac:dyDescent="0.3">
      <c r="A2090" s="16" t="s">
        <v>143</v>
      </c>
      <c r="B2090" s="16" t="s">
        <v>54</v>
      </c>
      <c r="C2090" s="15">
        <v>5</v>
      </c>
      <c r="D2090" s="17">
        <v>0</v>
      </c>
      <c r="E2090" s="17">
        <v>120000</v>
      </c>
      <c r="F2090" s="17">
        <v>120000</v>
      </c>
      <c r="G2090" s="18">
        <v>0</v>
      </c>
      <c r="H2090" s="10" t="str">
        <f t="shared" si="32"/>
        <v>COSTOS</v>
      </c>
      <c r="I2090" s="19">
        <v>2025</v>
      </c>
    </row>
    <row r="2091" spans="1:9" hidden="1" x14ac:dyDescent="0.3">
      <c r="A2091" s="16" t="s">
        <v>143</v>
      </c>
      <c r="B2091" s="16" t="s">
        <v>54</v>
      </c>
      <c r="C2091" s="15">
        <v>8</v>
      </c>
      <c r="D2091" s="17">
        <v>0</v>
      </c>
      <c r="E2091" s="17">
        <v>68766</v>
      </c>
      <c r="F2091" s="17">
        <v>68766</v>
      </c>
      <c r="G2091" s="18">
        <v>0</v>
      </c>
      <c r="H2091" s="10" t="str">
        <f t="shared" si="32"/>
        <v>COSTOS</v>
      </c>
      <c r="I2091" s="19">
        <v>2025</v>
      </c>
    </row>
    <row r="2092" spans="1:9" hidden="1" x14ac:dyDescent="0.3">
      <c r="A2092" s="16" t="s">
        <v>143</v>
      </c>
      <c r="B2092" s="16" t="s">
        <v>54</v>
      </c>
      <c r="C2092" s="15">
        <v>9</v>
      </c>
      <c r="D2092" s="17">
        <v>0</v>
      </c>
      <c r="E2092" s="17">
        <v>230464</v>
      </c>
      <c r="F2092" s="17">
        <v>230464</v>
      </c>
      <c r="G2092" s="18">
        <v>0</v>
      </c>
      <c r="H2092" s="10" t="str">
        <f t="shared" si="32"/>
        <v>COSTOS</v>
      </c>
      <c r="I2092" s="19">
        <v>2025</v>
      </c>
    </row>
    <row r="2093" spans="1:9" hidden="1" x14ac:dyDescent="0.3">
      <c r="A2093" s="16" t="s">
        <v>143</v>
      </c>
      <c r="B2093" s="16" t="s">
        <v>38</v>
      </c>
      <c r="C2093" s="15">
        <v>1</v>
      </c>
      <c r="D2093" s="17">
        <v>170000</v>
      </c>
      <c r="E2093" s="17">
        <v>1977476</v>
      </c>
      <c r="F2093" s="17">
        <v>1807476</v>
      </c>
      <c r="G2093" s="18">
        <v>11.632211764705882</v>
      </c>
      <c r="H2093" s="10" t="str">
        <f t="shared" si="32"/>
        <v>COSTOS</v>
      </c>
      <c r="I2093" s="19">
        <v>2025</v>
      </c>
    </row>
    <row r="2094" spans="1:9" hidden="1" x14ac:dyDescent="0.3">
      <c r="A2094" s="16" t="s">
        <v>143</v>
      </c>
      <c r="B2094" s="16" t="s">
        <v>38</v>
      </c>
      <c r="C2094" s="15">
        <v>2</v>
      </c>
      <c r="D2094" s="17">
        <v>170000</v>
      </c>
      <c r="E2094" s="17">
        <v>407789</v>
      </c>
      <c r="F2094" s="17">
        <v>237789</v>
      </c>
      <c r="G2094" s="18">
        <v>2.3987588235294117</v>
      </c>
      <c r="H2094" s="10" t="str">
        <f t="shared" si="32"/>
        <v>COSTOS</v>
      </c>
      <c r="I2094" s="19">
        <v>2025</v>
      </c>
    </row>
    <row r="2095" spans="1:9" hidden="1" x14ac:dyDescent="0.3">
      <c r="A2095" s="16" t="s">
        <v>143</v>
      </c>
      <c r="B2095" s="16" t="s">
        <v>38</v>
      </c>
      <c r="C2095" s="15">
        <v>3</v>
      </c>
      <c r="D2095" s="17">
        <v>170000</v>
      </c>
      <c r="E2095" s="17">
        <v>905385</v>
      </c>
      <c r="F2095" s="17">
        <v>735385</v>
      </c>
      <c r="G2095" s="18">
        <v>5.3257941176470593</v>
      </c>
      <c r="H2095" s="10" t="str">
        <f t="shared" si="32"/>
        <v>COSTOS</v>
      </c>
      <c r="I2095" s="19">
        <v>2025</v>
      </c>
    </row>
    <row r="2096" spans="1:9" hidden="1" x14ac:dyDescent="0.3">
      <c r="A2096" s="16" t="s">
        <v>143</v>
      </c>
      <c r="B2096" s="16" t="s">
        <v>38</v>
      </c>
      <c r="C2096" s="15">
        <v>4</v>
      </c>
      <c r="D2096" s="17">
        <v>170000</v>
      </c>
      <c r="E2096" s="17">
        <v>449970</v>
      </c>
      <c r="F2096" s="17">
        <v>279970</v>
      </c>
      <c r="G2096" s="18">
        <v>2.6468823529411765</v>
      </c>
      <c r="H2096" s="10" t="str">
        <f t="shared" si="32"/>
        <v>COSTOS</v>
      </c>
      <c r="I2096" s="19">
        <v>2025</v>
      </c>
    </row>
    <row r="2097" spans="1:9" hidden="1" x14ac:dyDescent="0.3">
      <c r="A2097" s="16" t="s">
        <v>143</v>
      </c>
      <c r="B2097" s="16" t="s">
        <v>38</v>
      </c>
      <c r="C2097" s="15">
        <v>5</v>
      </c>
      <c r="D2097" s="17">
        <v>170000</v>
      </c>
      <c r="E2097" s="17">
        <v>2621464</v>
      </c>
      <c r="F2097" s="17">
        <v>2451464</v>
      </c>
      <c r="G2097" s="18">
        <v>15.420376470588234</v>
      </c>
      <c r="H2097" s="10" t="str">
        <f t="shared" si="32"/>
        <v>COSTOS</v>
      </c>
      <c r="I2097" s="19">
        <v>2025</v>
      </c>
    </row>
    <row r="2098" spans="1:9" hidden="1" x14ac:dyDescent="0.3">
      <c r="A2098" s="16" t="s">
        <v>143</v>
      </c>
      <c r="B2098" s="16" t="s">
        <v>38</v>
      </c>
      <c r="C2098" s="15">
        <v>6</v>
      </c>
      <c r="D2098" s="17">
        <v>170000</v>
      </c>
      <c r="E2098" s="17">
        <v>0</v>
      </c>
      <c r="F2098" s="17">
        <v>-170000</v>
      </c>
      <c r="G2098" s="18">
        <v>0</v>
      </c>
      <c r="H2098" s="10" t="str">
        <f t="shared" si="32"/>
        <v>COSTOS</v>
      </c>
      <c r="I2098" s="19">
        <v>2025</v>
      </c>
    </row>
    <row r="2099" spans="1:9" hidden="1" x14ac:dyDescent="0.3">
      <c r="A2099" s="16" t="s">
        <v>143</v>
      </c>
      <c r="B2099" s="16" t="s">
        <v>38</v>
      </c>
      <c r="C2099" s="15">
        <v>7</v>
      </c>
      <c r="D2099" s="17">
        <v>170000</v>
      </c>
      <c r="E2099" s="17">
        <v>207825</v>
      </c>
      <c r="F2099" s="17">
        <v>37825</v>
      </c>
      <c r="G2099" s="18">
        <v>1.2224999999999999</v>
      </c>
      <c r="H2099" s="10" t="str">
        <f t="shared" si="32"/>
        <v>COSTOS</v>
      </c>
      <c r="I2099" s="19">
        <v>2025</v>
      </c>
    </row>
    <row r="2100" spans="1:9" hidden="1" x14ac:dyDescent="0.3">
      <c r="A2100" s="16" t="s">
        <v>143</v>
      </c>
      <c r="B2100" s="16" t="s">
        <v>38</v>
      </c>
      <c r="C2100" s="15">
        <v>8</v>
      </c>
      <c r="D2100" s="17">
        <v>170000</v>
      </c>
      <c r="E2100" s="17">
        <v>1558225</v>
      </c>
      <c r="F2100" s="17">
        <v>1388225</v>
      </c>
      <c r="G2100" s="18">
        <v>9.1660294117647059</v>
      </c>
      <c r="H2100" s="10" t="str">
        <f t="shared" si="32"/>
        <v>COSTOS</v>
      </c>
      <c r="I2100" s="19">
        <v>2025</v>
      </c>
    </row>
    <row r="2101" spans="1:9" hidden="1" x14ac:dyDescent="0.3">
      <c r="A2101" s="16" t="s">
        <v>143</v>
      </c>
      <c r="B2101" s="16" t="s">
        <v>38</v>
      </c>
      <c r="C2101" s="15">
        <v>9</v>
      </c>
      <c r="D2101" s="17">
        <v>170000</v>
      </c>
      <c r="E2101" s="17">
        <v>9256225</v>
      </c>
      <c r="F2101" s="17">
        <v>9086225</v>
      </c>
      <c r="G2101" s="18">
        <v>54.448382352941174</v>
      </c>
      <c r="H2101" s="10" t="str">
        <f t="shared" si="32"/>
        <v>COSTOS</v>
      </c>
      <c r="I2101" s="19">
        <v>2025</v>
      </c>
    </row>
    <row r="2102" spans="1:9" hidden="1" x14ac:dyDescent="0.3">
      <c r="A2102" s="16" t="s">
        <v>143</v>
      </c>
      <c r="B2102" s="16" t="s">
        <v>38</v>
      </c>
      <c r="C2102" s="15">
        <v>10</v>
      </c>
      <c r="D2102" s="17">
        <v>170000</v>
      </c>
      <c r="E2102" s="17">
        <v>382786</v>
      </c>
      <c r="F2102" s="17">
        <v>212786</v>
      </c>
      <c r="G2102" s="18">
        <v>2.2516823529411765</v>
      </c>
      <c r="H2102" s="10" t="str">
        <f t="shared" si="32"/>
        <v>COSTOS</v>
      </c>
      <c r="I2102" s="19">
        <v>2025</v>
      </c>
    </row>
    <row r="2103" spans="1:9" hidden="1" x14ac:dyDescent="0.3">
      <c r="A2103" s="16" t="s">
        <v>143</v>
      </c>
      <c r="B2103" s="16" t="s">
        <v>39</v>
      </c>
      <c r="C2103" s="15">
        <v>4</v>
      </c>
      <c r="D2103" s="17">
        <v>66667</v>
      </c>
      <c r="E2103" s="17">
        <v>0</v>
      </c>
      <c r="F2103" s="17">
        <v>-66667</v>
      </c>
      <c r="G2103" s="18">
        <v>0</v>
      </c>
      <c r="H2103" s="10" t="str">
        <f t="shared" si="32"/>
        <v>COSTOS</v>
      </c>
      <c r="I2103" s="19">
        <v>2025</v>
      </c>
    </row>
    <row r="2104" spans="1:9" hidden="1" x14ac:dyDescent="0.3">
      <c r="A2104" s="16" t="s">
        <v>143</v>
      </c>
      <c r="B2104" s="16" t="s">
        <v>39</v>
      </c>
      <c r="C2104" s="15">
        <v>5</v>
      </c>
      <c r="D2104" s="17">
        <v>66667</v>
      </c>
      <c r="E2104" s="17">
        <v>0</v>
      </c>
      <c r="F2104" s="17">
        <v>-66667</v>
      </c>
      <c r="G2104" s="18">
        <v>0</v>
      </c>
      <c r="H2104" s="10" t="str">
        <f t="shared" si="32"/>
        <v>COSTOS</v>
      </c>
      <c r="I2104" s="19">
        <v>2025</v>
      </c>
    </row>
    <row r="2105" spans="1:9" hidden="1" x14ac:dyDescent="0.3">
      <c r="A2105" s="16" t="s">
        <v>143</v>
      </c>
      <c r="B2105" s="16" t="s">
        <v>39</v>
      </c>
      <c r="C2105" s="15">
        <v>6</v>
      </c>
      <c r="D2105" s="17">
        <v>133333</v>
      </c>
      <c r="E2105" s="17">
        <v>0</v>
      </c>
      <c r="F2105" s="17">
        <v>-133333</v>
      </c>
      <c r="G2105" s="18">
        <v>0</v>
      </c>
      <c r="H2105" s="10" t="str">
        <f t="shared" si="32"/>
        <v>COSTOS</v>
      </c>
      <c r="I2105" s="19">
        <v>2025</v>
      </c>
    </row>
    <row r="2106" spans="1:9" hidden="1" x14ac:dyDescent="0.3">
      <c r="A2106" s="16" t="s">
        <v>143</v>
      </c>
      <c r="B2106" s="16" t="s">
        <v>39</v>
      </c>
      <c r="C2106" s="15">
        <v>7</v>
      </c>
      <c r="D2106" s="17">
        <v>133333</v>
      </c>
      <c r="E2106" s="17">
        <v>0</v>
      </c>
      <c r="F2106" s="17">
        <v>-133333</v>
      </c>
      <c r="G2106" s="18">
        <v>0</v>
      </c>
      <c r="H2106" s="10" t="str">
        <f t="shared" si="32"/>
        <v>COSTOS</v>
      </c>
      <c r="I2106" s="19">
        <v>2025</v>
      </c>
    </row>
    <row r="2107" spans="1:9" hidden="1" x14ac:dyDescent="0.3">
      <c r="A2107" s="16" t="s">
        <v>143</v>
      </c>
      <c r="B2107" s="16" t="s">
        <v>39</v>
      </c>
      <c r="C2107" s="15">
        <v>8</v>
      </c>
      <c r="D2107" s="17">
        <v>200000</v>
      </c>
      <c r="E2107" s="17">
        <v>0</v>
      </c>
      <c r="F2107" s="17">
        <v>-200000</v>
      </c>
      <c r="G2107" s="18">
        <v>0</v>
      </c>
      <c r="H2107" s="10" t="str">
        <f t="shared" si="32"/>
        <v>COSTOS</v>
      </c>
      <c r="I2107" s="19">
        <v>2025</v>
      </c>
    </row>
    <row r="2108" spans="1:9" hidden="1" x14ac:dyDescent="0.3">
      <c r="A2108" s="16" t="s">
        <v>143</v>
      </c>
      <c r="B2108" s="16" t="s">
        <v>39</v>
      </c>
      <c r="C2108" s="15">
        <v>9</v>
      </c>
      <c r="D2108" s="17">
        <v>200000</v>
      </c>
      <c r="E2108" s="17">
        <v>0</v>
      </c>
      <c r="F2108" s="17">
        <v>-200000</v>
      </c>
      <c r="G2108" s="18">
        <v>0</v>
      </c>
      <c r="H2108" s="10" t="str">
        <f t="shared" si="32"/>
        <v>COSTOS</v>
      </c>
      <c r="I2108" s="19">
        <v>2025</v>
      </c>
    </row>
    <row r="2109" spans="1:9" hidden="1" x14ac:dyDescent="0.3">
      <c r="A2109" s="16" t="s">
        <v>143</v>
      </c>
      <c r="B2109" s="16" t="s">
        <v>39</v>
      </c>
      <c r="C2109" s="15">
        <v>10</v>
      </c>
      <c r="D2109" s="17">
        <v>200000</v>
      </c>
      <c r="E2109" s="17">
        <v>0</v>
      </c>
      <c r="F2109" s="17">
        <v>-200000</v>
      </c>
      <c r="G2109" s="18">
        <v>0</v>
      </c>
      <c r="H2109" s="10" t="str">
        <f t="shared" si="32"/>
        <v>COSTOS</v>
      </c>
      <c r="I2109" s="19">
        <v>2025</v>
      </c>
    </row>
    <row r="2110" spans="1:9" hidden="1" x14ac:dyDescent="0.3">
      <c r="A2110" s="16" t="s">
        <v>143</v>
      </c>
      <c r="B2110" s="16" t="s">
        <v>58</v>
      </c>
      <c r="C2110" s="15">
        <v>1</v>
      </c>
      <c r="D2110" s="17">
        <v>0</v>
      </c>
      <c r="E2110" s="17">
        <v>105000</v>
      </c>
      <c r="F2110" s="17">
        <v>105000</v>
      </c>
      <c r="G2110" s="18">
        <v>0</v>
      </c>
      <c r="H2110" s="10" t="str">
        <f t="shared" si="32"/>
        <v>COSTOS</v>
      </c>
      <c r="I2110" s="19">
        <v>2025</v>
      </c>
    </row>
    <row r="2111" spans="1:9" hidden="1" x14ac:dyDescent="0.3">
      <c r="A2111" s="16" t="s">
        <v>143</v>
      </c>
      <c r="B2111" s="16" t="s">
        <v>59</v>
      </c>
      <c r="C2111" s="15">
        <v>1</v>
      </c>
      <c r="D2111" s="17">
        <v>0</v>
      </c>
      <c r="E2111" s="17">
        <v>174000</v>
      </c>
      <c r="F2111" s="17">
        <v>174000</v>
      </c>
      <c r="G2111" s="18">
        <v>0</v>
      </c>
      <c r="H2111" s="10" t="str">
        <f t="shared" si="32"/>
        <v>COSTOS</v>
      </c>
      <c r="I2111" s="19">
        <v>2025</v>
      </c>
    </row>
    <row r="2112" spans="1:9" hidden="1" x14ac:dyDescent="0.3">
      <c r="A2112" s="16" t="s">
        <v>143</v>
      </c>
      <c r="B2112" s="16" t="s">
        <v>38</v>
      </c>
      <c r="C2112" s="15">
        <v>11</v>
      </c>
      <c r="D2112" s="17">
        <v>170000</v>
      </c>
      <c r="E2112" s="17">
        <v>1145110</v>
      </c>
      <c r="F2112" s="17">
        <v>975110</v>
      </c>
      <c r="G2112" s="18">
        <v>6.7359411764705888</v>
      </c>
      <c r="H2112" s="10" t="str">
        <f t="shared" si="32"/>
        <v>COSTOS</v>
      </c>
      <c r="I2112" s="19">
        <v>2025</v>
      </c>
    </row>
    <row r="2113" spans="1:9" hidden="1" x14ac:dyDescent="0.3">
      <c r="A2113" s="16" t="s">
        <v>143</v>
      </c>
      <c r="B2113" s="16" t="s">
        <v>39</v>
      </c>
      <c r="C2113" s="15">
        <v>11</v>
      </c>
      <c r="D2113" s="17">
        <v>200000</v>
      </c>
      <c r="E2113" s="17">
        <v>376833</v>
      </c>
      <c r="F2113" s="17">
        <v>176833</v>
      </c>
      <c r="G2113" s="18">
        <v>1.8841650000000001</v>
      </c>
      <c r="H2113" s="10" t="str">
        <f t="shared" si="32"/>
        <v>COSTOS</v>
      </c>
      <c r="I2113" s="19">
        <v>2025</v>
      </c>
    </row>
    <row r="2114" spans="1:9" hidden="1" x14ac:dyDescent="0.3">
      <c r="A2114" s="16" t="s">
        <v>143</v>
      </c>
      <c r="B2114" s="16" t="s">
        <v>38</v>
      </c>
      <c r="C2114" s="15">
        <v>12</v>
      </c>
      <c r="D2114" s="17">
        <v>170000</v>
      </c>
      <c r="E2114" s="17">
        <v>113125</v>
      </c>
      <c r="F2114" s="17">
        <v>-56875</v>
      </c>
      <c r="G2114" s="18">
        <v>0.66544117647058831</v>
      </c>
      <c r="H2114" s="10" t="str">
        <f t="shared" si="32"/>
        <v>COSTOS</v>
      </c>
      <c r="I2114" s="19">
        <v>2025</v>
      </c>
    </row>
    <row r="2115" spans="1:9" hidden="1" x14ac:dyDescent="0.3">
      <c r="A2115" s="16" t="s">
        <v>143</v>
      </c>
      <c r="B2115" s="16" t="s">
        <v>39</v>
      </c>
      <c r="C2115" s="15">
        <v>12</v>
      </c>
      <c r="D2115" s="17">
        <v>200000</v>
      </c>
      <c r="E2115" s="17">
        <v>376833</v>
      </c>
      <c r="F2115" s="17">
        <v>176833</v>
      </c>
      <c r="G2115" s="18">
        <v>1.8841650000000001</v>
      </c>
      <c r="H2115" s="10" t="str">
        <f t="shared" ref="H2115:H2178" si="33">+IF(OR(A2115="ADMINISTRACION",A2115="COMERCIAL",A2115="COMERCIAL-EXPORTACIONES",A2115="LEASING DE LA BODEGA",A2115="LOGISTICA-SALIDA",A2115="OTROS GASTOS",A2115="BODEGA ALQUILADA", A2115="BODEGA CARTOPLAST", A2115="BODEGA CARTOPLAS", A2115= "GESTION HUMANA-OTROS GASTOS"),"GASTOS","COSTOS")</f>
        <v>COSTOS</v>
      </c>
      <c r="I2115" s="19">
        <v>2025</v>
      </c>
    </row>
    <row r="2116" spans="1:9" hidden="1" x14ac:dyDescent="0.3">
      <c r="A2116" s="16" t="s">
        <v>144</v>
      </c>
      <c r="B2116" s="16" t="s">
        <v>38</v>
      </c>
      <c r="C2116" s="15">
        <v>2</v>
      </c>
      <c r="D2116" s="17">
        <v>0</v>
      </c>
      <c r="E2116" s="17">
        <v>238500</v>
      </c>
      <c r="F2116" s="17">
        <v>238500</v>
      </c>
      <c r="G2116" s="18">
        <v>0</v>
      </c>
      <c r="H2116" s="10" t="str">
        <f t="shared" si="33"/>
        <v>COSTOS</v>
      </c>
      <c r="I2116" s="19">
        <v>2025</v>
      </c>
    </row>
    <row r="2117" spans="1:9" hidden="1" x14ac:dyDescent="0.3">
      <c r="A2117" s="16" t="s">
        <v>144</v>
      </c>
      <c r="B2117" s="16" t="s">
        <v>38</v>
      </c>
      <c r="C2117" s="15">
        <v>3</v>
      </c>
      <c r="D2117" s="17">
        <v>0</v>
      </c>
      <c r="E2117" s="17">
        <v>2390000</v>
      </c>
      <c r="F2117" s="17">
        <v>2390000</v>
      </c>
      <c r="G2117" s="18">
        <v>0</v>
      </c>
      <c r="H2117" s="10" t="str">
        <f t="shared" si="33"/>
        <v>COSTOS</v>
      </c>
      <c r="I2117" s="19">
        <v>2025</v>
      </c>
    </row>
    <row r="2118" spans="1:9" hidden="1" x14ac:dyDescent="0.3">
      <c r="A2118" s="16" t="s">
        <v>144</v>
      </c>
      <c r="B2118" s="16" t="s">
        <v>38</v>
      </c>
      <c r="C2118" s="15">
        <v>12</v>
      </c>
      <c r="D2118" s="17">
        <v>0</v>
      </c>
      <c r="E2118" s="17">
        <v>710000</v>
      </c>
      <c r="F2118" s="17">
        <v>710000</v>
      </c>
      <c r="G2118" s="18">
        <v>0</v>
      </c>
      <c r="H2118" s="10" t="str">
        <f t="shared" si="33"/>
        <v>COSTOS</v>
      </c>
      <c r="I2118" s="19">
        <v>2025</v>
      </c>
    </row>
    <row r="2119" spans="1:9" hidden="1" x14ac:dyDescent="0.3">
      <c r="A2119" s="16" t="s">
        <v>175</v>
      </c>
      <c r="B2119" s="16" t="s">
        <v>38</v>
      </c>
      <c r="C2119" s="15">
        <v>6</v>
      </c>
      <c r="D2119" s="17">
        <v>200000</v>
      </c>
      <c r="E2119" s="17">
        <v>0</v>
      </c>
      <c r="F2119" s="17">
        <v>-200000</v>
      </c>
      <c r="G2119" s="18">
        <v>0</v>
      </c>
      <c r="H2119" s="10" t="str">
        <f t="shared" si="33"/>
        <v>COSTOS</v>
      </c>
      <c r="I2119" s="19">
        <v>2025</v>
      </c>
    </row>
    <row r="2120" spans="1:9" hidden="1" x14ac:dyDescent="0.3">
      <c r="A2120" s="16" t="s">
        <v>175</v>
      </c>
      <c r="B2120" s="16" t="s">
        <v>38</v>
      </c>
      <c r="C2120" s="15">
        <v>10</v>
      </c>
      <c r="D2120" s="17">
        <v>0</v>
      </c>
      <c r="E2120" s="17">
        <v>106600</v>
      </c>
      <c r="F2120" s="17">
        <v>106600</v>
      </c>
      <c r="G2120" s="18">
        <v>0</v>
      </c>
      <c r="H2120" s="10" t="str">
        <f t="shared" si="33"/>
        <v>COSTOS</v>
      </c>
      <c r="I2120" s="19">
        <v>2025</v>
      </c>
    </row>
    <row r="2121" spans="1:9" hidden="1" x14ac:dyDescent="0.3">
      <c r="A2121" s="16" t="s">
        <v>175</v>
      </c>
      <c r="B2121" s="16" t="s">
        <v>38</v>
      </c>
      <c r="C2121" s="15">
        <v>11</v>
      </c>
      <c r="D2121" s="17">
        <v>0</v>
      </c>
      <c r="E2121" s="17">
        <v>167860</v>
      </c>
      <c r="F2121" s="17">
        <v>167860</v>
      </c>
      <c r="G2121" s="18">
        <v>0</v>
      </c>
      <c r="H2121" s="10" t="str">
        <f t="shared" si="33"/>
        <v>COSTOS</v>
      </c>
      <c r="I2121" s="19">
        <v>2025</v>
      </c>
    </row>
    <row r="2122" spans="1:9" hidden="1" x14ac:dyDescent="0.3">
      <c r="A2122" s="16" t="s">
        <v>175</v>
      </c>
      <c r="B2122" s="16" t="s">
        <v>38</v>
      </c>
      <c r="C2122" s="15">
        <v>12</v>
      </c>
      <c r="D2122" s="17">
        <v>0</v>
      </c>
      <c r="E2122" s="17">
        <v>4706</v>
      </c>
      <c r="F2122" s="17">
        <v>4706</v>
      </c>
      <c r="G2122" s="18">
        <v>0</v>
      </c>
      <c r="H2122" s="10" t="str">
        <f t="shared" si="33"/>
        <v>COSTOS</v>
      </c>
      <c r="I2122" s="19">
        <v>2025</v>
      </c>
    </row>
    <row r="2123" spans="1:9" hidden="1" x14ac:dyDescent="0.3">
      <c r="A2123" s="16" t="s">
        <v>145</v>
      </c>
      <c r="B2123" s="16" t="s">
        <v>39</v>
      </c>
      <c r="C2123" s="15">
        <v>4</v>
      </c>
      <c r="D2123" s="17">
        <v>55556</v>
      </c>
      <c r="E2123" s="17">
        <v>0</v>
      </c>
      <c r="F2123" s="17">
        <v>-55556</v>
      </c>
      <c r="G2123" s="18">
        <v>0</v>
      </c>
      <c r="H2123" s="10" t="str">
        <f t="shared" si="33"/>
        <v>COSTOS</v>
      </c>
      <c r="I2123" s="19">
        <v>2025</v>
      </c>
    </row>
    <row r="2124" spans="1:9" hidden="1" x14ac:dyDescent="0.3">
      <c r="A2124" s="16" t="s">
        <v>145</v>
      </c>
      <c r="B2124" s="16" t="s">
        <v>39</v>
      </c>
      <c r="C2124" s="15">
        <v>5</v>
      </c>
      <c r="D2124" s="17">
        <v>277777</v>
      </c>
      <c r="E2124" s="17">
        <v>0</v>
      </c>
      <c r="F2124" s="17">
        <v>-277777</v>
      </c>
      <c r="G2124" s="18">
        <v>0</v>
      </c>
      <c r="H2124" s="10" t="str">
        <f t="shared" si="33"/>
        <v>COSTOS</v>
      </c>
      <c r="I2124" s="19">
        <v>2025</v>
      </c>
    </row>
    <row r="2125" spans="1:9" hidden="1" x14ac:dyDescent="0.3">
      <c r="A2125" s="16" t="s">
        <v>145</v>
      </c>
      <c r="B2125" s="16" t="s">
        <v>39</v>
      </c>
      <c r="C2125" s="15">
        <v>6</v>
      </c>
      <c r="D2125" s="17">
        <v>277777</v>
      </c>
      <c r="E2125" s="17">
        <v>0</v>
      </c>
      <c r="F2125" s="17">
        <v>-277777</v>
      </c>
      <c r="G2125" s="18">
        <v>0</v>
      </c>
      <c r="H2125" s="10" t="str">
        <f t="shared" si="33"/>
        <v>COSTOS</v>
      </c>
      <c r="I2125" s="19">
        <v>2025</v>
      </c>
    </row>
    <row r="2126" spans="1:9" hidden="1" x14ac:dyDescent="0.3">
      <c r="A2126" s="16" t="s">
        <v>145</v>
      </c>
      <c r="B2126" s="16" t="s">
        <v>39</v>
      </c>
      <c r="C2126" s="15">
        <v>7</v>
      </c>
      <c r="D2126" s="17">
        <v>277777</v>
      </c>
      <c r="E2126" s="17">
        <v>0</v>
      </c>
      <c r="F2126" s="17">
        <v>-277777</v>
      </c>
      <c r="G2126" s="18">
        <v>0</v>
      </c>
      <c r="H2126" s="10" t="str">
        <f t="shared" si="33"/>
        <v>COSTOS</v>
      </c>
      <c r="I2126" s="19">
        <v>2025</v>
      </c>
    </row>
    <row r="2127" spans="1:9" hidden="1" x14ac:dyDescent="0.3">
      <c r="A2127" s="16" t="s">
        <v>145</v>
      </c>
      <c r="B2127" s="16" t="s">
        <v>39</v>
      </c>
      <c r="C2127" s="15">
        <v>8</v>
      </c>
      <c r="D2127" s="17">
        <v>277777</v>
      </c>
      <c r="E2127" s="17">
        <v>0</v>
      </c>
      <c r="F2127" s="17">
        <v>-277777</v>
      </c>
      <c r="G2127" s="18">
        <v>0</v>
      </c>
      <c r="H2127" s="10" t="str">
        <f t="shared" si="33"/>
        <v>COSTOS</v>
      </c>
      <c r="I2127" s="19">
        <v>2025</v>
      </c>
    </row>
    <row r="2128" spans="1:9" hidden="1" x14ac:dyDescent="0.3">
      <c r="A2128" s="16" t="s">
        <v>145</v>
      </c>
      <c r="B2128" s="16" t="s">
        <v>39</v>
      </c>
      <c r="C2128" s="15">
        <v>9</v>
      </c>
      <c r="D2128" s="17">
        <v>388888</v>
      </c>
      <c r="E2128" s="17">
        <v>0</v>
      </c>
      <c r="F2128" s="17">
        <v>-388888</v>
      </c>
      <c r="G2128" s="18">
        <v>0</v>
      </c>
      <c r="H2128" s="10" t="str">
        <f t="shared" si="33"/>
        <v>COSTOS</v>
      </c>
      <c r="I2128" s="19">
        <v>2025</v>
      </c>
    </row>
    <row r="2129" spans="1:9" hidden="1" x14ac:dyDescent="0.3">
      <c r="A2129" s="16" t="s">
        <v>145</v>
      </c>
      <c r="B2129" s="16" t="s">
        <v>39</v>
      </c>
      <c r="C2129" s="15">
        <v>10</v>
      </c>
      <c r="D2129" s="17">
        <v>388888</v>
      </c>
      <c r="E2129" s="17">
        <v>0</v>
      </c>
      <c r="F2129" s="17">
        <v>-388888</v>
      </c>
      <c r="G2129" s="18">
        <v>0</v>
      </c>
      <c r="H2129" s="10" t="str">
        <f t="shared" si="33"/>
        <v>COSTOS</v>
      </c>
      <c r="I2129" s="19">
        <v>2025</v>
      </c>
    </row>
    <row r="2130" spans="1:9" hidden="1" x14ac:dyDescent="0.3">
      <c r="A2130" s="16" t="s">
        <v>145</v>
      </c>
      <c r="B2130" s="16" t="s">
        <v>39</v>
      </c>
      <c r="C2130" s="15">
        <v>11</v>
      </c>
      <c r="D2130" s="17">
        <v>388888</v>
      </c>
      <c r="E2130" s="17">
        <v>0</v>
      </c>
      <c r="F2130" s="17">
        <v>-388888</v>
      </c>
      <c r="G2130" s="18">
        <v>0</v>
      </c>
      <c r="H2130" s="10" t="str">
        <f t="shared" si="33"/>
        <v>COSTOS</v>
      </c>
      <c r="I2130" s="19">
        <v>2025</v>
      </c>
    </row>
    <row r="2131" spans="1:9" hidden="1" x14ac:dyDescent="0.3">
      <c r="A2131" s="16" t="s">
        <v>145</v>
      </c>
      <c r="B2131" s="16" t="s">
        <v>39</v>
      </c>
      <c r="C2131" s="15">
        <v>12</v>
      </c>
      <c r="D2131" s="17">
        <v>388888</v>
      </c>
      <c r="E2131" s="17">
        <v>0</v>
      </c>
      <c r="F2131" s="17">
        <v>-388888</v>
      </c>
      <c r="G2131" s="18">
        <v>0</v>
      </c>
      <c r="H2131" s="10" t="str">
        <f t="shared" si="33"/>
        <v>COSTOS</v>
      </c>
      <c r="I2131" s="19">
        <v>2025</v>
      </c>
    </row>
    <row r="2132" spans="1:9" hidden="1" x14ac:dyDescent="0.3">
      <c r="A2132" s="16" t="s">
        <v>222</v>
      </c>
      <c r="B2132" s="16" t="s">
        <v>38</v>
      </c>
      <c r="C2132" s="15">
        <v>9</v>
      </c>
      <c r="D2132" s="17">
        <v>0</v>
      </c>
      <c r="E2132" s="17">
        <v>125000</v>
      </c>
      <c r="F2132" s="17">
        <v>125000</v>
      </c>
      <c r="G2132" s="18">
        <v>0</v>
      </c>
      <c r="H2132" s="10" t="str">
        <f t="shared" si="33"/>
        <v>COSTOS</v>
      </c>
      <c r="I2132" s="19">
        <v>2025</v>
      </c>
    </row>
    <row r="2133" spans="1:9" hidden="1" x14ac:dyDescent="0.3">
      <c r="A2133" s="16" t="s">
        <v>155</v>
      </c>
      <c r="B2133" s="16" t="s">
        <v>34</v>
      </c>
      <c r="C2133" s="15">
        <v>2</v>
      </c>
      <c r="D2133" s="17">
        <v>0</v>
      </c>
      <c r="E2133" s="17">
        <v>100234848</v>
      </c>
      <c r="F2133" s="17">
        <v>100234848</v>
      </c>
      <c r="G2133" s="18">
        <v>0</v>
      </c>
      <c r="H2133" s="10" t="str">
        <f t="shared" si="33"/>
        <v>GASTOS</v>
      </c>
      <c r="I2133" s="19">
        <v>2025</v>
      </c>
    </row>
    <row r="2134" spans="1:9" hidden="1" x14ac:dyDescent="0.3">
      <c r="A2134" s="16" t="s">
        <v>155</v>
      </c>
      <c r="B2134" s="16" t="s">
        <v>34</v>
      </c>
      <c r="C2134" s="15">
        <v>3</v>
      </c>
      <c r="D2134" s="17">
        <v>0</v>
      </c>
      <c r="E2134" s="17">
        <v>46696811</v>
      </c>
      <c r="F2134" s="17">
        <v>46696811</v>
      </c>
      <c r="G2134" s="18">
        <v>0</v>
      </c>
      <c r="H2134" s="10" t="str">
        <f t="shared" si="33"/>
        <v>GASTOS</v>
      </c>
      <c r="I2134" s="19">
        <v>2025</v>
      </c>
    </row>
    <row r="2135" spans="1:9" hidden="1" x14ac:dyDescent="0.3">
      <c r="A2135" s="16" t="s">
        <v>155</v>
      </c>
      <c r="B2135" s="16" t="s">
        <v>34</v>
      </c>
      <c r="C2135" s="15">
        <v>6</v>
      </c>
      <c r="D2135" s="17">
        <v>0</v>
      </c>
      <c r="E2135" s="17">
        <v>-125404374</v>
      </c>
      <c r="F2135" s="17">
        <v>-125404374</v>
      </c>
      <c r="G2135" s="18">
        <v>0</v>
      </c>
      <c r="H2135" s="10" t="str">
        <f t="shared" si="33"/>
        <v>GASTOS</v>
      </c>
      <c r="I2135" s="19">
        <v>2025</v>
      </c>
    </row>
    <row r="2136" spans="1:9" hidden="1" x14ac:dyDescent="0.3">
      <c r="A2136" s="16" t="s">
        <v>155</v>
      </c>
      <c r="B2136" s="16" t="s">
        <v>34</v>
      </c>
      <c r="C2136" s="15">
        <v>8</v>
      </c>
      <c r="D2136" s="17">
        <v>0</v>
      </c>
      <c r="E2136" s="17">
        <v>-21527285</v>
      </c>
      <c r="F2136" s="17">
        <v>-21527285</v>
      </c>
      <c r="G2136" s="18">
        <v>0</v>
      </c>
      <c r="H2136" s="10" t="str">
        <f t="shared" si="33"/>
        <v>GASTOS</v>
      </c>
      <c r="I2136" s="19">
        <v>2025</v>
      </c>
    </row>
    <row r="2137" spans="1:9" hidden="1" x14ac:dyDescent="0.3">
      <c r="A2137" s="16" t="s">
        <v>155</v>
      </c>
      <c r="B2137" s="16" t="s">
        <v>31</v>
      </c>
      <c r="C2137" s="15">
        <v>11</v>
      </c>
      <c r="D2137" s="17">
        <v>139018</v>
      </c>
      <c r="E2137" s="17">
        <v>147582</v>
      </c>
      <c r="F2137" s="17">
        <v>8564</v>
      </c>
      <c r="G2137" s="18">
        <v>1.0616035333553928</v>
      </c>
      <c r="H2137" s="10" t="str">
        <f t="shared" si="33"/>
        <v>GASTOS</v>
      </c>
      <c r="I2137" s="19">
        <v>2025</v>
      </c>
    </row>
    <row r="2138" spans="1:9" hidden="1" x14ac:dyDescent="0.3">
      <c r="A2138" s="16" t="s">
        <v>155</v>
      </c>
      <c r="B2138" s="16" t="s">
        <v>84</v>
      </c>
      <c r="C2138" s="15">
        <v>11</v>
      </c>
      <c r="D2138" s="17">
        <v>984922</v>
      </c>
      <c r="E2138" s="17">
        <v>1022062</v>
      </c>
      <c r="F2138" s="17">
        <v>37140</v>
      </c>
      <c r="G2138" s="18">
        <v>1.0377085698156809</v>
      </c>
      <c r="H2138" s="10" t="str">
        <f t="shared" si="33"/>
        <v>GASTOS</v>
      </c>
      <c r="I2138" s="19">
        <v>2025</v>
      </c>
    </row>
    <row r="2139" spans="1:9" hidden="1" x14ac:dyDescent="0.3">
      <c r="A2139" s="16" t="s">
        <v>155</v>
      </c>
      <c r="B2139" s="16" t="s">
        <v>33</v>
      </c>
      <c r="C2139" s="15">
        <v>11</v>
      </c>
      <c r="D2139" s="17">
        <v>0</v>
      </c>
      <c r="E2139" s="17">
        <v>6439547.4000000004</v>
      </c>
      <c r="F2139" s="17">
        <v>6439547.4000000004</v>
      </c>
      <c r="G2139" s="18">
        <v>0</v>
      </c>
      <c r="H2139" s="10" t="str">
        <f t="shared" si="33"/>
        <v>GASTOS</v>
      </c>
      <c r="I2139" s="19">
        <v>2025</v>
      </c>
    </row>
    <row r="2140" spans="1:9" hidden="1" x14ac:dyDescent="0.3">
      <c r="A2140" s="16" t="s">
        <v>155</v>
      </c>
      <c r="B2140" s="16" t="s">
        <v>165</v>
      </c>
      <c r="C2140" s="15">
        <v>11</v>
      </c>
      <c r="D2140" s="17">
        <v>0</v>
      </c>
      <c r="E2140" s="17">
        <v>829669</v>
      </c>
      <c r="F2140" s="17">
        <v>829669</v>
      </c>
      <c r="G2140" s="18">
        <v>0</v>
      </c>
      <c r="H2140" s="10" t="str">
        <f t="shared" si="33"/>
        <v>GASTOS</v>
      </c>
      <c r="I2140" s="19">
        <v>2025</v>
      </c>
    </row>
    <row r="2141" spans="1:9" hidden="1" x14ac:dyDescent="0.3">
      <c r="A2141" s="16" t="s">
        <v>155</v>
      </c>
      <c r="B2141" s="16" t="s">
        <v>34</v>
      </c>
      <c r="C2141" s="15">
        <v>11</v>
      </c>
      <c r="D2141" s="17">
        <v>0</v>
      </c>
      <c r="E2141" s="17">
        <v>144130570</v>
      </c>
      <c r="F2141" s="17">
        <v>144130570</v>
      </c>
      <c r="G2141" s="18">
        <v>0</v>
      </c>
      <c r="H2141" s="10" t="str">
        <f t="shared" si="33"/>
        <v>GASTOS</v>
      </c>
      <c r="I2141" s="19">
        <v>2025</v>
      </c>
    </row>
    <row r="2142" spans="1:9" hidden="1" x14ac:dyDescent="0.3">
      <c r="A2142" s="16" t="s">
        <v>155</v>
      </c>
      <c r="B2142" s="16" t="s">
        <v>35</v>
      </c>
      <c r="C2142" s="15">
        <v>11</v>
      </c>
      <c r="D2142" s="17">
        <v>0</v>
      </c>
      <c r="E2142" s="17">
        <v>271.23</v>
      </c>
      <c r="F2142" s="17">
        <v>271.23</v>
      </c>
      <c r="G2142" s="18">
        <v>0</v>
      </c>
      <c r="H2142" s="10" t="str">
        <f t="shared" si="33"/>
        <v>GASTOS</v>
      </c>
      <c r="I2142" s="19">
        <v>2025</v>
      </c>
    </row>
    <row r="2143" spans="1:9" hidden="1" x14ac:dyDescent="0.3">
      <c r="A2143" s="16" t="s">
        <v>155</v>
      </c>
      <c r="B2143" s="16" t="s">
        <v>36</v>
      </c>
      <c r="C2143" s="15">
        <v>11</v>
      </c>
      <c r="D2143" s="17">
        <v>0</v>
      </c>
      <c r="E2143" s="17">
        <v>49811</v>
      </c>
      <c r="F2143" s="17">
        <v>49811</v>
      </c>
      <c r="G2143" s="18">
        <v>0</v>
      </c>
      <c r="H2143" s="10" t="str">
        <f t="shared" si="33"/>
        <v>GASTOS</v>
      </c>
      <c r="I2143" s="19">
        <v>2025</v>
      </c>
    </row>
    <row r="2144" spans="1:9" hidden="1" x14ac:dyDescent="0.3">
      <c r="A2144" s="16" t="s">
        <v>155</v>
      </c>
      <c r="B2144" s="16" t="s">
        <v>37</v>
      </c>
      <c r="C2144" s="15">
        <v>11</v>
      </c>
      <c r="D2144" s="17">
        <v>15236655</v>
      </c>
      <c r="E2144" s="17">
        <v>33746732</v>
      </c>
      <c r="F2144" s="17">
        <v>18510077</v>
      </c>
      <c r="G2144" s="18">
        <v>2.2148386243568554</v>
      </c>
      <c r="H2144" s="10" t="str">
        <f t="shared" si="33"/>
        <v>GASTOS</v>
      </c>
      <c r="I2144" s="19">
        <v>2025</v>
      </c>
    </row>
    <row r="2145" spans="1:9" hidden="1" x14ac:dyDescent="0.3">
      <c r="A2145" s="16" t="s">
        <v>155</v>
      </c>
      <c r="B2145" s="16" t="s">
        <v>35</v>
      </c>
      <c r="C2145" s="15">
        <v>11</v>
      </c>
      <c r="D2145" s="17">
        <v>0</v>
      </c>
      <c r="E2145" s="17">
        <v>6500</v>
      </c>
      <c r="F2145" s="17">
        <v>6500</v>
      </c>
      <c r="G2145" s="18">
        <v>0</v>
      </c>
      <c r="H2145" s="10" t="str">
        <f t="shared" si="33"/>
        <v>GASTOS</v>
      </c>
      <c r="I2145" s="19">
        <v>2025</v>
      </c>
    </row>
    <row r="2146" spans="1:9" hidden="1" x14ac:dyDescent="0.3">
      <c r="A2146" s="16" t="s">
        <v>155</v>
      </c>
      <c r="B2146" s="16" t="s">
        <v>31</v>
      </c>
      <c r="C2146" s="15">
        <v>1</v>
      </c>
      <c r="D2146" s="17">
        <v>125032</v>
      </c>
      <c r="E2146" s="17">
        <v>143052</v>
      </c>
      <c r="F2146" s="17">
        <v>18020</v>
      </c>
      <c r="G2146" s="18">
        <v>1.1441231044852518</v>
      </c>
      <c r="H2146" s="10" t="str">
        <f t="shared" si="33"/>
        <v>GASTOS</v>
      </c>
      <c r="I2146" s="19">
        <v>2025</v>
      </c>
    </row>
    <row r="2147" spans="1:9" hidden="1" x14ac:dyDescent="0.3">
      <c r="A2147" s="16" t="s">
        <v>155</v>
      </c>
      <c r="B2147" s="16" t="s">
        <v>31</v>
      </c>
      <c r="C2147" s="15">
        <v>2</v>
      </c>
      <c r="D2147" s="17">
        <v>125032</v>
      </c>
      <c r="E2147" s="17">
        <v>164332</v>
      </c>
      <c r="F2147" s="17">
        <v>39300</v>
      </c>
      <c r="G2147" s="18">
        <v>1.3143195341992451</v>
      </c>
      <c r="H2147" s="10" t="str">
        <f t="shared" si="33"/>
        <v>GASTOS</v>
      </c>
      <c r="I2147" s="19">
        <v>2025</v>
      </c>
    </row>
    <row r="2148" spans="1:9" hidden="1" x14ac:dyDescent="0.3">
      <c r="A2148" s="16" t="s">
        <v>155</v>
      </c>
      <c r="B2148" s="16" t="s">
        <v>31</v>
      </c>
      <c r="C2148" s="15">
        <v>3</v>
      </c>
      <c r="D2148" s="17">
        <v>156117</v>
      </c>
      <c r="E2148" s="17">
        <v>147582</v>
      </c>
      <c r="F2148" s="17">
        <v>-8535</v>
      </c>
      <c r="G2148" s="18">
        <v>0.94532946444013144</v>
      </c>
      <c r="H2148" s="10" t="str">
        <f t="shared" si="33"/>
        <v>GASTOS</v>
      </c>
      <c r="I2148" s="19">
        <v>2025</v>
      </c>
    </row>
    <row r="2149" spans="1:9" hidden="1" x14ac:dyDescent="0.3">
      <c r="A2149" s="16" t="s">
        <v>155</v>
      </c>
      <c r="B2149" s="16" t="s">
        <v>31</v>
      </c>
      <c r="C2149" s="15">
        <v>4</v>
      </c>
      <c r="D2149" s="17">
        <v>144915</v>
      </c>
      <c r="E2149" s="17">
        <v>197832</v>
      </c>
      <c r="F2149" s="17">
        <v>52917</v>
      </c>
      <c r="G2149" s="18">
        <v>1.3651588862436601</v>
      </c>
      <c r="H2149" s="10" t="str">
        <f t="shared" si="33"/>
        <v>GASTOS</v>
      </c>
      <c r="I2149" s="19">
        <v>2025</v>
      </c>
    </row>
    <row r="2150" spans="1:9" hidden="1" x14ac:dyDescent="0.3">
      <c r="A2150" s="16" t="s">
        <v>155</v>
      </c>
      <c r="B2150" s="16" t="s">
        <v>31</v>
      </c>
      <c r="C2150" s="15">
        <v>5</v>
      </c>
      <c r="D2150" s="17">
        <v>144915</v>
      </c>
      <c r="E2150" s="17">
        <v>147582</v>
      </c>
      <c r="F2150" s="17">
        <v>2667</v>
      </c>
      <c r="G2150" s="18">
        <v>1.0184038919366525</v>
      </c>
      <c r="H2150" s="10" t="str">
        <f t="shared" si="33"/>
        <v>GASTOS</v>
      </c>
      <c r="I2150" s="19">
        <v>2025</v>
      </c>
    </row>
    <row r="2151" spans="1:9" hidden="1" x14ac:dyDescent="0.3">
      <c r="A2151" s="16" t="s">
        <v>155</v>
      </c>
      <c r="B2151" s="16" t="s">
        <v>31</v>
      </c>
      <c r="C2151" s="15">
        <v>6</v>
      </c>
      <c r="D2151" s="17">
        <v>144915</v>
      </c>
      <c r="E2151" s="17">
        <v>147582</v>
      </c>
      <c r="F2151" s="17">
        <v>2667</v>
      </c>
      <c r="G2151" s="18">
        <v>1.0184038919366525</v>
      </c>
      <c r="H2151" s="10" t="str">
        <f t="shared" si="33"/>
        <v>GASTOS</v>
      </c>
      <c r="I2151" s="19">
        <v>2025</v>
      </c>
    </row>
    <row r="2152" spans="1:9" hidden="1" x14ac:dyDescent="0.3">
      <c r="A2152" s="16" t="s">
        <v>155</v>
      </c>
      <c r="B2152" s="16" t="s">
        <v>31</v>
      </c>
      <c r="C2152" s="15">
        <v>7</v>
      </c>
      <c r="D2152" s="17">
        <v>144915</v>
      </c>
      <c r="E2152" s="17">
        <v>147582</v>
      </c>
      <c r="F2152" s="17">
        <v>2667</v>
      </c>
      <c r="G2152" s="18">
        <v>1.0184038919366525</v>
      </c>
      <c r="H2152" s="10" t="str">
        <f t="shared" si="33"/>
        <v>GASTOS</v>
      </c>
      <c r="I2152" s="19">
        <v>2025</v>
      </c>
    </row>
    <row r="2153" spans="1:9" hidden="1" x14ac:dyDescent="0.3">
      <c r="A2153" s="16" t="s">
        <v>155</v>
      </c>
      <c r="B2153" s="16" t="s">
        <v>31</v>
      </c>
      <c r="C2153" s="15">
        <v>8</v>
      </c>
      <c r="D2153" s="17">
        <v>143020</v>
      </c>
      <c r="E2153" s="17">
        <v>147582</v>
      </c>
      <c r="F2153" s="17">
        <v>4562</v>
      </c>
      <c r="G2153" s="18">
        <v>1.0318976366941686</v>
      </c>
      <c r="H2153" s="10" t="str">
        <f t="shared" si="33"/>
        <v>GASTOS</v>
      </c>
      <c r="I2153" s="19">
        <v>2025</v>
      </c>
    </row>
    <row r="2154" spans="1:9" hidden="1" x14ac:dyDescent="0.3">
      <c r="A2154" s="16" t="s">
        <v>155</v>
      </c>
      <c r="B2154" s="16" t="s">
        <v>31</v>
      </c>
      <c r="C2154" s="15">
        <v>9</v>
      </c>
      <c r="D2154" s="17">
        <v>144915</v>
      </c>
      <c r="E2154" s="17">
        <v>147582</v>
      </c>
      <c r="F2154" s="17">
        <v>2667</v>
      </c>
      <c r="G2154" s="18">
        <v>1.0184038919366525</v>
      </c>
      <c r="H2154" s="10" t="str">
        <f t="shared" si="33"/>
        <v>GASTOS</v>
      </c>
      <c r="I2154" s="19">
        <v>2025</v>
      </c>
    </row>
    <row r="2155" spans="1:9" hidden="1" x14ac:dyDescent="0.3">
      <c r="A2155" s="16" t="s">
        <v>155</v>
      </c>
      <c r="B2155" s="16" t="s">
        <v>31</v>
      </c>
      <c r="C2155" s="15">
        <v>10</v>
      </c>
      <c r="D2155" s="17">
        <v>144915</v>
      </c>
      <c r="E2155" s="17">
        <v>145563</v>
      </c>
      <c r="F2155" s="17">
        <v>648</v>
      </c>
      <c r="G2155" s="18">
        <v>1.0044715867922576</v>
      </c>
      <c r="H2155" s="10" t="str">
        <f t="shared" si="33"/>
        <v>GASTOS</v>
      </c>
      <c r="I2155" s="19">
        <v>2025</v>
      </c>
    </row>
    <row r="2156" spans="1:9" hidden="1" x14ac:dyDescent="0.3">
      <c r="A2156" s="16" t="s">
        <v>155</v>
      </c>
      <c r="B2156" s="16" t="s">
        <v>84</v>
      </c>
      <c r="C2156" s="15">
        <v>1</v>
      </c>
      <c r="D2156" s="17">
        <v>723830</v>
      </c>
      <c r="E2156" s="17">
        <v>685593</v>
      </c>
      <c r="F2156" s="17">
        <v>-38237</v>
      </c>
      <c r="G2156" s="18">
        <v>0.94717406020750727</v>
      </c>
      <c r="H2156" s="10" t="str">
        <f t="shared" si="33"/>
        <v>GASTOS</v>
      </c>
      <c r="I2156" s="19">
        <v>2025</v>
      </c>
    </row>
    <row r="2157" spans="1:9" hidden="1" x14ac:dyDescent="0.3">
      <c r="A2157" s="16" t="s">
        <v>155</v>
      </c>
      <c r="B2157" s="16" t="s">
        <v>84</v>
      </c>
      <c r="C2157" s="15">
        <v>2</v>
      </c>
      <c r="D2157" s="17">
        <v>1027433</v>
      </c>
      <c r="E2157" s="17">
        <v>672062</v>
      </c>
      <c r="F2157" s="17">
        <v>-355371</v>
      </c>
      <c r="G2157" s="18">
        <v>0.6541175920960296</v>
      </c>
      <c r="H2157" s="10" t="str">
        <f t="shared" si="33"/>
        <v>GASTOS</v>
      </c>
      <c r="I2157" s="19">
        <v>2025</v>
      </c>
    </row>
    <row r="2158" spans="1:9" hidden="1" x14ac:dyDescent="0.3">
      <c r="A2158" s="16" t="s">
        <v>155</v>
      </c>
      <c r="B2158" s="16" t="s">
        <v>84</v>
      </c>
      <c r="C2158" s="15">
        <v>3</v>
      </c>
      <c r="D2158" s="17">
        <v>785254</v>
      </c>
      <c r="E2158" s="17">
        <v>947207</v>
      </c>
      <c r="F2158" s="17">
        <v>161953</v>
      </c>
      <c r="G2158" s="18">
        <v>1.2062428207942908</v>
      </c>
      <c r="H2158" s="10" t="str">
        <f t="shared" si="33"/>
        <v>GASTOS</v>
      </c>
      <c r="I2158" s="19">
        <v>2025</v>
      </c>
    </row>
    <row r="2159" spans="1:9" hidden="1" x14ac:dyDescent="0.3">
      <c r="A2159" s="16" t="s">
        <v>155</v>
      </c>
      <c r="B2159" s="16" t="s">
        <v>84</v>
      </c>
      <c r="C2159" s="15">
        <v>4</v>
      </c>
      <c r="D2159" s="17">
        <v>1068819</v>
      </c>
      <c r="E2159" s="17">
        <v>923474</v>
      </c>
      <c r="F2159" s="17">
        <v>-145345</v>
      </c>
      <c r="G2159" s="18">
        <v>0.86401345784459294</v>
      </c>
      <c r="H2159" s="10" t="str">
        <f t="shared" si="33"/>
        <v>GASTOS</v>
      </c>
      <c r="I2159" s="19">
        <v>2025</v>
      </c>
    </row>
    <row r="2160" spans="1:9" hidden="1" x14ac:dyDescent="0.3">
      <c r="A2160" s="16" t="s">
        <v>155</v>
      </c>
      <c r="B2160" s="16" t="s">
        <v>84</v>
      </c>
      <c r="C2160" s="15">
        <v>5</v>
      </c>
      <c r="D2160" s="17">
        <v>1296421</v>
      </c>
      <c r="E2160" s="17">
        <v>987387</v>
      </c>
      <c r="F2160" s="17">
        <v>-309034</v>
      </c>
      <c r="G2160" s="18">
        <v>0.76162527450573547</v>
      </c>
      <c r="H2160" s="10" t="str">
        <f t="shared" si="33"/>
        <v>GASTOS</v>
      </c>
      <c r="I2160" s="19">
        <v>2025</v>
      </c>
    </row>
    <row r="2161" spans="1:9" hidden="1" x14ac:dyDescent="0.3">
      <c r="A2161" s="16" t="s">
        <v>155</v>
      </c>
      <c r="B2161" s="16" t="s">
        <v>84</v>
      </c>
      <c r="C2161" s="15">
        <v>6</v>
      </c>
      <c r="D2161" s="17">
        <v>572895</v>
      </c>
      <c r="E2161" s="17">
        <v>733580</v>
      </c>
      <c r="F2161" s="17">
        <v>160685</v>
      </c>
      <c r="G2161" s="18">
        <v>1.2804789708410791</v>
      </c>
      <c r="H2161" s="10" t="str">
        <f t="shared" si="33"/>
        <v>GASTOS</v>
      </c>
      <c r="I2161" s="19">
        <v>2025</v>
      </c>
    </row>
    <row r="2162" spans="1:9" hidden="1" x14ac:dyDescent="0.3">
      <c r="A2162" s="16" t="s">
        <v>155</v>
      </c>
      <c r="B2162" s="16" t="s">
        <v>84</v>
      </c>
      <c r="C2162" s="15">
        <v>7</v>
      </c>
      <c r="D2162" s="17">
        <v>1331763</v>
      </c>
      <c r="E2162" s="17">
        <v>1170761</v>
      </c>
      <c r="F2162" s="17">
        <v>-161002</v>
      </c>
      <c r="G2162" s="18">
        <v>0.87910611722956711</v>
      </c>
      <c r="H2162" s="10" t="str">
        <f t="shared" si="33"/>
        <v>GASTOS</v>
      </c>
      <c r="I2162" s="19">
        <v>2025</v>
      </c>
    </row>
    <row r="2163" spans="1:9" hidden="1" x14ac:dyDescent="0.3">
      <c r="A2163" s="16" t="s">
        <v>155</v>
      </c>
      <c r="B2163" s="16" t="s">
        <v>84</v>
      </c>
      <c r="C2163" s="15">
        <v>8</v>
      </c>
      <c r="D2163" s="17">
        <v>1272420</v>
      </c>
      <c r="E2163" s="17">
        <v>841273</v>
      </c>
      <c r="F2163" s="17">
        <v>-431147</v>
      </c>
      <c r="G2163" s="18">
        <v>0.66115983716068594</v>
      </c>
      <c r="H2163" s="10" t="str">
        <f t="shared" si="33"/>
        <v>GASTOS</v>
      </c>
      <c r="I2163" s="19">
        <v>2025</v>
      </c>
    </row>
    <row r="2164" spans="1:9" hidden="1" x14ac:dyDescent="0.3">
      <c r="A2164" s="16" t="s">
        <v>155</v>
      </c>
      <c r="B2164" s="16" t="s">
        <v>84</v>
      </c>
      <c r="C2164" s="15">
        <v>9</v>
      </c>
      <c r="D2164" s="17">
        <v>1200460</v>
      </c>
      <c r="E2164" s="17">
        <v>1561203</v>
      </c>
      <c r="F2164" s="17">
        <v>360743</v>
      </c>
      <c r="G2164" s="18">
        <v>1.300503973476834</v>
      </c>
      <c r="H2164" s="10" t="str">
        <f t="shared" si="33"/>
        <v>GASTOS</v>
      </c>
      <c r="I2164" s="19">
        <v>2025</v>
      </c>
    </row>
    <row r="2165" spans="1:9" hidden="1" x14ac:dyDescent="0.3">
      <c r="A2165" s="16" t="s">
        <v>155</v>
      </c>
      <c r="B2165" s="16" t="s">
        <v>84</v>
      </c>
      <c r="C2165" s="15">
        <v>10</v>
      </c>
      <c r="D2165" s="17">
        <v>848021</v>
      </c>
      <c r="E2165" s="17">
        <v>1162052.1499999999</v>
      </c>
      <c r="F2165" s="17">
        <v>314031.15000000002</v>
      </c>
      <c r="G2165" s="18">
        <v>1.3703105819313437</v>
      </c>
      <c r="H2165" s="10" t="str">
        <f t="shared" si="33"/>
        <v>GASTOS</v>
      </c>
      <c r="I2165" s="19">
        <v>2025</v>
      </c>
    </row>
    <row r="2166" spans="1:9" hidden="1" x14ac:dyDescent="0.3">
      <c r="A2166" s="16" t="s">
        <v>155</v>
      </c>
      <c r="B2166" s="16" t="s">
        <v>32</v>
      </c>
      <c r="C2166" s="15">
        <v>1</v>
      </c>
      <c r="D2166" s="17">
        <v>76230</v>
      </c>
      <c r="E2166" s="17">
        <v>348323</v>
      </c>
      <c r="F2166" s="17">
        <v>272093</v>
      </c>
      <c r="G2166" s="18">
        <v>4.5693690148235602</v>
      </c>
      <c r="H2166" s="10" t="str">
        <f t="shared" si="33"/>
        <v>GASTOS</v>
      </c>
      <c r="I2166" s="19">
        <v>2025</v>
      </c>
    </row>
    <row r="2167" spans="1:9" hidden="1" x14ac:dyDescent="0.3">
      <c r="A2167" s="16" t="s">
        <v>155</v>
      </c>
      <c r="B2167" s="16" t="s">
        <v>32</v>
      </c>
      <c r="C2167" s="15">
        <v>9</v>
      </c>
      <c r="D2167" s="17">
        <v>24549</v>
      </c>
      <c r="E2167" s="17">
        <v>0</v>
      </c>
      <c r="F2167" s="17">
        <v>-24549</v>
      </c>
      <c r="G2167" s="18">
        <v>0</v>
      </c>
      <c r="H2167" s="10" t="str">
        <f t="shared" si="33"/>
        <v>GASTOS</v>
      </c>
      <c r="I2167" s="19">
        <v>2025</v>
      </c>
    </row>
    <row r="2168" spans="1:9" hidden="1" x14ac:dyDescent="0.3">
      <c r="A2168" s="16" t="s">
        <v>155</v>
      </c>
      <c r="B2168" s="16" t="s">
        <v>33</v>
      </c>
      <c r="C2168" s="15">
        <v>1</v>
      </c>
      <c r="D2168" s="17">
        <v>0</v>
      </c>
      <c r="E2168" s="17">
        <v>8614502</v>
      </c>
      <c r="F2168" s="17">
        <v>8614502</v>
      </c>
      <c r="G2168" s="18">
        <v>0</v>
      </c>
      <c r="H2168" s="10" t="str">
        <f t="shared" si="33"/>
        <v>GASTOS</v>
      </c>
      <c r="I2168" s="19">
        <v>2025</v>
      </c>
    </row>
    <row r="2169" spans="1:9" hidden="1" x14ac:dyDescent="0.3">
      <c r="A2169" s="16" t="s">
        <v>155</v>
      </c>
      <c r="B2169" s="16" t="s">
        <v>33</v>
      </c>
      <c r="C2169" s="15">
        <v>3</v>
      </c>
      <c r="D2169" s="17">
        <v>0</v>
      </c>
      <c r="E2169" s="17">
        <v>55652</v>
      </c>
      <c r="F2169" s="17">
        <v>55652</v>
      </c>
      <c r="G2169" s="18">
        <v>0</v>
      </c>
      <c r="H2169" s="10" t="str">
        <f t="shared" si="33"/>
        <v>GASTOS</v>
      </c>
      <c r="I2169" s="19">
        <v>2025</v>
      </c>
    </row>
    <row r="2170" spans="1:9" hidden="1" x14ac:dyDescent="0.3">
      <c r="A2170" s="16" t="s">
        <v>155</v>
      </c>
      <c r="B2170" s="16" t="s">
        <v>33</v>
      </c>
      <c r="C2170" s="15">
        <v>4</v>
      </c>
      <c r="D2170" s="17">
        <v>0</v>
      </c>
      <c r="E2170" s="17">
        <v>405237.09</v>
      </c>
      <c r="F2170" s="17">
        <v>405237.09</v>
      </c>
      <c r="G2170" s="18">
        <v>0</v>
      </c>
      <c r="H2170" s="10" t="str">
        <f t="shared" si="33"/>
        <v>GASTOS</v>
      </c>
      <c r="I2170" s="19">
        <v>2025</v>
      </c>
    </row>
    <row r="2171" spans="1:9" hidden="1" x14ac:dyDescent="0.3">
      <c r="A2171" s="16" t="s">
        <v>155</v>
      </c>
      <c r="B2171" s="16" t="s">
        <v>33</v>
      </c>
      <c r="C2171" s="15">
        <v>8</v>
      </c>
      <c r="D2171" s="17">
        <v>0</v>
      </c>
      <c r="E2171" s="17">
        <v>439814</v>
      </c>
      <c r="F2171" s="17">
        <v>439814</v>
      </c>
      <c r="G2171" s="18">
        <v>0</v>
      </c>
      <c r="H2171" s="10" t="str">
        <f t="shared" si="33"/>
        <v>GASTOS</v>
      </c>
      <c r="I2171" s="19">
        <v>2025</v>
      </c>
    </row>
    <row r="2172" spans="1:9" hidden="1" x14ac:dyDescent="0.3">
      <c r="A2172" s="16" t="s">
        <v>155</v>
      </c>
      <c r="B2172" s="16" t="s">
        <v>165</v>
      </c>
      <c r="C2172" s="15">
        <v>5</v>
      </c>
      <c r="D2172" s="17">
        <v>0</v>
      </c>
      <c r="E2172" s="17">
        <v>85541</v>
      </c>
      <c r="F2172" s="17">
        <v>85541</v>
      </c>
      <c r="G2172" s="18">
        <v>0</v>
      </c>
      <c r="H2172" s="10" t="str">
        <f t="shared" si="33"/>
        <v>GASTOS</v>
      </c>
      <c r="I2172" s="19">
        <v>2025</v>
      </c>
    </row>
    <row r="2173" spans="1:9" hidden="1" x14ac:dyDescent="0.3">
      <c r="A2173" s="16" t="s">
        <v>155</v>
      </c>
      <c r="B2173" s="16" t="s">
        <v>165</v>
      </c>
      <c r="C2173" s="15">
        <v>8</v>
      </c>
      <c r="D2173" s="17">
        <v>0</v>
      </c>
      <c r="E2173" s="17">
        <v>259011</v>
      </c>
      <c r="F2173" s="17">
        <v>259011</v>
      </c>
      <c r="G2173" s="18">
        <v>0</v>
      </c>
      <c r="H2173" s="10" t="str">
        <f t="shared" si="33"/>
        <v>GASTOS</v>
      </c>
      <c r="I2173" s="19">
        <v>2025</v>
      </c>
    </row>
    <row r="2174" spans="1:9" hidden="1" x14ac:dyDescent="0.3">
      <c r="A2174" s="16" t="s">
        <v>155</v>
      </c>
      <c r="B2174" s="16" t="s">
        <v>165</v>
      </c>
      <c r="C2174" s="15">
        <v>9</v>
      </c>
      <c r="D2174" s="17">
        <v>0</v>
      </c>
      <c r="E2174" s="17">
        <v>671769</v>
      </c>
      <c r="F2174" s="17">
        <v>671769</v>
      </c>
      <c r="G2174" s="18">
        <v>0</v>
      </c>
      <c r="H2174" s="10" t="str">
        <f t="shared" si="33"/>
        <v>GASTOS</v>
      </c>
      <c r="I2174" s="19">
        <v>2025</v>
      </c>
    </row>
    <row r="2175" spans="1:9" hidden="1" x14ac:dyDescent="0.3">
      <c r="A2175" s="16" t="s">
        <v>155</v>
      </c>
      <c r="B2175" s="16" t="s">
        <v>165</v>
      </c>
      <c r="C2175" s="15">
        <v>10</v>
      </c>
      <c r="D2175" s="17">
        <v>0</v>
      </c>
      <c r="E2175" s="17">
        <v>203233</v>
      </c>
      <c r="F2175" s="17">
        <v>203233</v>
      </c>
      <c r="G2175" s="18">
        <v>0</v>
      </c>
      <c r="H2175" s="10" t="str">
        <f t="shared" si="33"/>
        <v>GASTOS</v>
      </c>
      <c r="I2175" s="19">
        <v>2025</v>
      </c>
    </row>
    <row r="2176" spans="1:9" hidden="1" x14ac:dyDescent="0.3">
      <c r="A2176" s="16" t="s">
        <v>155</v>
      </c>
      <c r="B2176" s="16" t="s">
        <v>35</v>
      </c>
      <c r="C2176" s="15">
        <v>1</v>
      </c>
      <c r="D2176" s="17">
        <v>0</v>
      </c>
      <c r="E2176" s="17">
        <v>114.71</v>
      </c>
      <c r="F2176" s="17">
        <v>114.71</v>
      </c>
      <c r="G2176" s="18">
        <v>0</v>
      </c>
      <c r="H2176" s="10" t="str">
        <f t="shared" si="33"/>
        <v>GASTOS</v>
      </c>
      <c r="I2176" s="19">
        <v>2025</v>
      </c>
    </row>
    <row r="2177" spans="1:9" hidden="1" x14ac:dyDescent="0.3">
      <c r="A2177" s="16" t="s">
        <v>155</v>
      </c>
      <c r="B2177" s="16" t="s">
        <v>35</v>
      </c>
      <c r="C2177" s="15">
        <v>2</v>
      </c>
      <c r="D2177" s="17">
        <v>0</v>
      </c>
      <c r="E2177" s="17">
        <v>42.4</v>
      </c>
      <c r="F2177" s="17">
        <v>42.4</v>
      </c>
      <c r="G2177" s="18">
        <v>0</v>
      </c>
      <c r="H2177" s="10" t="str">
        <f t="shared" si="33"/>
        <v>GASTOS</v>
      </c>
      <c r="I2177" s="19">
        <v>2025</v>
      </c>
    </row>
    <row r="2178" spans="1:9" hidden="1" x14ac:dyDescent="0.3">
      <c r="A2178" s="16" t="s">
        <v>155</v>
      </c>
      <c r="B2178" s="16" t="s">
        <v>35</v>
      </c>
      <c r="C2178" s="15">
        <v>3</v>
      </c>
      <c r="D2178" s="17">
        <v>0</v>
      </c>
      <c r="E2178" s="17">
        <v>14</v>
      </c>
      <c r="F2178" s="17">
        <v>14</v>
      </c>
      <c r="G2178" s="18">
        <v>0</v>
      </c>
      <c r="H2178" s="10" t="str">
        <f t="shared" si="33"/>
        <v>GASTOS</v>
      </c>
      <c r="I2178" s="19">
        <v>2025</v>
      </c>
    </row>
    <row r="2179" spans="1:9" hidden="1" x14ac:dyDescent="0.3">
      <c r="A2179" s="16" t="s">
        <v>155</v>
      </c>
      <c r="B2179" s="16" t="s">
        <v>35</v>
      </c>
      <c r="C2179" s="15">
        <v>4</v>
      </c>
      <c r="D2179" s="17">
        <v>0</v>
      </c>
      <c r="E2179" s="17">
        <v>1809</v>
      </c>
      <c r="F2179" s="17">
        <v>1809</v>
      </c>
      <c r="G2179" s="18">
        <v>0</v>
      </c>
      <c r="H2179" s="10" t="str">
        <f t="shared" ref="H2179:H2242" si="34">+IF(OR(A2179="ADMINISTRACION",A2179="COMERCIAL",A2179="COMERCIAL-EXPORTACIONES",A2179="LEASING DE LA BODEGA",A2179="LOGISTICA-SALIDA",A2179="OTROS GASTOS",A2179="BODEGA ALQUILADA", A2179="BODEGA CARTOPLAST", A2179="BODEGA CARTOPLAS", A2179= "GESTION HUMANA-OTROS GASTOS"),"GASTOS","COSTOS")</f>
        <v>GASTOS</v>
      </c>
      <c r="I2179" s="19">
        <v>2025</v>
      </c>
    </row>
    <row r="2180" spans="1:9" hidden="1" x14ac:dyDescent="0.3">
      <c r="A2180" s="16" t="s">
        <v>155</v>
      </c>
      <c r="B2180" s="16" t="s">
        <v>35</v>
      </c>
      <c r="C2180" s="15">
        <v>5</v>
      </c>
      <c r="D2180" s="17">
        <v>0</v>
      </c>
      <c r="E2180" s="17">
        <v>1002825.11</v>
      </c>
      <c r="F2180" s="17">
        <v>1002825.11</v>
      </c>
      <c r="G2180" s="18">
        <v>0</v>
      </c>
      <c r="H2180" s="10" t="str">
        <f t="shared" si="34"/>
        <v>GASTOS</v>
      </c>
      <c r="I2180" s="19">
        <v>2025</v>
      </c>
    </row>
    <row r="2181" spans="1:9" hidden="1" x14ac:dyDescent="0.3">
      <c r="A2181" s="16" t="s">
        <v>155</v>
      </c>
      <c r="B2181" s="16" t="s">
        <v>35</v>
      </c>
      <c r="C2181" s="15">
        <v>6</v>
      </c>
      <c r="D2181" s="17">
        <v>0</v>
      </c>
      <c r="E2181" s="17">
        <v>245.92</v>
      </c>
      <c r="F2181" s="17">
        <v>245.92</v>
      </c>
      <c r="G2181" s="18">
        <v>0</v>
      </c>
      <c r="H2181" s="10" t="str">
        <f t="shared" si="34"/>
        <v>GASTOS</v>
      </c>
      <c r="I2181" s="19">
        <v>2025</v>
      </c>
    </row>
    <row r="2182" spans="1:9" hidden="1" x14ac:dyDescent="0.3">
      <c r="A2182" s="16" t="s">
        <v>155</v>
      </c>
      <c r="B2182" s="16" t="s">
        <v>35</v>
      </c>
      <c r="C2182" s="15">
        <v>7</v>
      </c>
      <c r="D2182" s="17">
        <v>0</v>
      </c>
      <c r="E2182" s="17">
        <v>1692</v>
      </c>
      <c r="F2182" s="17">
        <v>1692</v>
      </c>
      <c r="G2182" s="18">
        <v>0</v>
      </c>
      <c r="H2182" s="10" t="str">
        <f t="shared" si="34"/>
        <v>GASTOS</v>
      </c>
      <c r="I2182" s="19">
        <v>2025</v>
      </c>
    </row>
    <row r="2183" spans="1:9" hidden="1" x14ac:dyDescent="0.3">
      <c r="A2183" s="16" t="s">
        <v>155</v>
      </c>
      <c r="B2183" s="16" t="s">
        <v>35</v>
      </c>
      <c r="C2183" s="15">
        <v>8</v>
      </c>
      <c r="D2183" s="17">
        <v>0</v>
      </c>
      <c r="E2183" s="17">
        <v>36244</v>
      </c>
      <c r="F2183" s="17">
        <v>36244</v>
      </c>
      <c r="G2183" s="18">
        <v>0</v>
      </c>
      <c r="H2183" s="10" t="str">
        <f t="shared" si="34"/>
        <v>GASTOS</v>
      </c>
      <c r="I2183" s="19">
        <v>2025</v>
      </c>
    </row>
    <row r="2184" spans="1:9" hidden="1" x14ac:dyDescent="0.3">
      <c r="A2184" s="16" t="s">
        <v>155</v>
      </c>
      <c r="B2184" s="16" t="s">
        <v>35</v>
      </c>
      <c r="C2184" s="15">
        <v>9</v>
      </c>
      <c r="D2184" s="17">
        <v>0</v>
      </c>
      <c r="E2184" s="17">
        <v>20913.11</v>
      </c>
      <c r="F2184" s="17">
        <v>20913.11</v>
      </c>
      <c r="G2184" s="18">
        <v>0</v>
      </c>
      <c r="H2184" s="10" t="str">
        <f t="shared" si="34"/>
        <v>GASTOS</v>
      </c>
      <c r="I2184" s="19">
        <v>2025</v>
      </c>
    </row>
    <row r="2185" spans="1:9" hidden="1" x14ac:dyDescent="0.3">
      <c r="A2185" s="16" t="s">
        <v>155</v>
      </c>
      <c r="B2185" s="16" t="s">
        <v>35</v>
      </c>
      <c r="C2185" s="15">
        <v>10</v>
      </c>
      <c r="D2185" s="17">
        <v>0</v>
      </c>
      <c r="E2185" s="17">
        <v>252129.23</v>
      </c>
      <c r="F2185" s="17">
        <v>252129.23</v>
      </c>
      <c r="G2185" s="18">
        <v>0</v>
      </c>
      <c r="H2185" s="10" t="str">
        <f t="shared" si="34"/>
        <v>GASTOS</v>
      </c>
      <c r="I2185" s="19">
        <v>2025</v>
      </c>
    </row>
    <row r="2186" spans="1:9" hidden="1" x14ac:dyDescent="0.3">
      <c r="A2186" s="16" t="s">
        <v>155</v>
      </c>
      <c r="B2186" s="16" t="s">
        <v>36</v>
      </c>
      <c r="C2186" s="15">
        <v>1</v>
      </c>
      <c r="D2186" s="17">
        <v>0</v>
      </c>
      <c r="E2186" s="17">
        <v>162500</v>
      </c>
      <c r="F2186" s="17">
        <v>162500</v>
      </c>
      <c r="G2186" s="18">
        <v>0</v>
      </c>
      <c r="H2186" s="10" t="str">
        <f t="shared" si="34"/>
        <v>GASTOS</v>
      </c>
      <c r="I2186" s="19">
        <v>2025</v>
      </c>
    </row>
    <row r="2187" spans="1:9" hidden="1" x14ac:dyDescent="0.3">
      <c r="A2187" s="16" t="s">
        <v>155</v>
      </c>
      <c r="B2187" s="16" t="s">
        <v>36</v>
      </c>
      <c r="C2187" s="15">
        <v>4</v>
      </c>
      <c r="D2187" s="17">
        <v>0</v>
      </c>
      <c r="E2187" s="17">
        <v>599484.68999999994</v>
      </c>
      <c r="F2187" s="17">
        <v>599484.68999999994</v>
      </c>
      <c r="G2187" s="18">
        <v>0</v>
      </c>
      <c r="H2187" s="10" t="str">
        <f t="shared" si="34"/>
        <v>GASTOS</v>
      </c>
      <c r="I2187" s="19">
        <v>2025</v>
      </c>
    </row>
    <row r="2188" spans="1:9" hidden="1" x14ac:dyDescent="0.3">
      <c r="A2188" s="16" t="s">
        <v>155</v>
      </c>
      <c r="B2188" s="16" t="s">
        <v>36</v>
      </c>
      <c r="C2188" s="15">
        <v>7</v>
      </c>
      <c r="D2188" s="17">
        <v>0</v>
      </c>
      <c r="E2188" s="17">
        <v>334125</v>
      </c>
      <c r="F2188" s="17">
        <v>334125</v>
      </c>
      <c r="G2188" s="18">
        <v>0</v>
      </c>
      <c r="H2188" s="10" t="str">
        <f t="shared" si="34"/>
        <v>GASTOS</v>
      </c>
      <c r="I2188" s="19">
        <v>2025</v>
      </c>
    </row>
    <row r="2189" spans="1:9" hidden="1" x14ac:dyDescent="0.3">
      <c r="A2189" s="16" t="s">
        <v>155</v>
      </c>
      <c r="B2189" s="16" t="s">
        <v>37</v>
      </c>
      <c r="C2189" s="15">
        <v>1</v>
      </c>
      <c r="D2189" s="17">
        <v>17512700</v>
      </c>
      <c r="E2189" s="17">
        <v>17368109</v>
      </c>
      <c r="F2189" s="17">
        <v>-144591</v>
      </c>
      <c r="G2189" s="18">
        <v>0.99174364889480215</v>
      </c>
      <c r="H2189" s="10" t="str">
        <f t="shared" si="34"/>
        <v>GASTOS</v>
      </c>
      <c r="I2189" s="19">
        <v>2025</v>
      </c>
    </row>
    <row r="2190" spans="1:9" hidden="1" x14ac:dyDescent="0.3">
      <c r="A2190" s="16" t="s">
        <v>155</v>
      </c>
      <c r="B2190" s="16" t="s">
        <v>37</v>
      </c>
      <c r="C2190" s="15">
        <v>2</v>
      </c>
      <c r="D2190" s="17">
        <v>15102485</v>
      </c>
      <c r="E2190" s="17">
        <v>15102485</v>
      </c>
      <c r="F2190" s="17">
        <v>0</v>
      </c>
      <c r="G2190" s="18">
        <v>1</v>
      </c>
      <c r="H2190" s="10" t="str">
        <f t="shared" si="34"/>
        <v>GASTOS</v>
      </c>
      <c r="I2190" s="19">
        <v>2025</v>
      </c>
    </row>
    <row r="2191" spans="1:9" hidden="1" x14ac:dyDescent="0.3">
      <c r="A2191" s="16" t="s">
        <v>155</v>
      </c>
      <c r="B2191" s="16" t="s">
        <v>37</v>
      </c>
      <c r="C2191" s="15">
        <v>3</v>
      </c>
      <c r="D2191" s="17">
        <v>16180855</v>
      </c>
      <c r="E2191" s="17">
        <v>18342846</v>
      </c>
      <c r="F2191" s="17">
        <v>2161991</v>
      </c>
      <c r="G2191" s="18">
        <v>1.1336141384370604</v>
      </c>
      <c r="H2191" s="10" t="str">
        <f t="shared" si="34"/>
        <v>GASTOS</v>
      </c>
      <c r="I2191" s="19">
        <v>2025</v>
      </c>
    </row>
    <row r="2192" spans="1:9" hidden="1" x14ac:dyDescent="0.3">
      <c r="A2192" s="16" t="s">
        <v>155</v>
      </c>
      <c r="B2192" s="16" t="s">
        <v>37</v>
      </c>
      <c r="C2192" s="15">
        <v>4</v>
      </c>
      <c r="D2192" s="17">
        <v>17157698</v>
      </c>
      <c r="E2192" s="17">
        <v>12312364</v>
      </c>
      <c r="F2192" s="17">
        <v>-4845334</v>
      </c>
      <c r="G2192" s="18">
        <v>0.71759999505761207</v>
      </c>
      <c r="H2192" s="10" t="str">
        <f t="shared" si="34"/>
        <v>GASTOS</v>
      </c>
      <c r="I2192" s="19">
        <v>2025</v>
      </c>
    </row>
    <row r="2193" spans="1:9" hidden="1" x14ac:dyDescent="0.3">
      <c r="A2193" s="16" t="s">
        <v>155</v>
      </c>
      <c r="B2193" s="16" t="s">
        <v>37</v>
      </c>
      <c r="C2193" s="15">
        <v>5</v>
      </c>
      <c r="D2193" s="17">
        <v>23402068</v>
      </c>
      <c r="E2193" s="17">
        <v>22975733</v>
      </c>
      <c r="F2193" s="17">
        <v>-426335</v>
      </c>
      <c r="G2193" s="18">
        <v>0.98178216557613629</v>
      </c>
      <c r="H2193" s="10" t="str">
        <f t="shared" si="34"/>
        <v>GASTOS</v>
      </c>
      <c r="I2193" s="19">
        <v>2025</v>
      </c>
    </row>
    <row r="2194" spans="1:9" hidden="1" x14ac:dyDescent="0.3">
      <c r="A2194" s="16" t="s">
        <v>155</v>
      </c>
      <c r="B2194" s="16" t="s">
        <v>37</v>
      </c>
      <c r="C2194" s="15">
        <v>6</v>
      </c>
      <c r="D2194" s="17">
        <v>18199541</v>
      </c>
      <c r="E2194" s="17">
        <v>14042913</v>
      </c>
      <c r="F2194" s="17">
        <v>-4156628</v>
      </c>
      <c r="G2194" s="18">
        <v>0.77160808615997512</v>
      </c>
      <c r="H2194" s="10" t="str">
        <f t="shared" si="34"/>
        <v>GASTOS</v>
      </c>
      <c r="I2194" s="19">
        <v>2025</v>
      </c>
    </row>
    <row r="2195" spans="1:9" hidden="1" x14ac:dyDescent="0.3">
      <c r="A2195" s="16" t="s">
        <v>155</v>
      </c>
      <c r="B2195" s="16" t="s">
        <v>37</v>
      </c>
      <c r="C2195" s="15">
        <v>7</v>
      </c>
      <c r="D2195" s="17">
        <v>23664109</v>
      </c>
      <c r="E2195" s="17">
        <v>20315287</v>
      </c>
      <c r="F2195" s="17">
        <v>-3348822</v>
      </c>
      <c r="G2195" s="18">
        <v>0.85848518530742068</v>
      </c>
      <c r="H2195" s="10" t="str">
        <f t="shared" si="34"/>
        <v>GASTOS</v>
      </c>
      <c r="I2195" s="19">
        <v>2025</v>
      </c>
    </row>
    <row r="2196" spans="1:9" hidden="1" x14ac:dyDescent="0.3">
      <c r="A2196" s="16" t="s">
        <v>155</v>
      </c>
      <c r="B2196" s="16" t="s">
        <v>37</v>
      </c>
      <c r="C2196" s="15">
        <v>8</v>
      </c>
      <c r="D2196" s="17">
        <v>20584595</v>
      </c>
      <c r="E2196" s="17">
        <v>38149810</v>
      </c>
      <c r="F2196" s="17">
        <v>17565215</v>
      </c>
      <c r="G2196" s="18">
        <v>1.8533184646090926</v>
      </c>
      <c r="H2196" s="10" t="str">
        <f t="shared" si="34"/>
        <v>GASTOS</v>
      </c>
      <c r="I2196" s="19">
        <v>2025</v>
      </c>
    </row>
    <row r="2197" spans="1:9" hidden="1" x14ac:dyDescent="0.3">
      <c r="A2197" s="16" t="s">
        <v>155</v>
      </c>
      <c r="B2197" s="16" t="s">
        <v>37</v>
      </c>
      <c r="C2197" s="15">
        <v>9</v>
      </c>
      <c r="D2197" s="17">
        <v>14775674</v>
      </c>
      <c r="E2197" s="17">
        <v>21265727</v>
      </c>
      <c r="F2197" s="17">
        <v>6490053</v>
      </c>
      <c r="G2197" s="18">
        <v>1.4392390492643516</v>
      </c>
      <c r="H2197" s="10" t="str">
        <f t="shared" si="34"/>
        <v>GASTOS</v>
      </c>
      <c r="I2197" s="19">
        <v>2025</v>
      </c>
    </row>
    <row r="2198" spans="1:9" hidden="1" x14ac:dyDescent="0.3">
      <c r="A2198" s="16" t="s">
        <v>155</v>
      </c>
      <c r="B2198" s="16" t="s">
        <v>37</v>
      </c>
      <c r="C2198" s="15">
        <v>10</v>
      </c>
      <c r="D2198" s="17">
        <v>13527429</v>
      </c>
      <c r="E2198" s="17">
        <v>16250514</v>
      </c>
      <c r="F2198" s="17">
        <v>2723085</v>
      </c>
      <c r="G2198" s="18">
        <v>1.2013010010993219</v>
      </c>
      <c r="H2198" s="10" t="str">
        <f t="shared" si="34"/>
        <v>GASTOS</v>
      </c>
      <c r="I2198" s="19">
        <v>2025</v>
      </c>
    </row>
    <row r="2199" spans="1:9" hidden="1" x14ac:dyDescent="0.3">
      <c r="A2199" s="16" t="s">
        <v>155</v>
      </c>
      <c r="B2199" s="16" t="s">
        <v>35</v>
      </c>
      <c r="C2199" s="15">
        <v>2</v>
      </c>
      <c r="D2199" s="17">
        <v>0</v>
      </c>
      <c r="E2199" s="17">
        <v>10948</v>
      </c>
      <c r="F2199" s="17">
        <v>10948</v>
      </c>
      <c r="G2199" s="18">
        <v>0</v>
      </c>
      <c r="H2199" s="10" t="str">
        <f t="shared" si="34"/>
        <v>GASTOS</v>
      </c>
      <c r="I2199" s="19">
        <v>2025</v>
      </c>
    </row>
    <row r="2200" spans="1:9" hidden="1" x14ac:dyDescent="0.3">
      <c r="A2200" s="16" t="s">
        <v>155</v>
      </c>
      <c r="B2200" s="16" t="s">
        <v>35</v>
      </c>
      <c r="C2200" s="15">
        <v>4</v>
      </c>
      <c r="D2200" s="17">
        <v>0</v>
      </c>
      <c r="E2200" s="17">
        <v>10948</v>
      </c>
      <c r="F2200" s="17">
        <v>10948</v>
      </c>
      <c r="G2200" s="18">
        <v>0</v>
      </c>
      <c r="H2200" s="10" t="str">
        <f t="shared" si="34"/>
        <v>GASTOS</v>
      </c>
      <c r="I2200" s="19">
        <v>2025</v>
      </c>
    </row>
    <row r="2201" spans="1:9" hidden="1" x14ac:dyDescent="0.3">
      <c r="A2201" s="16" t="s">
        <v>155</v>
      </c>
      <c r="B2201" s="16" t="s">
        <v>35</v>
      </c>
      <c r="C2201" s="15">
        <v>5</v>
      </c>
      <c r="D2201" s="17">
        <v>0</v>
      </c>
      <c r="E2201" s="17">
        <v>43979</v>
      </c>
      <c r="F2201" s="17">
        <v>43979</v>
      </c>
      <c r="G2201" s="18">
        <v>0</v>
      </c>
      <c r="H2201" s="10" t="str">
        <f t="shared" si="34"/>
        <v>GASTOS</v>
      </c>
      <c r="I2201" s="19">
        <v>2025</v>
      </c>
    </row>
    <row r="2202" spans="1:9" hidden="1" x14ac:dyDescent="0.3">
      <c r="A2202" s="16" t="s">
        <v>155</v>
      </c>
      <c r="B2202" s="16" t="s">
        <v>35</v>
      </c>
      <c r="C2202" s="15">
        <v>6</v>
      </c>
      <c r="D2202" s="17">
        <v>0</v>
      </c>
      <c r="E2202" s="17">
        <v>22610</v>
      </c>
      <c r="F2202" s="17">
        <v>22610</v>
      </c>
      <c r="G2202" s="18">
        <v>0</v>
      </c>
      <c r="H2202" s="10" t="str">
        <f t="shared" si="34"/>
        <v>GASTOS</v>
      </c>
      <c r="I2202" s="19">
        <v>2025</v>
      </c>
    </row>
    <row r="2203" spans="1:9" hidden="1" x14ac:dyDescent="0.3">
      <c r="A2203" s="16" t="s">
        <v>155</v>
      </c>
      <c r="B2203" s="16" t="s">
        <v>35</v>
      </c>
      <c r="C2203" s="15">
        <v>7</v>
      </c>
      <c r="D2203" s="17">
        <v>0</v>
      </c>
      <c r="E2203" s="17">
        <v>8853</v>
      </c>
      <c r="F2203" s="17">
        <v>8853</v>
      </c>
      <c r="G2203" s="18">
        <v>0</v>
      </c>
      <c r="H2203" s="10" t="str">
        <f t="shared" si="34"/>
        <v>GASTOS</v>
      </c>
      <c r="I2203" s="19">
        <v>2025</v>
      </c>
    </row>
    <row r="2204" spans="1:9" hidden="1" x14ac:dyDescent="0.3">
      <c r="A2204" s="16" t="s">
        <v>155</v>
      </c>
      <c r="B2204" s="16" t="s">
        <v>35</v>
      </c>
      <c r="C2204" s="15">
        <v>8</v>
      </c>
      <c r="D2204" s="17">
        <v>0</v>
      </c>
      <c r="E2204" s="17">
        <v>64602</v>
      </c>
      <c r="F2204" s="17">
        <v>64602</v>
      </c>
      <c r="G2204" s="18">
        <v>0</v>
      </c>
      <c r="H2204" s="10" t="str">
        <f t="shared" si="34"/>
        <v>GASTOS</v>
      </c>
      <c r="I2204" s="19">
        <v>2025</v>
      </c>
    </row>
    <row r="2205" spans="1:9" hidden="1" x14ac:dyDescent="0.3">
      <c r="A2205" s="16" t="s">
        <v>155</v>
      </c>
      <c r="B2205" s="16" t="s">
        <v>35</v>
      </c>
      <c r="C2205" s="15">
        <v>9</v>
      </c>
      <c r="D2205" s="17">
        <v>0</v>
      </c>
      <c r="E2205" s="17">
        <v>84481</v>
      </c>
      <c r="F2205" s="17">
        <v>84481</v>
      </c>
      <c r="G2205" s="18">
        <v>0</v>
      </c>
      <c r="H2205" s="10" t="str">
        <f t="shared" si="34"/>
        <v>GASTOS</v>
      </c>
      <c r="I2205" s="19">
        <v>2025</v>
      </c>
    </row>
    <row r="2206" spans="1:9" hidden="1" x14ac:dyDescent="0.3">
      <c r="A2206" s="16" t="s">
        <v>155</v>
      </c>
      <c r="B2206" s="16" t="s">
        <v>35</v>
      </c>
      <c r="C2206" s="15">
        <v>10</v>
      </c>
      <c r="D2206" s="17">
        <v>0</v>
      </c>
      <c r="E2206" s="17">
        <v>12320</v>
      </c>
      <c r="F2206" s="17">
        <v>12320</v>
      </c>
      <c r="G2206" s="18">
        <v>0</v>
      </c>
      <c r="H2206" s="10" t="str">
        <f t="shared" si="34"/>
        <v>GASTOS</v>
      </c>
      <c r="I2206" s="19">
        <v>2025</v>
      </c>
    </row>
    <row r="2207" spans="1:9" hidden="1" x14ac:dyDescent="0.3">
      <c r="A2207" s="16" t="s">
        <v>155</v>
      </c>
      <c r="B2207" s="16" t="s">
        <v>36</v>
      </c>
      <c r="C2207" s="15">
        <v>2</v>
      </c>
      <c r="D2207" s="17">
        <v>0</v>
      </c>
      <c r="E2207" s="17">
        <v>72122</v>
      </c>
      <c r="F2207" s="17">
        <v>72122</v>
      </c>
      <c r="G2207" s="18">
        <v>0</v>
      </c>
      <c r="H2207" s="10" t="str">
        <f t="shared" si="34"/>
        <v>GASTOS</v>
      </c>
      <c r="I2207" s="19">
        <v>2025</v>
      </c>
    </row>
    <row r="2208" spans="1:9" hidden="1" x14ac:dyDescent="0.3">
      <c r="A2208" s="16" t="s">
        <v>155</v>
      </c>
      <c r="B2208" s="16" t="s">
        <v>33</v>
      </c>
      <c r="C2208" s="15">
        <v>5</v>
      </c>
      <c r="D2208" s="17">
        <v>0</v>
      </c>
      <c r="E2208" s="17">
        <v>1801569</v>
      </c>
      <c r="F2208" s="17">
        <v>1801569</v>
      </c>
      <c r="G2208" s="18">
        <v>0</v>
      </c>
      <c r="H2208" s="10" t="str">
        <f t="shared" si="34"/>
        <v>GASTOS</v>
      </c>
      <c r="I2208" s="19">
        <v>2025</v>
      </c>
    </row>
    <row r="2209" spans="1:9" hidden="1" x14ac:dyDescent="0.3">
      <c r="A2209" s="16" t="s">
        <v>146</v>
      </c>
      <c r="B2209" s="16" t="s">
        <v>169</v>
      </c>
      <c r="C2209" s="15">
        <v>5</v>
      </c>
      <c r="D2209" s="17">
        <v>0</v>
      </c>
      <c r="E2209" s="17">
        <v>3518300</v>
      </c>
      <c r="F2209" s="17">
        <v>3518300</v>
      </c>
      <c r="G2209" s="18">
        <v>0</v>
      </c>
      <c r="H2209" s="10" t="str">
        <f t="shared" si="34"/>
        <v>COSTOS</v>
      </c>
      <c r="I2209" s="19">
        <v>2025</v>
      </c>
    </row>
    <row r="2210" spans="1:9" hidden="1" x14ac:dyDescent="0.3">
      <c r="A2210" s="16" t="s">
        <v>146</v>
      </c>
      <c r="B2210" s="16" t="s">
        <v>169</v>
      </c>
      <c r="C2210" s="15">
        <v>6</v>
      </c>
      <c r="D2210" s="17">
        <v>0</v>
      </c>
      <c r="E2210" s="17">
        <v>1978000</v>
      </c>
      <c r="F2210" s="17">
        <v>1978000</v>
      </c>
      <c r="G2210" s="18">
        <v>0</v>
      </c>
      <c r="H2210" s="10" t="str">
        <f t="shared" si="34"/>
        <v>COSTOS</v>
      </c>
      <c r="I2210" s="19">
        <v>2025</v>
      </c>
    </row>
    <row r="2211" spans="1:9" hidden="1" x14ac:dyDescent="0.3">
      <c r="A2211" s="16" t="s">
        <v>146</v>
      </c>
      <c r="B2211" s="16" t="s">
        <v>169</v>
      </c>
      <c r="C2211" s="15">
        <v>9</v>
      </c>
      <c r="D2211" s="17">
        <v>0</v>
      </c>
      <c r="E2211" s="17">
        <v>43000</v>
      </c>
      <c r="F2211" s="17">
        <v>43000</v>
      </c>
      <c r="G2211" s="18">
        <v>0</v>
      </c>
      <c r="H2211" s="10" t="str">
        <f t="shared" si="34"/>
        <v>COSTOS</v>
      </c>
      <c r="I2211" s="19">
        <v>2025</v>
      </c>
    </row>
    <row r="2212" spans="1:9" hidden="1" x14ac:dyDescent="0.3">
      <c r="A2212" s="16" t="s">
        <v>146</v>
      </c>
      <c r="B2212" s="16" t="s">
        <v>70</v>
      </c>
      <c r="C2212" s="15">
        <v>1</v>
      </c>
      <c r="D2212" s="17">
        <v>4090000</v>
      </c>
      <c r="E2212" s="17">
        <v>4090000</v>
      </c>
      <c r="F2212" s="17">
        <v>0</v>
      </c>
      <c r="G2212" s="18">
        <v>1</v>
      </c>
      <c r="H2212" s="10" t="str">
        <f t="shared" si="34"/>
        <v>COSTOS</v>
      </c>
      <c r="I2212" s="19">
        <v>2025</v>
      </c>
    </row>
    <row r="2213" spans="1:9" hidden="1" x14ac:dyDescent="0.3">
      <c r="A2213" s="16" t="s">
        <v>146</v>
      </c>
      <c r="B2213" s="16" t="s">
        <v>70</v>
      </c>
      <c r="C2213" s="15">
        <v>2</v>
      </c>
      <c r="D2213" s="17">
        <v>4323500</v>
      </c>
      <c r="E2213" s="17">
        <v>4323500</v>
      </c>
      <c r="F2213" s="17">
        <v>0</v>
      </c>
      <c r="G2213" s="18">
        <v>1</v>
      </c>
      <c r="H2213" s="10" t="str">
        <f t="shared" si="34"/>
        <v>COSTOS</v>
      </c>
      <c r="I2213" s="19">
        <v>2025</v>
      </c>
    </row>
    <row r="2214" spans="1:9" hidden="1" x14ac:dyDescent="0.3">
      <c r="A2214" s="16" t="s">
        <v>146</v>
      </c>
      <c r="B2214" s="16" t="s">
        <v>70</v>
      </c>
      <c r="C2214" s="15">
        <v>3</v>
      </c>
      <c r="D2214" s="17">
        <v>4323500</v>
      </c>
      <c r="E2214" s="17">
        <v>4323500</v>
      </c>
      <c r="F2214" s="17">
        <v>0</v>
      </c>
      <c r="G2214" s="18">
        <v>1</v>
      </c>
      <c r="H2214" s="10" t="str">
        <f t="shared" si="34"/>
        <v>COSTOS</v>
      </c>
      <c r="I2214" s="19">
        <v>2025</v>
      </c>
    </row>
    <row r="2215" spans="1:9" hidden="1" x14ac:dyDescent="0.3">
      <c r="A2215" s="16" t="s">
        <v>146</v>
      </c>
      <c r="B2215" s="16" t="s">
        <v>70</v>
      </c>
      <c r="C2215" s="15">
        <v>4</v>
      </c>
      <c r="D2215" s="17">
        <v>4323500</v>
      </c>
      <c r="E2215" s="17">
        <v>4323500</v>
      </c>
      <c r="F2215" s="17">
        <v>0</v>
      </c>
      <c r="G2215" s="18">
        <v>1</v>
      </c>
      <c r="H2215" s="10" t="str">
        <f t="shared" si="34"/>
        <v>COSTOS</v>
      </c>
      <c r="I2215" s="19">
        <v>2025</v>
      </c>
    </row>
    <row r="2216" spans="1:9" hidden="1" x14ac:dyDescent="0.3">
      <c r="A2216" s="16" t="s">
        <v>146</v>
      </c>
      <c r="B2216" s="16" t="s">
        <v>70</v>
      </c>
      <c r="C2216" s="15">
        <v>5</v>
      </c>
      <c r="D2216" s="17">
        <v>4323500</v>
      </c>
      <c r="E2216" s="17">
        <v>4323500</v>
      </c>
      <c r="F2216" s="17">
        <v>0</v>
      </c>
      <c r="G2216" s="18">
        <v>1</v>
      </c>
      <c r="H2216" s="10" t="str">
        <f t="shared" si="34"/>
        <v>COSTOS</v>
      </c>
      <c r="I2216" s="19">
        <v>2025</v>
      </c>
    </row>
    <row r="2217" spans="1:9" hidden="1" x14ac:dyDescent="0.3">
      <c r="A2217" s="16" t="s">
        <v>146</v>
      </c>
      <c r="B2217" s="16" t="s">
        <v>70</v>
      </c>
      <c r="C2217" s="15">
        <v>6</v>
      </c>
      <c r="D2217" s="17">
        <v>4323500</v>
      </c>
      <c r="E2217" s="17">
        <v>4323500</v>
      </c>
      <c r="F2217" s="17">
        <v>0</v>
      </c>
      <c r="G2217" s="18">
        <v>1</v>
      </c>
      <c r="H2217" s="10" t="str">
        <f t="shared" si="34"/>
        <v>COSTOS</v>
      </c>
      <c r="I2217" s="19">
        <v>2025</v>
      </c>
    </row>
    <row r="2218" spans="1:9" hidden="1" x14ac:dyDescent="0.3">
      <c r="A2218" s="16" t="s">
        <v>146</v>
      </c>
      <c r="B2218" s="16" t="s">
        <v>70</v>
      </c>
      <c r="C2218" s="15">
        <v>7</v>
      </c>
      <c r="D2218" s="17">
        <v>4323500</v>
      </c>
      <c r="E2218" s="17">
        <v>4323500</v>
      </c>
      <c r="F2218" s="17">
        <v>0</v>
      </c>
      <c r="G2218" s="18">
        <v>1</v>
      </c>
      <c r="H2218" s="10" t="str">
        <f t="shared" si="34"/>
        <v>COSTOS</v>
      </c>
      <c r="I2218" s="19">
        <v>2025</v>
      </c>
    </row>
    <row r="2219" spans="1:9" hidden="1" x14ac:dyDescent="0.3">
      <c r="A2219" s="16" t="s">
        <v>146</v>
      </c>
      <c r="B2219" s="16" t="s">
        <v>70</v>
      </c>
      <c r="C2219" s="15">
        <v>8</v>
      </c>
      <c r="D2219" s="17">
        <v>34323500</v>
      </c>
      <c r="E2219" s="17">
        <v>34323500</v>
      </c>
      <c r="F2219" s="17">
        <v>0</v>
      </c>
      <c r="G2219" s="18">
        <v>1</v>
      </c>
      <c r="H2219" s="10" t="str">
        <f t="shared" si="34"/>
        <v>COSTOS</v>
      </c>
      <c r="I2219" s="19">
        <v>2025</v>
      </c>
    </row>
    <row r="2220" spans="1:9" hidden="1" x14ac:dyDescent="0.3">
      <c r="A2220" s="16" t="s">
        <v>146</v>
      </c>
      <c r="B2220" s="16" t="s">
        <v>70</v>
      </c>
      <c r="C2220" s="15">
        <v>9</v>
      </c>
      <c r="D2220" s="17">
        <v>34323500</v>
      </c>
      <c r="E2220" s="17">
        <v>32670500</v>
      </c>
      <c r="F2220" s="17">
        <v>-1653000</v>
      </c>
      <c r="G2220" s="18">
        <v>0.95184057569886527</v>
      </c>
      <c r="H2220" s="10" t="str">
        <f t="shared" si="34"/>
        <v>COSTOS</v>
      </c>
      <c r="I2220" s="19">
        <v>2025</v>
      </c>
    </row>
    <row r="2221" spans="1:9" hidden="1" x14ac:dyDescent="0.3">
      <c r="A2221" s="16" t="s">
        <v>146</v>
      </c>
      <c r="B2221" s="16" t="s">
        <v>70</v>
      </c>
      <c r="C2221" s="15">
        <v>10</v>
      </c>
      <c r="D2221" s="17">
        <v>34323500</v>
      </c>
      <c r="E2221" s="17">
        <v>32670500</v>
      </c>
      <c r="F2221" s="17">
        <v>-1653000</v>
      </c>
      <c r="G2221" s="18">
        <v>0.95184057569886527</v>
      </c>
      <c r="H2221" s="10" t="str">
        <f t="shared" si="34"/>
        <v>COSTOS</v>
      </c>
      <c r="I2221" s="19">
        <v>2025</v>
      </c>
    </row>
    <row r="2222" spans="1:9" hidden="1" x14ac:dyDescent="0.3">
      <c r="A2222" s="16" t="s">
        <v>146</v>
      </c>
      <c r="B2222" s="16" t="s">
        <v>71</v>
      </c>
      <c r="C2222" s="15">
        <v>1</v>
      </c>
      <c r="D2222" s="17">
        <v>433536</v>
      </c>
      <c r="E2222" s="17">
        <v>433536</v>
      </c>
      <c r="F2222" s="17">
        <v>0</v>
      </c>
      <c r="G2222" s="18">
        <v>1</v>
      </c>
      <c r="H2222" s="10" t="str">
        <f t="shared" si="34"/>
        <v>COSTOS</v>
      </c>
      <c r="I2222" s="19">
        <v>2025</v>
      </c>
    </row>
    <row r="2223" spans="1:9" hidden="1" x14ac:dyDescent="0.3">
      <c r="A2223" s="16" t="s">
        <v>146</v>
      </c>
      <c r="B2223" s="16" t="s">
        <v>71</v>
      </c>
      <c r="C2223" s="15">
        <v>2</v>
      </c>
      <c r="D2223" s="17">
        <v>433536</v>
      </c>
      <c r="E2223" s="17">
        <v>433536</v>
      </c>
      <c r="F2223" s="17">
        <v>0</v>
      </c>
      <c r="G2223" s="18">
        <v>1</v>
      </c>
      <c r="H2223" s="10" t="str">
        <f t="shared" si="34"/>
        <v>COSTOS</v>
      </c>
      <c r="I2223" s="19">
        <v>2025</v>
      </c>
    </row>
    <row r="2224" spans="1:9" hidden="1" x14ac:dyDescent="0.3">
      <c r="A2224" s="16" t="s">
        <v>146</v>
      </c>
      <c r="B2224" s="16" t="s">
        <v>71</v>
      </c>
      <c r="C2224" s="15">
        <v>3</v>
      </c>
      <c r="D2224" s="17">
        <v>433536</v>
      </c>
      <c r="E2224" s="17">
        <v>433536</v>
      </c>
      <c r="F2224" s="17">
        <v>0</v>
      </c>
      <c r="G2224" s="18">
        <v>1</v>
      </c>
      <c r="H2224" s="10" t="str">
        <f t="shared" si="34"/>
        <v>COSTOS</v>
      </c>
      <c r="I2224" s="19">
        <v>2025</v>
      </c>
    </row>
    <row r="2225" spans="1:9" hidden="1" x14ac:dyDescent="0.3">
      <c r="A2225" s="16" t="s">
        <v>146</v>
      </c>
      <c r="B2225" s="16" t="s">
        <v>71</v>
      </c>
      <c r="C2225" s="15">
        <v>4</v>
      </c>
      <c r="D2225" s="17">
        <v>433536</v>
      </c>
      <c r="E2225" s="17">
        <v>433536</v>
      </c>
      <c r="F2225" s="17">
        <v>0</v>
      </c>
      <c r="G2225" s="18">
        <v>1</v>
      </c>
      <c r="H2225" s="10" t="str">
        <f t="shared" si="34"/>
        <v>COSTOS</v>
      </c>
      <c r="I2225" s="19">
        <v>2025</v>
      </c>
    </row>
    <row r="2226" spans="1:9" hidden="1" x14ac:dyDescent="0.3">
      <c r="A2226" s="16" t="s">
        <v>146</v>
      </c>
      <c r="B2226" s="16" t="s">
        <v>71</v>
      </c>
      <c r="C2226" s="15">
        <v>5</v>
      </c>
      <c r="D2226" s="17">
        <v>433536</v>
      </c>
      <c r="E2226" s="17">
        <v>433536</v>
      </c>
      <c r="F2226" s="17">
        <v>0</v>
      </c>
      <c r="G2226" s="18">
        <v>1</v>
      </c>
      <c r="H2226" s="10" t="str">
        <f t="shared" si="34"/>
        <v>COSTOS</v>
      </c>
      <c r="I2226" s="19">
        <v>2025</v>
      </c>
    </row>
    <row r="2227" spans="1:9" hidden="1" x14ac:dyDescent="0.3">
      <c r="A2227" s="16" t="s">
        <v>146</v>
      </c>
      <c r="B2227" s="16" t="s">
        <v>71</v>
      </c>
      <c r="C2227" s="15">
        <v>6</v>
      </c>
      <c r="D2227" s="17">
        <v>433536</v>
      </c>
      <c r="E2227" s="17">
        <v>433536</v>
      </c>
      <c r="F2227" s="17">
        <v>0</v>
      </c>
      <c r="G2227" s="18">
        <v>1</v>
      </c>
      <c r="H2227" s="10" t="str">
        <f t="shared" si="34"/>
        <v>COSTOS</v>
      </c>
      <c r="I2227" s="19">
        <v>2025</v>
      </c>
    </row>
    <row r="2228" spans="1:9" hidden="1" x14ac:dyDescent="0.3">
      <c r="A2228" s="16" t="s">
        <v>146</v>
      </c>
      <c r="B2228" s="16" t="s">
        <v>71</v>
      </c>
      <c r="C2228" s="15">
        <v>7</v>
      </c>
      <c r="D2228" s="17">
        <v>433536</v>
      </c>
      <c r="E2228" s="17">
        <v>433536</v>
      </c>
      <c r="F2228" s="17">
        <v>0</v>
      </c>
      <c r="G2228" s="18">
        <v>1</v>
      </c>
      <c r="H2228" s="10" t="str">
        <f t="shared" si="34"/>
        <v>COSTOS</v>
      </c>
      <c r="I2228" s="19">
        <v>2025</v>
      </c>
    </row>
    <row r="2229" spans="1:9" hidden="1" x14ac:dyDescent="0.3">
      <c r="A2229" s="16" t="s">
        <v>146</v>
      </c>
      <c r="B2229" s="16" t="s">
        <v>71</v>
      </c>
      <c r="C2229" s="15">
        <v>8</v>
      </c>
      <c r="D2229" s="17">
        <v>433536</v>
      </c>
      <c r="E2229" s="17">
        <v>433536</v>
      </c>
      <c r="F2229" s="17">
        <v>0</v>
      </c>
      <c r="G2229" s="18">
        <v>1</v>
      </c>
      <c r="H2229" s="10" t="str">
        <f t="shared" si="34"/>
        <v>COSTOS</v>
      </c>
      <c r="I2229" s="19">
        <v>2025</v>
      </c>
    </row>
    <row r="2230" spans="1:9" hidden="1" x14ac:dyDescent="0.3">
      <c r="A2230" s="16" t="s">
        <v>146</v>
      </c>
      <c r="B2230" s="16" t="s">
        <v>71</v>
      </c>
      <c r="C2230" s="15">
        <v>9</v>
      </c>
      <c r="D2230" s="17">
        <v>433536</v>
      </c>
      <c r="E2230" s="17">
        <v>433536</v>
      </c>
      <c r="F2230" s="17">
        <v>0</v>
      </c>
      <c r="G2230" s="18">
        <v>1</v>
      </c>
      <c r="H2230" s="10" t="str">
        <f t="shared" si="34"/>
        <v>COSTOS</v>
      </c>
      <c r="I2230" s="19">
        <v>2025</v>
      </c>
    </row>
    <row r="2231" spans="1:9" hidden="1" x14ac:dyDescent="0.3">
      <c r="A2231" s="16" t="s">
        <v>146</v>
      </c>
      <c r="B2231" s="16" t="s">
        <v>71</v>
      </c>
      <c r="C2231" s="15">
        <v>10</v>
      </c>
      <c r="D2231" s="17">
        <v>433536</v>
      </c>
      <c r="E2231" s="17">
        <v>433536</v>
      </c>
      <c r="F2231" s="17">
        <v>0</v>
      </c>
      <c r="G2231" s="18">
        <v>1</v>
      </c>
      <c r="H2231" s="10" t="str">
        <f t="shared" si="34"/>
        <v>COSTOS</v>
      </c>
      <c r="I2231" s="19">
        <v>2025</v>
      </c>
    </row>
    <row r="2232" spans="1:9" hidden="1" x14ac:dyDescent="0.3">
      <c r="A2232" s="16" t="s">
        <v>146</v>
      </c>
      <c r="B2232" s="16" t="s">
        <v>14</v>
      </c>
      <c r="C2232" s="15">
        <v>1</v>
      </c>
      <c r="D2232" s="17">
        <v>146361</v>
      </c>
      <c r="E2232" s="17">
        <v>146361</v>
      </c>
      <c r="F2232" s="17">
        <v>0</v>
      </c>
      <c r="G2232" s="18">
        <v>1</v>
      </c>
      <c r="H2232" s="10" t="str">
        <f t="shared" si="34"/>
        <v>COSTOS</v>
      </c>
      <c r="I2232" s="19">
        <v>2025</v>
      </c>
    </row>
    <row r="2233" spans="1:9" hidden="1" x14ac:dyDescent="0.3">
      <c r="A2233" s="16" t="s">
        <v>146</v>
      </c>
      <c r="B2233" s="16" t="s">
        <v>14</v>
      </c>
      <c r="C2233" s="15">
        <v>2</v>
      </c>
      <c r="D2233" s="17">
        <v>146361</v>
      </c>
      <c r="E2233" s="17">
        <v>166361</v>
      </c>
      <c r="F2233" s="17">
        <v>20000</v>
      </c>
      <c r="G2233" s="18">
        <v>1.1366484241020491</v>
      </c>
      <c r="H2233" s="10" t="str">
        <f t="shared" si="34"/>
        <v>COSTOS</v>
      </c>
      <c r="I2233" s="19">
        <v>2025</v>
      </c>
    </row>
    <row r="2234" spans="1:9" hidden="1" x14ac:dyDescent="0.3">
      <c r="A2234" s="16" t="s">
        <v>146</v>
      </c>
      <c r="B2234" s="16" t="s">
        <v>14</v>
      </c>
      <c r="C2234" s="15">
        <v>3</v>
      </c>
      <c r="D2234" s="17">
        <v>384560</v>
      </c>
      <c r="E2234" s="17">
        <v>146361</v>
      </c>
      <c r="F2234" s="17">
        <v>-238199</v>
      </c>
      <c r="G2234" s="18">
        <v>0.38059340545038484</v>
      </c>
      <c r="H2234" s="10" t="str">
        <f t="shared" si="34"/>
        <v>COSTOS</v>
      </c>
      <c r="I2234" s="19">
        <v>2025</v>
      </c>
    </row>
    <row r="2235" spans="1:9" hidden="1" x14ac:dyDescent="0.3">
      <c r="A2235" s="16" t="s">
        <v>146</v>
      </c>
      <c r="B2235" s="16" t="s">
        <v>14</v>
      </c>
      <c r="C2235" s="15">
        <v>4</v>
      </c>
      <c r="D2235" s="17">
        <v>160115</v>
      </c>
      <c r="E2235" s="17">
        <v>179161</v>
      </c>
      <c r="F2235" s="17">
        <v>19046</v>
      </c>
      <c r="G2235" s="18">
        <v>1.1189520032476659</v>
      </c>
      <c r="H2235" s="10" t="str">
        <f t="shared" si="34"/>
        <v>COSTOS</v>
      </c>
      <c r="I2235" s="19">
        <v>2025</v>
      </c>
    </row>
    <row r="2236" spans="1:9" hidden="1" x14ac:dyDescent="0.3">
      <c r="A2236" s="16" t="s">
        <v>146</v>
      </c>
      <c r="B2236" s="16" t="s">
        <v>14</v>
      </c>
      <c r="C2236" s="15">
        <v>5</v>
      </c>
      <c r="D2236" s="17">
        <v>160115</v>
      </c>
      <c r="E2236" s="17">
        <v>629061</v>
      </c>
      <c r="F2236" s="17">
        <v>468946</v>
      </c>
      <c r="G2236" s="18">
        <v>3.9288074196671143</v>
      </c>
      <c r="H2236" s="10" t="str">
        <f t="shared" si="34"/>
        <v>COSTOS</v>
      </c>
      <c r="I2236" s="19">
        <v>2025</v>
      </c>
    </row>
    <row r="2237" spans="1:9" hidden="1" x14ac:dyDescent="0.3">
      <c r="A2237" s="16" t="s">
        <v>146</v>
      </c>
      <c r="B2237" s="16" t="s">
        <v>14</v>
      </c>
      <c r="C2237" s="15">
        <v>6</v>
      </c>
      <c r="D2237" s="17">
        <v>384560</v>
      </c>
      <c r="E2237" s="17">
        <v>146361</v>
      </c>
      <c r="F2237" s="17">
        <v>-238199</v>
      </c>
      <c r="G2237" s="18">
        <v>0.38059340545038484</v>
      </c>
      <c r="H2237" s="10" t="str">
        <f t="shared" si="34"/>
        <v>COSTOS</v>
      </c>
      <c r="I2237" s="19">
        <v>2025</v>
      </c>
    </row>
    <row r="2238" spans="1:9" hidden="1" x14ac:dyDescent="0.3">
      <c r="A2238" s="16" t="s">
        <v>146</v>
      </c>
      <c r="B2238" s="16" t="s">
        <v>14</v>
      </c>
      <c r="C2238" s="15">
        <v>7</v>
      </c>
      <c r="D2238" s="17">
        <v>200115</v>
      </c>
      <c r="E2238" s="17">
        <v>172861</v>
      </c>
      <c r="F2238" s="17">
        <v>-27254</v>
      </c>
      <c r="G2238" s="18">
        <v>0.86380831022162263</v>
      </c>
      <c r="H2238" s="10" t="str">
        <f t="shared" si="34"/>
        <v>COSTOS</v>
      </c>
      <c r="I2238" s="19">
        <v>2025</v>
      </c>
    </row>
    <row r="2239" spans="1:9" hidden="1" x14ac:dyDescent="0.3">
      <c r="A2239" s="16" t="s">
        <v>146</v>
      </c>
      <c r="B2239" s="16" t="s">
        <v>14</v>
      </c>
      <c r="C2239" s="15">
        <v>8</v>
      </c>
      <c r="D2239" s="17">
        <v>160115</v>
      </c>
      <c r="E2239" s="17">
        <v>146361</v>
      </c>
      <c r="F2239" s="17">
        <v>-13754</v>
      </c>
      <c r="G2239" s="18">
        <v>0.91409924117040886</v>
      </c>
      <c r="H2239" s="10" t="str">
        <f t="shared" si="34"/>
        <v>COSTOS</v>
      </c>
      <c r="I2239" s="19">
        <v>2025</v>
      </c>
    </row>
    <row r="2240" spans="1:9" hidden="1" x14ac:dyDescent="0.3">
      <c r="A2240" s="16" t="s">
        <v>146</v>
      </c>
      <c r="B2240" s="16" t="s">
        <v>14</v>
      </c>
      <c r="C2240" s="15">
        <v>9</v>
      </c>
      <c r="D2240" s="17">
        <v>384560</v>
      </c>
      <c r="E2240" s="17">
        <v>337611</v>
      </c>
      <c r="F2240" s="17">
        <v>-46949</v>
      </c>
      <c r="G2240" s="18">
        <v>0.87791501976284592</v>
      </c>
      <c r="H2240" s="10" t="str">
        <f t="shared" si="34"/>
        <v>COSTOS</v>
      </c>
      <c r="I2240" s="19">
        <v>2025</v>
      </c>
    </row>
    <row r="2241" spans="1:9" hidden="1" x14ac:dyDescent="0.3">
      <c r="A2241" s="16" t="s">
        <v>146</v>
      </c>
      <c r="B2241" s="16" t="s">
        <v>14</v>
      </c>
      <c r="C2241" s="15">
        <v>10</v>
      </c>
      <c r="D2241" s="17">
        <v>200115</v>
      </c>
      <c r="E2241" s="17">
        <v>146361</v>
      </c>
      <c r="F2241" s="17">
        <v>-53754</v>
      </c>
      <c r="G2241" s="18">
        <v>0.7313844539389851</v>
      </c>
      <c r="H2241" s="10" t="str">
        <f t="shared" si="34"/>
        <v>COSTOS</v>
      </c>
      <c r="I2241" s="19">
        <v>2025</v>
      </c>
    </row>
    <row r="2242" spans="1:9" hidden="1" x14ac:dyDescent="0.3">
      <c r="A2242" s="16" t="s">
        <v>146</v>
      </c>
      <c r="B2242" s="16" t="s">
        <v>72</v>
      </c>
      <c r="C2242" s="15">
        <v>1</v>
      </c>
      <c r="D2242" s="17">
        <v>1049775</v>
      </c>
      <c r="E2242" s="17">
        <v>1049775</v>
      </c>
      <c r="F2242" s="17">
        <v>0</v>
      </c>
      <c r="G2242" s="18">
        <v>1</v>
      </c>
      <c r="H2242" s="10" t="str">
        <f t="shared" si="34"/>
        <v>COSTOS</v>
      </c>
      <c r="I2242" s="19">
        <v>2025</v>
      </c>
    </row>
    <row r="2243" spans="1:9" hidden="1" x14ac:dyDescent="0.3">
      <c r="A2243" s="16" t="s">
        <v>146</v>
      </c>
      <c r="B2243" s="16" t="s">
        <v>72</v>
      </c>
      <c r="C2243" s="15">
        <v>2</v>
      </c>
      <c r="D2243" s="17">
        <v>1113984</v>
      </c>
      <c r="E2243" s="17">
        <v>1113984</v>
      </c>
      <c r="F2243" s="17">
        <v>0</v>
      </c>
      <c r="G2243" s="18">
        <v>1</v>
      </c>
      <c r="H2243" s="10" t="str">
        <f t="shared" ref="H2243:H2306" si="35">+IF(OR(A2243="ADMINISTRACION",A2243="COMERCIAL",A2243="COMERCIAL-EXPORTACIONES",A2243="LEASING DE LA BODEGA",A2243="LOGISTICA-SALIDA",A2243="OTROS GASTOS",A2243="BODEGA ALQUILADA", A2243="BODEGA CARTOPLAST", A2243="BODEGA CARTOPLAS", A2243= "GESTION HUMANA-OTROS GASTOS"),"GASTOS","COSTOS")</f>
        <v>COSTOS</v>
      </c>
      <c r="I2243" s="19">
        <v>2025</v>
      </c>
    </row>
    <row r="2244" spans="1:9" hidden="1" x14ac:dyDescent="0.3">
      <c r="A2244" s="16" t="s">
        <v>146</v>
      </c>
      <c r="B2244" s="16" t="s">
        <v>72</v>
      </c>
      <c r="C2244" s="15">
        <v>3</v>
      </c>
      <c r="D2244" s="17">
        <v>1384368</v>
      </c>
      <c r="E2244" s="17">
        <v>1195693</v>
      </c>
      <c r="F2244" s="17">
        <v>-188675</v>
      </c>
      <c r="G2244" s="18">
        <v>0.86371037180865207</v>
      </c>
      <c r="H2244" s="10" t="str">
        <f t="shared" si="35"/>
        <v>COSTOS</v>
      </c>
      <c r="I2244" s="19">
        <v>2025</v>
      </c>
    </row>
    <row r="2245" spans="1:9" hidden="1" x14ac:dyDescent="0.3">
      <c r="A2245" s="16" t="s">
        <v>146</v>
      </c>
      <c r="B2245" s="16" t="s">
        <v>72</v>
      </c>
      <c r="C2245" s="15">
        <v>4</v>
      </c>
      <c r="D2245" s="17">
        <v>1195302</v>
      </c>
      <c r="E2245" s="17">
        <v>1273512</v>
      </c>
      <c r="F2245" s="17">
        <v>78210</v>
      </c>
      <c r="G2245" s="18">
        <v>1.0654311630031574</v>
      </c>
      <c r="H2245" s="10" t="str">
        <f t="shared" si="35"/>
        <v>COSTOS</v>
      </c>
      <c r="I2245" s="19">
        <v>2025</v>
      </c>
    </row>
    <row r="2246" spans="1:9" hidden="1" x14ac:dyDescent="0.3">
      <c r="A2246" s="16" t="s">
        <v>146</v>
      </c>
      <c r="B2246" s="16" t="s">
        <v>72</v>
      </c>
      <c r="C2246" s="15">
        <v>5</v>
      </c>
      <c r="D2246" s="17">
        <v>1520251</v>
      </c>
      <c r="E2246" s="17">
        <v>1297456</v>
      </c>
      <c r="F2246" s="17">
        <v>-222795</v>
      </c>
      <c r="G2246" s="18">
        <v>0.85344854237885726</v>
      </c>
      <c r="H2246" s="10" t="str">
        <f t="shared" si="35"/>
        <v>COSTOS</v>
      </c>
      <c r="I2246" s="19">
        <v>2025</v>
      </c>
    </row>
    <row r="2247" spans="1:9" hidden="1" x14ac:dyDescent="0.3">
      <c r="A2247" s="16" t="s">
        <v>146</v>
      </c>
      <c r="B2247" s="16" t="s">
        <v>72</v>
      </c>
      <c r="C2247" s="15">
        <v>6</v>
      </c>
      <c r="D2247" s="17">
        <v>1290740</v>
      </c>
      <c r="E2247" s="17">
        <v>1306862</v>
      </c>
      <c r="F2247" s="17">
        <v>16122</v>
      </c>
      <c r="G2247" s="18">
        <v>1.012490509320235</v>
      </c>
      <c r="H2247" s="10" t="str">
        <f t="shared" si="35"/>
        <v>COSTOS</v>
      </c>
      <c r="I2247" s="19">
        <v>2025</v>
      </c>
    </row>
    <row r="2248" spans="1:9" hidden="1" x14ac:dyDescent="0.3">
      <c r="A2248" s="16" t="s">
        <v>146</v>
      </c>
      <c r="B2248" s="16" t="s">
        <v>72</v>
      </c>
      <c r="C2248" s="15">
        <v>7</v>
      </c>
      <c r="D2248" s="17">
        <v>1494634</v>
      </c>
      <c r="E2248" s="17">
        <v>1038345</v>
      </c>
      <c r="F2248" s="17">
        <v>-456289</v>
      </c>
      <c r="G2248" s="18">
        <v>0.69471522794209151</v>
      </c>
      <c r="H2248" s="10" t="str">
        <f t="shared" si="35"/>
        <v>COSTOS</v>
      </c>
      <c r="I2248" s="19">
        <v>2025</v>
      </c>
    </row>
    <row r="2249" spans="1:9" hidden="1" x14ac:dyDescent="0.3">
      <c r="A2249" s="16" t="s">
        <v>146</v>
      </c>
      <c r="B2249" s="16" t="s">
        <v>72</v>
      </c>
      <c r="C2249" s="15">
        <v>8</v>
      </c>
      <c r="D2249" s="17">
        <v>1550580</v>
      </c>
      <c r="E2249" s="17">
        <v>1023486</v>
      </c>
      <c r="F2249" s="17">
        <v>-527094</v>
      </c>
      <c r="G2249" s="18">
        <v>0.6600665557404326</v>
      </c>
      <c r="H2249" s="10" t="str">
        <f t="shared" si="35"/>
        <v>COSTOS</v>
      </c>
      <c r="I2249" s="19">
        <v>2025</v>
      </c>
    </row>
    <row r="2250" spans="1:9" hidden="1" x14ac:dyDescent="0.3">
      <c r="A2250" s="16" t="s">
        <v>146</v>
      </c>
      <c r="B2250" s="16" t="s">
        <v>72</v>
      </c>
      <c r="C2250" s="15">
        <v>9</v>
      </c>
      <c r="D2250" s="17">
        <v>1405149</v>
      </c>
      <c r="E2250" s="17">
        <v>1100219</v>
      </c>
      <c r="F2250" s="17">
        <v>-304930</v>
      </c>
      <c r="G2250" s="18">
        <v>0.78299098529764466</v>
      </c>
      <c r="H2250" s="10" t="str">
        <f t="shared" si="35"/>
        <v>COSTOS</v>
      </c>
      <c r="I2250" s="19">
        <v>2025</v>
      </c>
    </row>
    <row r="2251" spans="1:9" hidden="1" x14ac:dyDescent="0.3">
      <c r="A2251" s="16" t="s">
        <v>146</v>
      </c>
      <c r="B2251" s="16" t="s">
        <v>72</v>
      </c>
      <c r="C2251" s="15">
        <v>10</v>
      </c>
      <c r="D2251" s="17">
        <v>1875111</v>
      </c>
      <c r="E2251" s="17">
        <v>1229630</v>
      </c>
      <c r="F2251" s="17">
        <v>-645481</v>
      </c>
      <c r="G2251" s="18">
        <v>0.65576384544701627</v>
      </c>
      <c r="H2251" s="10" t="str">
        <f t="shared" si="35"/>
        <v>COSTOS</v>
      </c>
      <c r="I2251" s="19">
        <v>2025</v>
      </c>
    </row>
    <row r="2252" spans="1:9" hidden="1" x14ac:dyDescent="0.3">
      <c r="A2252" s="16" t="s">
        <v>146</v>
      </c>
      <c r="B2252" s="16" t="s">
        <v>73</v>
      </c>
      <c r="C2252" s="15">
        <v>1</v>
      </c>
      <c r="D2252" s="17">
        <v>36509083</v>
      </c>
      <c r="E2252" s="17">
        <v>36509083</v>
      </c>
      <c r="F2252" s="17">
        <v>0</v>
      </c>
      <c r="G2252" s="18">
        <v>1</v>
      </c>
      <c r="H2252" s="10" t="str">
        <f t="shared" si="35"/>
        <v>COSTOS</v>
      </c>
      <c r="I2252" s="19">
        <v>2025</v>
      </c>
    </row>
    <row r="2253" spans="1:9" hidden="1" x14ac:dyDescent="0.3">
      <c r="A2253" s="16" t="s">
        <v>146</v>
      </c>
      <c r="B2253" s="16" t="s">
        <v>73</v>
      </c>
      <c r="C2253" s="15">
        <v>2</v>
      </c>
      <c r="D2253" s="17">
        <v>40037992</v>
      </c>
      <c r="E2253" s="17">
        <v>40037992</v>
      </c>
      <c r="F2253" s="17">
        <v>0</v>
      </c>
      <c r="G2253" s="18">
        <v>1</v>
      </c>
      <c r="H2253" s="10" t="str">
        <f t="shared" si="35"/>
        <v>COSTOS</v>
      </c>
      <c r="I2253" s="19">
        <v>2025</v>
      </c>
    </row>
    <row r="2254" spans="1:9" hidden="1" x14ac:dyDescent="0.3">
      <c r="A2254" s="16" t="s">
        <v>146</v>
      </c>
      <c r="B2254" s="16" t="s">
        <v>73</v>
      </c>
      <c r="C2254" s="15">
        <v>3</v>
      </c>
      <c r="D2254" s="17">
        <v>44630976</v>
      </c>
      <c r="E2254" s="17">
        <v>43076572</v>
      </c>
      <c r="F2254" s="17">
        <v>-1554404</v>
      </c>
      <c r="G2254" s="18">
        <v>0.96517208138132582</v>
      </c>
      <c r="H2254" s="10" t="str">
        <f t="shared" si="35"/>
        <v>COSTOS</v>
      </c>
      <c r="I2254" s="19">
        <v>2025</v>
      </c>
    </row>
    <row r="2255" spans="1:9" hidden="1" x14ac:dyDescent="0.3">
      <c r="A2255" s="16" t="s">
        <v>146</v>
      </c>
      <c r="B2255" s="16" t="s">
        <v>73</v>
      </c>
      <c r="C2255" s="15">
        <v>4</v>
      </c>
      <c r="D2255" s="17">
        <v>34594070</v>
      </c>
      <c r="E2255" s="17">
        <v>40712440</v>
      </c>
      <c r="F2255" s="17">
        <v>6118370</v>
      </c>
      <c r="G2255" s="18">
        <v>1.176861814756113</v>
      </c>
      <c r="H2255" s="10" t="str">
        <f t="shared" si="35"/>
        <v>COSTOS</v>
      </c>
      <c r="I2255" s="19">
        <v>2025</v>
      </c>
    </row>
    <row r="2256" spans="1:9" hidden="1" x14ac:dyDescent="0.3">
      <c r="A2256" s="16" t="s">
        <v>146</v>
      </c>
      <c r="B2256" s="16" t="s">
        <v>73</v>
      </c>
      <c r="C2256" s="15">
        <v>5</v>
      </c>
      <c r="D2256" s="17">
        <v>41663436</v>
      </c>
      <c r="E2256" s="17">
        <v>35730953</v>
      </c>
      <c r="F2256" s="17">
        <v>-5932483</v>
      </c>
      <c r="G2256" s="18">
        <v>0.85760936759992623</v>
      </c>
      <c r="H2256" s="10" t="str">
        <f t="shared" si="35"/>
        <v>COSTOS</v>
      </c>
      <c r="I2256" s="19">
        <v>2025</v>
      </c>
    </row>
    <row r="2257" spans="1:9" hidden="1" x14ac:dyDescent="0.3">
      <c r="A2257" s="16" t="s">
        <v>146</v>
      </c>
      <c r="B2257" s="16" t="s">
        <v>73</v>
      </c>
      <c r="C2257" s="15">
        <v>6</v>
      </c>
      <c r="D2257" s="17">
        <v>40989470</v>
      </c>
      <c r="E2257" s="17">
        <v>35044770</v>
      </c>
      <c r="F2257" s="17">
        <v>-5944700</v>
      </c>
      <c r="G2257" s="18">
        <v>0.85497006914214801</v>
      </c>
      <c r="H2257" s="10" t="str">
        <f t="shared" si="35"/>
        <v>COSTOS</v>
      </c>
      <c r="I2257" s="19">
        <v>2025</v>
      </c>
    </row>
    <row r="2258" spans="1:9" hidden="1" x14ac:dyDescent="0.3">
      <c r="A2258" s="16" t="s">
        <v>146</v>
      </c>
      <c r="B2258" s="16" t="s">
        <v>73</v>
      </c>
      <c r="C2258" s="15">
        <v>7</v>
      </c>
      <c r="D2258" s="17">
        <v>33355840</v>
      </c>
      <c r="E2258" s="17">
        <v>35136159</v>
      </c>
      <c r="F2258" s="17">
        <v>1780319</v>
      </c>
      <c r="G2258" s="18">
        <v>1.0533735321910647</v>
      </c>
      <c r="H2258" s="10" t="str">
        <f t="shared" si="35"/>
        <v>COSTOS</v>
      </c>
      <c r="I2258" s="19">
        <v>2025</v>
      </c>
    </row>
    <row r="2259" spans="1:9" hidden="1" x14ac:dyDescent="0.3">
      <c r="A2259" s="16" t="s">
        <v>146</v>
      </c>
      <c r="B2259" s="16" t="s">
        <v>73</v>
      </c>
      <c r="C2259" s="15">
        <v>8</v>
      </c>
      <c r="D2259" s="17">
        <v>35959286</v>
      </c>
      <c r="E2259" s="17">
        <v>40939551</v>
      </c>
      <c r="F2259" s="17">
        <v>4980265</v>
      </c>
      <c r="G2259" s="18">
        <v>1.1384973272272425</v>
      </c>
      <c r="H2259" s="10" t="str">
        <f t="shared" si="35"/>
        <v>COSTOS</v>
      </c>
      <c r="I2259" s="19">
        <v>2025</v>
      </c>
    </row>
    <row r="2260" spans="1:9" hidden="1" x14ac:dyDescent="0.3">
      <c r="A2260" s="16" t="s">
        <v>146</v>
      </c>
      <c r="B2260" s="16" t="s">
        <v>73</v>
      </c>
      <c r="C2260" s="15">
        <v>9</v>
      </c>
      <c r="D2260" s="17">
        <v>43324140</v>
      </c>
      <c r="E2260" s="17">
        <v>36225854</v>
      </c>
      <c r="F2260" s="17">
        <v>-7098286</v>
      </c>
      <c r="G2260" s="18">
        <v>0.83615864042540722</v>
      </c>
      <c r="H2260" s="10" t="str">
        <f t="shared" si="35"/>
        <v>COSTOS</v>
      </c>
      <c r="I2260" s="19">
        <v>2025</v>
      </c>
    </row>
    <row r="2261" spans="1:9" hidden="1" x14ac:dyDescent="0.3">
      <c r="A2261" s="16" t="s">
        <v>146</v>
      </c>
      <c r="B2261" s="16" t="s">
        <v>73</v>
      </c>
      <c r="C2261" s="15">
        <v>10</v>
      </c>
      <c r="D2261" s="17">
        <v>42368036</v>
      </c>
      <c r="E2261" s="17">
        <v>43379129</v>
      </c>
      <c r="F2261" s="17">
        <v>1011093</v>
      </c>
      <c r="G2261" s="18">
        <v>1.023864523717833</v>
      </c>
      <c r="H2261" s="10" t="str">
        <f t="shared" si="35"/>
        <v>COSTOS</v>
      </c>
      <c r="I2261" s="19">
        <v>2025</v>
      </c>
    </row>
    <row r="2262" spans="1:9" hidden="1" x14ac:dyDescent="0.3">
      <c r="A2262" s="16" t="s">
        <v>146</v>
      </c>
      <c r="B2262" s="16" t="s">
        <v>16</v>
      </c>
      <c r="C2262" s="15">
        <v>2</v>
      </c>
      <c r="D2262" s="17">
        <v>0</v>
      </c>
      <c r="E2262" s="17">
        <v>42000</v>
      </c>
      <c r="F2262" s="17">
        <v>42000</v>
      </c>
      <c r="G2262" s="18">
        <v>0</v>
      </c>
      <c r="H2262" s="10" t="str">
        <f t="shared" si="35"/>
        <v>COSTOS</v>
      </c>
      <c r="I2262" s="19">
        <v>2025</v>
      </c>
    </row>
    <row r="2263" spans="1:9" hidden="1" x14ac:dyDescent="0.3">
      <c r="A2263" s="16" t="s">
        <v>146</v>
      </c>
      <c r="B2263" s="16" t="s">
        <v>16</v>
      </c>
      <c r="C2263" s="15">
        <v>3</v>
      </c>
      <c r="D2263" s="17">
        <v>0</v>
      </c>
      <c r="E2263" s="17">
        <v>12000</v>
      </c>
      <c r="F2263" s="17">
        <v>12000</v>
      </c>
      <c r="G2263" s="18">
        <v>0</v>
      </c>
      <c r="H2263" s="10" t="str">
        <f t="shared" si="35"/>
        <v>COSTOS</v>
      </c>
      <c r="I2263" s="19">
        <v>2025</v>
      </c>
    </row>
    <row r="2264" spans="1:9" hidden="1" x14ac:dyDescent="0.3">
      <c r="A2264" s="16" t="s">
        <v>146</v>
      </c>
      <c r="B2264" s="16" t="s">
        <v>16</v>
      </c>
      <c r="C2264" s="15">
        <v>5</v>
      </c>
      <c r="D2264" s="17">
        <v>0</v>
      </c>
      <c r="E2264" s="17">
        <v>12000</v>
      </c>
      <c r="F2264" s="17">
        <v>12000</v>
      </c>
      <c r="G2264" s="18">
        <v>0</v>
      </c>
      <c r="H2264" s="10" t="str">
        <f t="shared" si="35"/>
        <v>COSTOS</v>
      </c>
      <c r="I2264" s="19">
        <v>2025</v>
      </c>
    </row>
    <row r="2265" spans="1:9" hidden="1" x14ac:dyDescent="0.3">
      <c r="A2265" s="16" t="s">
        <v>146</v>
      </c>
      <c r="B2265" s="16" t="s">
        <v>16</v>
      </c>
      <c r="C2265" s="15">
        <v>6</v>
      </c>
      <c r="D2265" s="17">
        <v>0</v>
      </c>
      <c r="E2265" s="17">
        <v>36000</v>
      </c>
      <c r="F2265" s="17">
        <v>36000</v>
      </c>
      <c r="G2265" s="18">
        <v>0</v>
      </c>
      <c r="H2265" s="10" t="str">
        <f t="shared" si="35"/>
        <v>COSTOS</v>
      </c>
      <c r="I2265" s="19">
        <v>2025</v>
      </c>
    </row>
    <row r="2266" spans="1:9" hidden="1" x14ac:dyDescent="0.3">
      <c r="A2266" s="16" t="s">
        <v>146</v>
      </c>
      <c r="B2266" s="16" t="s">
        <v>16</v>
      </c>
      <c r="C2266" s="15">
        <v>8</v>
      </c>
      <c r="D2266" s="17">
        <v>0</v>
      </c>
      <c r="E2266" s="17">
        <v>20000</v>
      </c>
      <c r="F2266" s="17">
        <v>20000</v>
      </c>
      <c r="G2266" s="18">
        <v>0</v>
      </c>
      <c r="H2266" s="10" t="str">
        <f t="shared" si="35"/>
        <v>COSTOS</v>
      </c>
      <c r="I2266" s="19">
        <v>2025</v>
      </c>
    </row>
    <row r="2267" spans="1:9" hidden="1" x14ac:dyDescent="0.3">
      <c r="A2267" s="16" t="s">
        <v>146</v>
      </c>
      <c r="B2267" s="16" t="s">
        <v>16</v>
      </c>
      <c r="C2267" s="15">
        <v>9</v>
      </c>
      <c r="D2267" s="17">
        <v>0</v>
      </c>
      <c r="E2267" s="17">
        <v>50000</v>
      </c>
      <c r="F2267" s="17">
        <v>50000</v>
      </c>
      <c r="G2267" s="18">
        <v>0</v>
      </c>
      <c r="H2267" s="10" t="str">
        <f t="shared" si="35"/>
        <v>COSTOS</v>
      </c>
      <c r="I2267" s="19">
        <v>2025</v>
      </c>
    </row>
    <row r="2268" spans="1:9" hidden="1" x14ac:dyDescent="0.3">
      <c r="A2268" s="16" t="s">
        <v>146</v>
      </c>
      <c r="B2268" s="16" t="s">
        <v>74</v>
      </c>
      <c r="C2268" s="15">
        <v>1</v>
      </c>
      <c r="D2268" s="17">
        <v>4412</v>
      </c>
      <c r="E2268" s="17">
        <v>4412</v>
      </c>
      <c r="F2268" s="17">
        <v>0</v>
      </c>
      <c r="G2268" s="18">
        <v>1</v>
      </c>
      <c r="H2268" s="10" t="str">
        <f t="shared" si="35"/>
        <v>COSTOS</v>
      </c>
      <c r="I2268" s="19">
        <v>2025</v>
      </c>
    </row>
    <row r="2269" spans="1:9" hidden="1" x14ac:dyDescent="0.3">
      <c r="A2269" s="16" t="s">
        <v>146</v>
      </c>
      <c r="B2269" s="16" t="s">
        <v>74</v>
      </c>
      <c r="C2269" s="15">
        <v>2</v>
      </c>
      <c r="D2269" s="17">
        <v>4427</v>
      </c>
      <c r="E2269" s="17">
        <v>4427</v>
      </c>
      <c r="F2269" s="17">
        <v>0</v>
      </c>
      <c r="G2269" s="18">
        <v>1</v>
      </c>
      <c r="H2269" s="10" t="str">
        <f t="shared" si="35"/>
        <v>COSTOS</v>
      </c>
      <c r="I2269" s="19">
        <v>2025</v>
      </c>
    </row>
    <row r="2270" spans="1:9" hidden="1" x14ac:dyDescent="0.3">
      <c r="A2270" s="16" t="s">
        <v>146</v>
      </c>
      <c r="B2270" s="16" t="s">
        <v>74</v>
      </c>
      <c r="C2270" s="15">
        <v>3</v>
      </c>
      <c r="D2270" s="17">
        <v>4528</v>
      </c>
      <c r="E2270" s="17">
        <v>4458</v>
      </c>
      <c r="F2270" s="17">
        <v>-70</v>
      </c>
      <c r="G2270" s="18">
        <v>0.98454063604240283</v>
      </c>
      <c r="H2270" s="10" t="str">
        <f t="shared" si="35"/>
        <v>COSTOS</v>
      </c>
      <c r="I2270" s="19">
        <v>2025</v>
      </c>
    </row>
    <row r="2271" spans="1:9" hidden="1" x14ac:dyDescent="0.3">
      <c r="A2271" s="16" t="s">
        <v>146</v>
      </c>
      <c r="B2271" s="16" t="s">
        <v>74</v>
      </c>
      <c r="C2271" s="15">
        <v>4</v>
      </c>
      <c r="D2271" s="17">
        <v>4574</v>
      </c>
      <c r="E2271" s="17">
        <v>4458</v>
      </c>
      <c r="F2271" s="17">
        <v>-116</v>
      </c>
      <c r="G2271" s="18">
        <v>0.97463926541320511</v>
      </c>
      <c r="H2271" s="10" t="str">
        <f t="shared" si="35"/>
        <v>COSTOS</v>
      </c>
      <c r="I2271" s="19">
        <v>2025</v>
      </c>
    </row>
    <row r="2272" spans="1:9" hidden="1" x14ac:dyDescent="0.3">
      <c r="A2272" s="16" t="s">
        <v>146</v>
      </c>
      <c r="B2272" s="16" t="s">
        <v>74</v>
      </c>
      <c r="C2272" s="15">
        <v>5</v>
      </c>
      <c r="D2272" s="17">
        <v>4599</v>
      </c>
      <c r="E2272" s="17">
        <v>4526</v>
      </c>
      <c r="F2272" s="17">
        <v>-73</v>
      </c>
      <c r="G2272" s="18">
        <v>0.98412698412698418</v>
      </c>
      <c r="H2272" s="10" t="str">
        <f t="shared" si="35"/>
        <v>COSTOS</v>
      </c>
      <c r="I2272" s="19">
        <v>2025</v>
      </c>
    </row>
    <row r="2273" spans="1:9" hidden="1" x14ac:dyDescent="0.3">
      <c r="A2273" s="16" t="s">
        <v>146</v>
      </c>
      <c r="B2273" s="16" t="s">
        <v>74</v>
      </c>
      <c r="C2273" s="15">
        <v>6</v>
      </c>
      <c r="D2273" s="17">
        <v>4620</v>
      </c>
      <c r="E2273" s="17">
        <v>4526</v>
      </c>
      <c r="F2273" s="17">
        <v>-94</v>
      </c>
      <c r="G2273" s="18">
        <v>0.97965367965367967</v>
      </c>
      <c r="H2273" s="10" t="str">
        <f t="shared" si="35"/>
        <v>COSTOS</v>
      </c>
      <c r="I2273" s="19">
        <v>2025</v>
      </c>
    </row>
    <row r="2274" spans="1:9" hidden="1" x14ac:dyDescent="0.3">
      <c r="A2274" s="16" t="s">
        <v>146</v>
      </c>
      <c r="B2274" s="16" t="s">
        <v>74</v>
      </c>
      <c r="C2274" s="15">
        <v>7</v>
      </c>
      <c r="D2274" s="17">
        <v>4620</v>
      </c>
      <c r="E2274" s="17">
        <v>4559</v>
      </c>
      <c r="F2274" s="17">
        <v>-61</v>
      </c>
      <c r="G2274" s="18">
        <v>0.98679653679653678</v>
      </c>
      <c r="H2274" s="10" t="str">
        <f t="shared" si="35"/>
        <v>COSTOS</v>
      </c>
      <c r="I2274" s="19">
        <v>2025</v>
      </c>
    </row>
    <row r="2275" spans="1:9" hidden="1" x14ac:dyDescent="0.3">
      <c r="A2275" s="16" t="s">
        <v>146</v>
      </c>
      <c r="B2275" s="16" t="s">
        <v>74</v>
      </c>
      <c r="C2275" s="15">
        <v>8</v>
      </c>
      <c r="D2275" s="17">
        <v>4643</v>
      </c>
      <c r="E2275" s="17">
        <v>4558</v>
      </c>
      <c r="F2275" s="17">
        <v>-85</v>
      </c>
      <c r="G2275" s="18">
        <v>0.98169287098858504</v>
      </c>
      <c r="H2275" s="10" t="str">
        <f t="shared" si="35"/>
        <v>COSTOS</v>
      </c>
      <c r="I2275" s="19">
        <v>2025</v>
      </c>
    </row>
    <row r="2276" spans="1:9" hidden="1" x14ac:dyDescent="0.3">
      <c r="A2276" s="16" t="s">
        <v>146</v>
      </c>
      <c r="B2276" s="16" t="s">
        <v>74</v>
      </c>
      <c r="C2276" s="15">
        <v>9</v>
      </c>
      <c r="D2276" s="17">
        <v>4647</v>
      </c>
      <c r="E2276" s="17">
        <v>4558</v>
      </c>
      <c r="F2276" s="17">
        <v>-89</v>
      </c>
      <c r="G2276" s="18">
        <v>0.98084785883365622</v>
      </c>
      <c r="H2276" s="10" t="str">
        <f t="shared" si="35"/>
        <v>COSTOS</v>
      </c>
      <c r="I2276" s="19">
        <v>2025</v>
      </c>
    </row>
    <row r="2277" spans="1:9" hidden="1" x14ac:dyDescent="0.3">
      <c r="A2277" s="16" t="s">
        <v>146</v>
      </c>
      <c r="B2277" s="16" t="s">
        <v>74</v>
      </c>
      <c r="C2277" s="15">
        <v>10</v>
      </c>
      <c r="D2277" s="17">
        <v>4641</v>
      </c>
      <c r="E2277" s="17">
        <v>4566</v>
      </c>
      <c r="F2277" s="17">
        <v>-75</v>
      </c>
      <c r="G2277" s="18">
        <v>0.98383968972204272</v>
      </c>
      <c r="H2277" s="10" t="str">
        <f t="shared" si="35"/>
        <v>COSTOS</v>
      </c>
      <c r="I2277" s="19">
        <v>2025</v>
      </c>
    </row>
    <row r="2278" spans="1:9" hidden="1" x14ac:dyDescent="0.3">
      <c r="A2278" s="16" t="s">
        <v>146</v>
      </c>
      <c r="B2278" s="16" t="s">
        <v>41</v>
      </c>
      <c r="C2278" s="15">
        <v>2</v>
      </c>
      <c r="D2278" s="17">
        <v>0</v>
      </c>
      <c r="E2278" s="17">
        <v>90000</v>
      </c>
      <c r="F2278" s="17">
        <v>90000</v>
      </c>
      <c r="G2278" s="18">
        <v>0</v>
      </c>
      <c r="H2278" s="10" t="str">
        <f t="shared" si="35"/>
        <v>COSTOS</v>
      </c>
      <c r="I2278" s="19">
        <v>2025</v>
      </c>
    </row>
    <row r="2279" spans="1:9" hidden="1" x14ac:dyDescent="0.3">
      <c r="A2279" s="16" t="s">
        <v>146</v>
      </c>
      <c r="B2279" s="16" t="s">
        <v>41</v>
      </c>
      <c r="C2279" s="15">
        <v>3</v>
      </c>
      <c r="D2279" s="17">
        <v>82056</v>
      </c>
      <c r="E2279" s="17">
        <v>352941</v>
      </c>
      <c r="F2279" s="17">
        <v>270885</v>
      </c>
      <c r="G2279" s="18">
        <v>4.3012211172857562</v>
      </c>
      <c r="H2279" s="10" t="str">
        <f t="shared" si="35"/>
        <v>COSTOS</v>
      </c>
      <c r="I2279" s="19">
        <v>2025</v>
      </c>
    </row>
    <row r="2280" spans="1:9" hidden="1" x14ac:dyDescent="0.3">
      <c r="A2280" s="16" t="s">
        <v>146</v>
      </c>
      <c r="B2280" s="16" t="s">
        <v>41</v>
      </c>
      <c r="C2280" s="15">
        <v>5</v>
      </c>
      <c r="D2280" s="17">
        <v>0</v>
      </c>
      <c r="E2280" s="17">
        <v>69500</v>
      </c>
      <c r="F2280" s="17">
        <v>69500</v>
      </c>
      <c r="G2280" s="18">
        <v>0</v>
      </c>
      <c r="H2280" s="10" t="str">
        <f t="shared" si="35"/>
        <v>COSTOS</v>
      </c>
      <c r="I2280" s="19">
        <v>2025</v>
      </c>
    </row>
    <row r="2281" spans="1:9" hidden="1" x14ac:dyDescent="0.3">
      <c r="A2281" s="16" t="s">
        <v>146</v>
      </c>
      <c r="B2281" s="16" t="s">
        <v>41</v>
      </c>
      <c r="C2281" s="15">
        <v>8</v>
      </c>
      <c r="D2281" s="17">
        <v>92576</v>
      </c>
      <c r="E2281" s="17">
        <v>0</v>
      </c>
      <c r="F2281" s="17">
        <v>-92576</v>
      </c>
      <c r="G2281" s="18">
        <v>0</v>
      </c>
      <c r="H2281" s="10" t="str">
        <f t="shared" si="35"/>
        <v>COSTOS</v>
      </c>
      <c r="I2281" s="19">
        <v>2025</v>
      </c>
    </row>
    <row r="2282" spans="1:9" hidden="1" x14ac:dyDescent="0.3">
      <c r="A2282" s="16" t="s">
        <v>146</v>
      </c>
      <c r="B2282" s="16" t="s">
        <v>41</v>
      </c>
      <c r="C2282" s="15">
        <v>9</v>
      </c>
      <c r="D2282" s="17">
        <v>76910</v>
      </c>
      <c r="E2282" s="17">
        <v>0</v>
      </c>
      <c r="F2282" s="17">
        <v>-76910</v>
      </c>
      <c r="G2282" s="18">
        <v>0</v>
      </c>
      <c r="H2282" s="10" t="str">
        <f t="shared" si="35"/>
        <v>COSTOS</v>
      </c>
      <c r="I2282" s="19">
        <v>2025</v>
      </c>
    </row>
    <row r="2283" spans="1:9" hidden="1" x14ac:dyDescent="0.3">
      <c r="A2283" s="16" t="s">
        <v>146</v>
      </c>
      <c r="B2283" s="16" t="s">
        <v>41</v>
      </c>
      <c r="C2283" s="15">
        <v>10</v>
      </c>
      <c r="D2283" s="17">
        <v>82056</v>
      </c>
      <c r="E2283" s="17">
        <v>0</v>
      </c>
      <c r="F2283" s="17">
        <v>-82056</v>
      </c>
      <c r="G2283" s="18">
        <v>0</v>
      </c>
      <c r="H2283" s="10" t="str">
        <f t="shared" si="35"/>
        <v>COSTOS</v>
      </c>
      <c r="I2283" s="19">
        <v>2025</v>
      </c>
    </row>
    <row r="2284" spans="1:9" hidden="1" x14ac:dyDescent="0.3">
      <c r="A2284" s="16" t="s">
        <v>146</v>
      </c>
      <c r="B2284" s="16" t="s">
        <v>94</v>
      </c>
      <c r="C2284" s="15">
        <v>4</v>
      </c>
      <c r="D2284" s="17">
        <v>0</v>
      </c>
      <c r="E2284" s="17">
        <v>25175</v>
      </c>
      <c r="F2284" s="17">
        <v>25175</v>
      </c>
      <c r="G2284" s="18">
        <v>0</v>
      </c>
      <c r="H2284" s="10" t="str">
        <f t="shared" si="35"/>
        <v>COSTOS</v>
      </c>
      <c r="I2284" s="19">
        <v>2025</v>
      </c>
    </row>
    <row r="2285" spans="1:9" hidden="1" x14ac:dyDescent="0.3">
      <c r="A2285" s="16" t="s">
        <v>146</v>
      </c>
      <c r="B2285" s="16" t="s">
        <v>39</v>
      </c>
      <c r="C2285" s="15">
        <v>1</v>
      </c>
      <c r="D2285" s="17">
        <v>10671426</v>
      </c>
      <c r="E2285" s="17">
        <v>10671426</v>
      </c>
      <c r="F2285" s="17">
        <v>0</v>
      </c>
      <c r="G2285" s="18">
        <v>1</v>
      </c>
      <c r="H2285" s="10" t="str">
        <f t="shared" si="35"/>
        <v>COSTOS</v>
      </c>
      <c r="I2285" s="19">
        <v>2025</v>
      </c>
    </row>
    <row r="2286" spans="1:9" hidden="1" x14ac:dyDescent="0.3">
      <c r="A2286" s="16" t="s">
        <v>146</v>
      </c>
      <c r="B2286" s="16" t="s">
        <v>39</v>
      </c>
      <c r="C2286" s="15">
        <v>2</v>
      </c>
      <c r="D2286" s="17">
        <v>10671426</v>
      </c>
      <c r="E2286" s="17">
        <v>10671426</v>
      </c>
      <c r="F2286" s="17">
        <v>0</v>
      </c>
      <c r="G2286" s="18">
        <v>1</v>
      </c>
      <c r="H2286" s="10" t="str">
        <f t="shared" si="35"/>
        <v>COSTOS</v>
      </c>
      <c r="I2286" s="19">
        <v>2025</v>
      </c>
    </row>
    <row r="2287" spans="1:9" hidden="1" x14ac:dyDescent="0.3">
      <c r="A2287" s="16" t="s">
        <v>146</v>
      </c>
      <c r="B2287" s="16" t="s">
        <v>39</v>
      </c>
      <c r="C2287" s="15">
        <v>3</v>
      </c>
      <c r="D2287" s="17">
        <v>10671426</v>
      </c>
      <c r="E2287" s="17">
        <v>10671426</v>
      </c>
      <c r="F2287" s="17">
        <v>0</v>
      </c>
      <c r="G2287" s="18">
        <v>1</v>
      </c>
      <c r="H2287" s="10" t="str">
        <f t="shared" si="35"/>
        <v>COSTOS</v>
      </c>
      <c r="I2287" s="19">
        <v>2025</v>
      </c>
    </row>
    <row r="2288" spans="1:9" hidden="1" x14ac:dyDescent="0.3">
      <c r="A2288" s="16" t="s">
        <v>146</v>
      </c>
      <c r="B2288" s="16" t="s">
        <v>39</v>
      </c>
      <c r="C2288" s="15">
        <v>4</v>
      </c>
      <c r="D2288" s="17">
        <v>10671426</v>
      </c>
      <c r="E2288" s="17">
        <v>10671426</v>
      </c>
      <c r="F2288" s="17">
        <v>0</v>
      </c>
      <c r="G2288" s="18">
        <v>1</v>
      </c>
      <c r="H2288" s="10" t="str">
        <f t="shared" si="35"/>
        <v>COSTOS</v>
      </c>
      <c r="I2288" s="19">
        <v>2025</v>
      </c>
    </row>
    <row r="2289" spans="1:9" hidden="1" x14ac:dyDescent="0.3">
      <c r="A2289" s="16" t="s">
        <v>146</v>
      </c>
      <c r="B2289" s="16" t="s">
        <v>39</v>
      </c>
      <c r="C2289" s="15">
        <v>5</v>
      </c>
      <c r="D2289" s="17">
        <v>10671426</v>
      </c>
      <c r="E2289" s="17">
        <v>10671426</v>
      </c>
      <c r="F2289" s="17">
        <v>0</v>
      </c>
      <c r="G2289" s="18">
        <v>1</v>
      </c>
      <c r="H2289" s="10" t="str">
        <f t="shared" si="35"/>
        <v>COSTOS</v>
      </c>
      <c r="I2289" s="19">
        <v>2025</v>
      </c>
    </row>
    <row r="2290" spans="1:9" hidden="1" x14ac:dyDescent="0.3">
      <c r="A2290" s="16" t="s">
        <v>146</v>
      </c>
      <c r="B2290" s="16" t="s">
        <v>39</v>
      </c>
      <c r="C2290" s="15">
        <v>6</v>
      </c>
      <c r="D2290" s="17">
        <v>10671426</v>
      </c>
      <c r="E2290" s="17">
        <v>10671426</v>
      </c>
      <c r="F2290" s="17">
        <v>0</v>
      </c>
      <c r="G2290" s="18">
        <v>1</v>
      </c>
      <c r="H2290" s="10" t="str">
        <f t="shared" si="35"/>
        <v>COSTOS</v>
      </c>
      <c r="I2290" s="19">
        <v>2025</v>
      </c>
    </row>
    <row r="2291" spans="1:9" hidden="1" x14ac:dyDescent="0.3">
      <c r="A2291" s="16" t="s">
        <v>146</v>
      </c>
      <c r="B2291" s="16" t="s">
        <v>39</v>
      </c>
      <c r="C2291" s="15">
        <v>7</v>
      </c>
      <c r="D2291" s="17">
        <v>10671426</v>
      </c>
      <c r="E2291" s="17">
        <v>10671426</v>
      </c>
      <c r="F2291" s="17">
        <v>0</v>
      </c>
      <c r="G2291" s="18">
        <v>1</v>
      </c>
      <c r="H2291" s="10" t="str">
        <f t="shared" si="35"/>
        <v>COSTOS</v>
      </c>
      <c r="I2291" s="19">
        <v>2025</v>
      </c>
    </row>
    <row r="2292" spans="1:9" hidden="1" x14ac:dyDescent="0.3">
      <c r="A2292" s="16" t="s">
        <v>146</v>
      </c>
      <c r="B2292" s="16" t="s">
        <v>39</v>
      </c>
      <c r="C2292" s="15">
        <v>8</v>
      </c>
      <c r="D2292" s="17">
        <v>10671426</v>
      </c>
      <c r="E2292" s="17">
        <v>10671426</v>
      </c>
      <c r="F2292" s="17">
        <v>0</v>
      </c>
      <c r="G2292" s="18">
        <v>1</v>
      </c>
      <c r="H2292" s="10" t="str">
        <f t="shared" si="35"/>
        <v>COSTOS</v>
      </c>
      <c r="I2292" s="19">
        <v>2025</v>
      </c>
    </row>
    <row r="2293" spans="1:9" hidden="1" x14ac:dyDescent="0.3">
      <c r="A2293" s="16" t="s">
        <v>146</v>
      </c>
      <c r="B2293" s="16" t="s">
        <v>39</v>
      </c>
      <c r="C2293" s="15">
        <v>9</v>
      </c>
      <c r="D2293" s="17">
        <v>10721426</v>
      </c>
      <c r="E2293" s="17">
        <v>10671426</v>
      </c>
      <c r="F2293" s="17">
        <v>-50000</v>
      </c>
      <c r="G2293" s="18">
        <v>0.99533644125324383</v>
      </c>
      <c r="H2293" s="10" t="str">
        <f t="shared" si="35"/>
        <v>COSTOS</v>
      </c>
      <c r="I2293" s="19">
        <v>2025</v>
      </c>
    </row>
    <row r="2294" spans="1:9" hidden="1" x14ac:dyDescent="0.3">
      <c r="A2294" s="16" t="s">
        <v>146</v>
      </c>
      <c r="B2294" s="16" t="s">
        <v>39</v>
      </c>
      <c r="C2294" s="15">
        <v>10</v>
      </c>
      <c r="D2294" s="17">
        <v>10721426</v>
      </c>
      <c r="E2294" s="17">
        <v>10671426</v>
      </c>
      <c r="F2294" s="17">
        <v>-50000</v>
      </c>
      <c r="G2294" s="18">
        <v>0.99533644125324383</v>
      </c>
      <c r="H2294" s="10" t="str">
        <f t="shared" si="35"/>
        <v>COSTOS</v>
      </c>
      <c r="I2294" s="19">
        <v>2025</v>
      </c>
    </row>
    <row r="2295" spans="1:9" hidden="1" x14ac:dyDescent="0.3">
      <c r="A2295" s="16" t="s">
        <v>146</v>
      </c>
      <c r="B2295" s="16" t="s">
        <v>24</v>
      </c>
      <c r="C2295" s="15">
        <v>1</v>
      </c>
      <c r="D2295" s="17">
        <v>800895</v>
      </c>
      <c r="E2295" s="17">
        <v>800895</v>
      </c>
      <c r="F2295" s="17">
        <v>0</v>
      </c>
      <c r="G2295" s="18">
        <v>1</v>
      </c>
      <c r="H2295" s="10" t="str">
        <f t="shared" si="35"/>
        <v>COSTOS</v>
      </c>
      <c r="I2295" s="19">
        <v>2025</v>
      </c>
    </row>
    <row r="2296" spans="1:9" hidden="1" x14ac:dyDescent="0.3">
      <c r="A2296" s="16" t="s">
        <v>146</v>
      </c>
      <c r="B2296" s="16" t="s">
        <v>24</v>
      </c>
      <c r="C2296" s="15">
        <v>2</v>
      </c>
      <c r="D2296" s="17">
        <v>800895</v>
      </c>
      <c r="E2296" s="17">
        <v>800895</v>
      </c>
      <c r="F2296" s="17">
        <v>0</v>
      </c>
      <c r="G2296" s="18">
        <v>1</v>
      </c>
      <c r="H2296" s="10" t="str">
        <f t="shared" si="35"/>
        <v>COSTOS</v>
      </c>
      <c r="I2296" s="19">
        <v>2025</v>
      </c>
    </row>
    <row r="2297" spans="1:9" hidden="1" x14ac:dyDescent="0.3">
      <c r="A2297" s="16" t="s">
        <v>146</v>
      </c>
      <c r="B2297" s="16" t="s">
        <v>24</v>
      </c>
      <c r="C2297" s="15">
        <v>3</v>
      </c>
      <c r="D2297" s="17">
        <v>800895</v>
      </c>
      <c r="E2297" s="17">
        <v>800895</v>
      </c>
      <c r="F2297" s="17">
        <v>0</v>
      </c>
      <c r="G2297" s="18">
        <v>1</v>
      </c>
      <c r="H2297" s="10" t="str">
        <f t="shared" si="35"/>
        <v>COSTOS</v>
      </c>
      <c r="I2297" s="19">
        <v>2025</v>
      </c>
    </row>
    <row r="2298" spans="1:9" hidden="1" x14ac:dyDescent="0.3">
      <c r="A2298" s="16" t="s">
        <v>146</v>
      </c>
      <c r="B2298" s="16" t="s">
        <v>24</v>
      </c>
      <c r="C2298" s="15">
        <v>4</v>
      </c>
      <c r="D2298" s="17">
        <v>800895</v>
      </c>
      <c r="E2298" s="17">
        <v>800895</v>
      </c>
      <c r="F2298" s="17">
        <v>0</v>
      </c>
      <c r="G2298" s="18">
        <v>1</v>
      </c>
      <c r="H2298" s="10" t="str">
        <f t="shared" si="35"/>
        <v>COSTOS</v>
      </c>
      <c r="I2298" s="19">
        <v>2025</v>
      </c>
    </row>
    <row r="2299" spans="1:9" hidden="1" x14ac:dyDescent="0.3">
      <c r="A2299" s="16" t="s">
        <v>146</v>
      </c>
      <c r="B2299" s="16" t="s">
        <v>24</v>
      </c>
      <c r="C2299" s="15">
        <v>5</v>
      </c>
      <c r="D2299" s="17">
        <v>800895</v>
      </c>
      <c r="E2299" s="17">
        <v>800895</v>
      </c>
      <c r="F2299" s="17">
        <v>0</v>
      </c>
      <c r="G2299" s="18">
        <v>1</v>
      </c>
      <c r="H2299" s="10" t="str">
        <f t="shared" si="35"/>
        <v>COSTOS</v>
      </c>
      <c r="I2299" s="19">
        <v>2025</v>
      </c>
    </row>
    <row r="2300" spans="1:9" hidden="1" x14ac:dyDescent="0.3">
      <c r="A2300" s="16" t="s">
        <v>146</v>
      </c>
      <c r="B2300" s="16" t="s">
        <v>24</v>
      </c>
      <c r="C2300" s="15">
        <v>6</v>
      </c>
      <c r="D2300" s="17">
        <v>800895</v>
      </c>
      <c r="E2300" s="17">
        <v>800895</v>
      </c>
      <c r="F2300" s="17">
        <v>0</v>
      </c>
      <c r="G2300" s="18">
        <v>1</v>
      </c>
      <c r="H2300" s="10" t="str">
        <f t="shared" si="35"/>
        <v>COSTOS</v>
      </c>
      <c r="I2300" s="19">
        <v>2025</v>
      </c>
    </row>
    <row r="2301" spans="1:9" hidden="1" x14ac:dyDescent="0.3">
      <c r="A2301" s="16" t="s">
        <v>146</v>
      </c>
      <c r="B2301" s="16" t="s">
        <v>24</v>
      </c>
      <c r="C2301" s="15">
        <v>7</v>
      </c>
      <c r="D2301" s="17">
        <v>800895</v>
      </c>
      <c r="E2301" s="17">
        <v>800895</v>
      </c>
      <c r="F2301" s="17">
        <v>0</v>
      </c>
      <c r="G2301" s="18">
        <v>1</v>
      </c>
      <c r="H2301" s="10" t="str">
        <f t="shared" si="35"/>
        <v>COSTOS</v>
      </c>
      <c r="I2301" s="19">
        <v>2025</v>
      </c>
    </row>
    <row r="2302" spans="1:9" hidden="1" x14ac:dyDescent="0.3">
      <c r="A2302" s="16" t="s">
        <v>146</v>
      </c>
      <c r="B2302" s="16" t="s">
        <v>24</v>
      </c>
      <c r="C2302" s="15">
        <v>8</v>
      </c>
      <c r="D2302" s="17">
        <v>800895</v>
      </c>
      <c r="E2302" s="17">
        <v>2613785</v>
      </c>
      <c r="F2302" s="17">
        <v>1812890</v>
      </c>
      <c r="G2302" s="18">
        <v>3.2635801197410399</v>
      </c>
      <c r="H2302" s="10" t="str">
        <f t="shared" si="35"/>
        <v>COSTOS</v>
      </c>
      <c r="I2302" s="19">
        <v>2025</v>
      </c>
    </row>
    <row r="2303" spans="1:9" hidden="1" x14ac:dyDescent="0.3">
      <c r="A2303" s="16" t="s">
        <v>146</v>
      </c>
      <c r="B2303" s="16" t="s">
        <v>24</v>
      </c>
      <c r="C2303" s="15">
        <v>9</v>
      </c>
      <c r="D2303" s="17">
        <v>800895</v>
      </c>
      <c r="E2303" s="17">
        <v>800895</v>
      </c>
      <c r="F2303" s="17">
        <v>0</v>
      </c>
      <c r="G2303" s="18">
        <v>1</v>
      </c>
      <c r="H2303" s="10" t="str">
        <f t="shared" si="35"/>
        <v>COSTOS</v>
      </c>
      <c r="I2303" s="19">
        <v>2025</v>
      </c>
    </row>
    <row r="2304" spans="1:9" hidden="1" x14ac:dyDescent="0.3">
      <c r="A2304" s="16" t="s">
        <v>146</v>
      </c>
      <c r="B2304" s="16" t="s">
        <v>24</v>
      </c>
      <c r="C2304" s="15">
        <v>10</v>
      </c>
      <c r="D2304" s="17">
        <v>800895</v>
      </c>
      <c r="E2304" s="17">
        <v>800895</v>
      </c>
      <c r="F2304" s="17">
        <v>0</v>
      </c>
      <c r="G2304" s="18">
        <v>1</v>
      </c>
      <c r="H2304" s="10" t="str">
        <f t="shared" si="35"/>
        <v>COSTOS</v>
      </c>
      <c r="I2304" s="19">
        <v>2025</v>
      </c>
    </row>
    <row r="2305" spans="1:9" hidden="1" x14ac:dyDescent="0.3">
      <c r="A2305" s="16" t="s">
        <v>146</v>
      </c>
      <c r="B2305" s="16" t="s">
        <v>42</v>
      </c>
      <c r="C2305" s="15">
        <v>8</v>
      </c>
      <c r="D2305" s="17">
        <v>0</v>
      </c>
      <c r="E2305" s="17">
        <v>899000</v>
      </c>
      <c r="F2305" s="17">
        <v>899000</v>
      </c>
      <c r="G2305" s="18">
        <v>0</v>
      </c>
      <c r="H2305" s="10" t="str">
        <f t="shared" si="35"/>
        <v>COSTOS</v>
      </c>
      <c r="I2305" s="19">
        <v>2025</v>
      </c>
    </row>
    <row r="2306" spans="1:9" hidden="1" x14ac:dyDescent="0.3">
      <c r="A2306" s="16" t="s">
        <v>146</v>
      </c>
      <c r="B2306" s="16" t="s">
        <v>27</v>
      </c>
      <c r="C2306" s="15">
        <v>1</v>
      </c>
      <c r="D2306" s="17">
        <v>600363</v>
      </c>
      <c r="E2306" s="17">
        <v>163200</v>
      </c>
      <c r="F2306" s="17">
        <v>-437163</v>
      </c>
      <c r="G2306" s="18">
        <v>0.27183553949860334</v>
      </c>
      <c r="H2306" s="10" t="str">
        <f t="shared" si="35"/>
        <v>COSTOS</v>
      </c>
      <c r="I2306" s="19">
        <v>2025</v>
      </c>
    </row>
    <row r="2307" spans="1:9" hidden="1" x14ac:dyDescent="0.3">
      <c r="A2307" s="16" t="s">
        <v>146</v>
      </c>
      <c r="B2307" s="16" t="s">
        <v>27</v>
      </c>
      <c r="C2307" s="15">
        <v>2</v>
      </c>
      <c r="D2307" s="17">
        <v>449969</v>
      </c>
      <c r="E2307" s="17">
        <v>471618</v>
      </c>
      <c r="F2307" s="17">
        <v>21649</v>
      </c>
      <c r="G2307" s="18">
        <v>1.0481122032851153</v>
      </c>
      <c r="H2307" s="10" t="str">
        <f t="shared" ref="H2307:H2370" si="36">+IF(OR(A2307="ADMINISTRACION",A2307="COMERCIAL",A2307="COMERCIAL-EXPORTACIONES",A2307="LEASING DE LA BODEGA",A2307="LOGISTICA-SALIDA",A2307="OTROS GASTOS",A2307="BODEGA ALQUILADA", A2307="BODEGA CARTOPLAST", A2307="BODEGA CARTOPLAS", A2307= "GESTION HUMANA-OTROS GASTOS"),"GASTOS","COSTOS")</f>
        <v>COSTOS</v>
      </c>
      <c r="I2307" s="19">
        <v>2025</v>
      </c>
    </row>
    <row r="2308" spans="1:9" hidden="1" x14ac:dyDescent="0.3">
      <c r="A2308" s="16" t="s">
        <v>146</v>
      </c>
      <c r="B2308" s="16" t="s">
        <v>27</v>
      </c>
      <c r="C2308" s="15">
        <v>3</v>
      </c>
      <c r="D2308" s="17">
        <v>498197</v>
      </c>
      <c r="E2308" s="17">
        <v>436122</v>
      </c>
      <c r="F2308" s="17">
        <v>-62075</v>
      </c>
      <c r="G2308" s="18">
        <v>0.8754006949058305</v>
      </c>
      <c r="H2308" s="10" t="str">
        <f t="shared" si="36"/>
        <v>COSTOS</v>
      </c>
      <c r="I2308" s="19">
        <v>2025</v>
      </c>
    </row>
    <row r="2309" spans="1:9" hidden="1" x14ac:dyDescent="0.3">
      <c r="A2309" s="16" t="s">
        <v>146</v>
      </c>
      <c r="B2309" s="16" t="s">
        <v>27</v>
      </c>
      <c r="C2309" s="15">
        <v>4</v>
      </c>
      <c r="D2309" s="17">
        <v>798691</v>
      </c>
      <c r="E2309" s="17">
        <v>661432</v>
      </c>
      <c r="F2309" s="17">
        <v>-137259</v>
      </c>
      <c r="G2309" s="18">
        <v>0.82814505234189451</v>
      </c>
      <c r="H2309" s="10" t="str">
        <f t="shared" si="36"/>
        <v>COSTOS</v>
      </c>
      <c r="I2309" s="19">
        <v>2025</v>
      </c>
    </row>
    <row r="2310" spans="1:9" hidden="1" x14ac:dyDescent="0.3">
      <c r="A2310" s="16" t="s">
        <v>146</v>
      </c>
      <c r="B2310" s="16" t="s">
        <v>27</v>
      </c>
      <c r="C2310" s="15">
        <v>5</v>
      </c>
      <c r="D2310" s="17">
        <v>553565</v>
      </c>
      <c r="E2310" s="17">
        <v>756588</v>
      </c>
      <c r="F2310" s="17">
        <v>203023</v>
      </c>
      <c r="G2310" s="18">
        <v>1.3667554849024053</v>
      </c>
      <c r="H2310" s="10" t="str">
        <f t="shared" si="36"/>
        <v>COSTOS</v>
      </c>
      <c r="I2310" s="19">
        <v>2025</v>
      </c>
    </row>
    <row r="2311" spans="1:9" hidden="1" x14ac:dyDescent="0.3">
      <c r="A2311" s="16" t="s">
        <v>146</v>
      </c>
      <c r="B2311" s="16" t="s">
        <v>27</v>
      </c>
      <c r="C2311" s="15">
        <v>6</v>
      </c>
      <c r="D2311" s="17">
        <v>596091</v>
      </c>
      <c r="E2311" s="17">
        <v>614613</v>
      </c>
      <c r="F2311" s="17">
        <v>18522</v>
      </c>
      <c r="G2311" s="18">
        <v>1.0310724369265767</v>
      </c>
      <c r="H2311" s="10" t="str">
        <f t="shared" si="36"/>
        <v>COSTOS</v>
      </c>
      <c r="I2311" s="19">
        <v>2025</v>
      </c>
    </row>
    <row r="2312" spans="1:9" hidden="1" x14ac:dyDescent="0.3">
      <c r="A2312" s="16" t="s">
        <v>146</v>
      </c>
      <c r="B2312" s="16" t="s">
        <v>27</v>
      </c>
      <c r="C2312" s="15">
        <v>7</v>
      </c>
      <c r="D2312" s="17">
        <v>472286</v>
      </c>
      <c r="E2312" s="17">
        <v>555389</v>
      </c>
      <c r="F2312" s="17">
        <v>83103</v>
      </c>
      <c r="G2312" s="18">
        <v>1.1759590587059536</v>
      </c>
      <c r="H2312" s="10" t="str">
        <f t="shared" si="36"/>
        <v>COSTOS</v>
      </c>
      <c r="I2312" s="19">
        <v>2025</v>
      </c>
    </row>
    <row r="2313" spans="1:9" hidden="1" x14ac:dyDescent="0.3">
      <c r="A2313" s="16" t="s">
        <v>146</v>
      </c>
      <c r="B2313" s="16" t="s">
        <v>27</v>
      </c>
      <c r="C2313" s="15">
        <v>8</v>
      </c>
      <c r="D2313" s="17">
        <v>482406</v>
      </c>
      <c r="E2313" s="17">
        <v>472592</v>
      </c>
      <c r="F2313" s="17">
        <v>-9814</v>
      </c>
      <c r="G2313" s="18">
        <v>0.97965614026359549</v>
      </c>
      <c r="H2313" s="10" t="str">
        <f t="shared" si="36"/>
        <v>COSTOS</v>
      </c>
      <c r="I2313" s="19">
        <v>2025</v>
      </c>
    </row>
    <row r="2314" spans="1:9" hidden="1" x14ac:dyDescent="0.3">
      <c r="A2314" s="16" t="s">
        <v>146</v>
      </c>
      <c r="B2314" s="16" t="s">
        <v>27</v>
      </c>
      <c r="C2314" s="15">
        <v>9</v>
      </c>
      <c r="D2314" s="17">
        <v>529949</v>
      </c>
      <c r="E2314" s="17">
        <v>499163</v>
      </c>
      <c r="F2314" s="17">
        <v>-30786</v>
      </c>
      <c r="G2314" s="18">
        <v>0.94190761752546004</v>
      </c>
      <c r="H2314" s="10" t="str">
        <f t="shared" si="36"/>
        <v>COSTOS</v>
      </c>
      <c r="I2314" s="19">
        <v>2025</v>
      </c>
    </row>
    <row r="2315" spans="1:9" hidden="1" x14ac:dyDescent="0.3">
      <c r="A2315" s="16" t="s">
        <v>146</v>
      </c>
      <c r="B2315" s="16" t="s">
        <v>27</v>
      </c>
      <c r="C2315" s="15">
        <v>10</v>
      </c>
      <c r="D2315" s="17">
        <v>728072</v>
      </c>
      <c r="E2315" s="17">
        <v>532100</v>
      </c>
      <c r="F2315" s="17">
        <v>-195972</v>
      </c>
      <c r="G2315" s="18">
        <v>0.7308343130899142</v>
      </c>
      <c r="H2315" s="10" t="str">
        <f t="shared" si="36"/>
        <v>COSTOS</v>
      </c>
      <c r="I2315" s="19">
        <v>2025</v>
      </c>
    </row>
    <row r="2316" spans="1:9" hidden="1" x14ac:dyDescent="0.3">
      <c r="A2316" s="16" t="s">
        <v>146</v>
      </c>
      <c r="B2316" s="16" t="s">
        <v>28</v>
      </c>
      <c r="C2316" s="15">
        <v>1</v>
      </c>
      <c r="D2316" s="17">
        <v>161961</v>
      </c>
      <c r="E2316" s="17">
        <v>107090</v>
      </c>
      <c r="F2316" s="17">
        <v>-54871</v>
      </c>
      <c r="G2316" s="18">
        <v>0.66120856255518301</v>
      </c>
      <c r="H2316" s="10" t="str">
        <f t="shared" si="36"/>
        <v>COSTOS</v>
      </c>
      <c r="I2316" s="19">
        <v>2025</v>
      </c>
    </row>
    <row r="2317" spans="1:9" hidden="1" x14ac:dyDescent="0.3">
      <c r="A2317" s="16" t="s">
        <v>146</v>
      </c>
      <c r="B2317" s="16" t="s">
        <v>28</v>
      </c>
      <c r="C2317" s="15">
        <v>2</v>
      </c>
      <c r="D2317" s="17">
        <v>2090308</v>
      </c>
      <c r="E2317" s="17">
        <v>2078030</v>
      </c>
      <c r="F2317" s="17">
        <v>-12278</v>
      </c>
      <c r="G2317" s="18">
        <v>0.99412622446070154</v>
      </c>
      <c r="H2317" s="10" t="str">
        <f t="shared" si="36"/>
        <v>COSTOS</v>
      </c>
      <c r="I2317" s="19">
        <v>2025</v>
      </c>
    </row>
    <row r="2318" spans="1:9" hidden="1" x14ac:dyDescent="0.3">
      <c r="A2318" s="16" t="s">
        <v>146</v>
      </c>
      <c r="B2318" s="16" t="s">
        <v>28</v>
      </c>
      <c r="C2318" s="15">
        <v>3</v>
      </c>
      <c r="D2318" s="17">
        <v>424526</v>
      </c>
      <c r="E2318" s="17">
        <v>88835</v>
      </c>
      <c r="F2318" s="17">
        <v>-335691</v>
      </c>
      <c r="G2318" s="18">
        <v>0.20925691241525843</v>
      </c>
      <c r="H2318" s="10" t="str">
        <f t="shared" si="36"/>
        <v>COSTOS</v>
      </c>
      <c r="I2318" s="19">
        <v>2025</v>
      </c>
    </row>
    <row r="2319" spans="1:9" hidden="1" x14ac:dyDescent="0.3">
      <c r="A2319" s="16" t="s">
        <v>146</v>
      </c>
      <c r="B2319" s="16" t="s">
        <v>28</v>
      </c>
      <c r="C2319" s="15">
        <v>4</v>
      </c>
      <c r="D2319" s="17">
        <v>273288</v>
      </c>
      <c r="E2319" s="17">
        <v>219706</v>
      </c>
      <c r="F2319" s="17">
        <v>-53582</v>
      </c>
      <c r="G2319" s="18">
        <v>0.80393577471385502</v>
      </c>
      <c r="H2319" s="10" t="str">
        <f t="shared" si="36"/>
        <v>COSTOS</v>
      </c>
      <c r="I2319" s="19">
        <v>2025</v>
      </c>
    </row>
    <row r="2320" spans="1:9" hidden="1" x14ac:dyDescent="0.3">
      <c r="A2320" s="16" t="s">
        <v>146</v>
      </c>
      <c r="B2320" s="16" t="s">
        <v>28</v>
      </c>
      <c r="C2320" s="15">
        <v>5</v>
      </c>
      <c r="D2320" s="17">
        <v>122195</v>
      </c>
      <c r="E2320" s="17">
        <v>389064</v>
      </c>
      <c r="F2320" s="17">
        <v>266869</v>
      </c>
      <c r="G2320" s="18">
        <v>3.1839600638323993</v>
      </c>
      <c r="H2320" s="10" t="str">
        <f t="shared" si="36"/>
        <v>COSTOS</v>
      </c>
      <c r="I2320" s="19">
        <v>2025</v>
      </c>
    </row>
    <row r="2321" spans="1:9" hidden="1" x14ac:dyDescent="0.3">
      <c r="A2321" s="16" t="s">
        <v>146</v>
      </c>
      <c r="B2321" s="16" t="s">
        <v>28</v>
      </c>
      <c r="C2321" s="15">
        <v>6</v>
      </c>
      <c r="D2321" s="17">
        <v>101468</v>
      </c>
      <c r="E2321" s="17">
        <v>181831</v>
      </c>
      <c r="F2321" s="17">
        <v>80363</v>
      </c>
      <c r="G2321" s="18">
        <v>1.792003390231403</v>
      </c>
      <c r="H2321" s="10" t="str">
        <f t="shared" si="36"/>
        <v>COSTOS</v>
      </c>
      <c r="I2321" s="19">
        <v>2025</v>
      </c>
    </row>
    <row r="2322" spans="1:9" hidden="1" x14ac:dyDescent="0.3">
      <c r="A2322" s="16" t="s">
        <v>146</v>
      </c>
      <c r="B2322" s="16" t="s">
        <v>28</v>
      </c>
      <c r="C2322" s="15">
        <v>7</v>
      </c>
      <c r="D2322" s="17">
        <v>433614</v>
      </c>
      <c r="E2322" s="17">
        <v>103449</v>
      </c>
      <c r="F2322" s="17">
        <v>-330165</v>
      </c>
      <c r="G2322" s="18">
        <v>0.23857393903333379</v>
      </c>
      <c r="H2322" s="10" t="str">
        <f t="shared" si="36"/>
        <v>COSTOS</v>
      </c>
      <c r="I2322" s="19">
        <v>2025</v>
      </c>
    </row>
    <row r="2323" spans="1:9" hidden="1" x14ac:dyDescent="0.3">
      <c r="A2323" s="16" t="s">
        <v>146</v>
      </c>
      <c r="B2323" s="16" t="s">
        <v>28</v>
      </c>
      <c r="C2323" s="15">
        <v>8</v>
      </c>
      <c r="D2323" s="17">
        <v>196565</v>
      </c>
      <c r="E2323" s="17">
        <v>99116</v>
      </c>
      <c r="F2323" s="17">
        <v>-97449</v>
      </c>
      <c r="G2323" s="18">
        <v>0.50424032762699367</v>
      </c>
      <c r="H2323" s="10" t="str">
        <f t="shared" si="36"/>
        <v>COSTOS</v>
      </c>
      <c r="I2323" s="19">
        <v>2025</v>
      </c>
    </row>
    <row r="2324" spans="1:9" hidden="1" x14ac:dyDescent="0.3">
      <c r="A2324" s="16" t="s">
        <v>146</v>
      </c>
      <c r="B2324" s="16" t="s">
        <v>28</v>
      </c>
      <c r="C2324" s="15">
        <v>9</v>
      </c>
      <c r="D2324" s="17">
        <v>274651</v>
      </c>
      <c r="E2324" s="17">
        <v>99433</v>
      </c>
      <c r="F2324" s="17">
        <v>-175218</v>
      </c>
      <c r="G2324" s="18">
        <v>0.36203399951210807</v>
      </c>
      <c r="H2324" s="10" t="str">
        <f t="shared" si="36"/>
        <v>COSTOS</v>
      </c>
      <c r="I2324" s="19">
        <v>2025</v>
      </c>
    </row>
    <row r="2325" spans="1:9" hidden="1" x14ac:dyDescent="0.3">
      <c r="A2325" s="16" t="s">
        <v>146</v>
      </c>
      <c r="B2325" s="16" t="s">
        <v>28</v>
      </c>
      <c r="C2325" s="15">
        <v>10</v>
      </c>
      <c r="D2325" s="17">
        <v>456432</v>
      </c>
      <c r="E2325" s="17">
        <v>156724</v>
      </c>
      <c r="F2325" s="17">
        <v>-299708</v>
      </c>
      <c r="G2325" s="18">
        <v>0.3433676867529008</v>
      </c>
      <c r="H2325" s="10" t="str">
        <f t="shared" si="36"/>
        <v>COSTOS</v>
      </c>
      <c r="I2325" s="19">
        <v>2025</v>
      </c>
    </row>
    <row r="2326" spans="1:9" hidden="1" x14ac:dyDescent="0.3">
      <c r="A2326" s="16" t="s">
        <v>146</v>
      </c>
      <c r="B2326" s="16" t="s">
        <v>29</v>
      </c>
      <c r="C2326" s="15">
        <v>2</v>
      </c>
      <c r="D2326" s="17">
        <v>278167</v>
      </c>
      <c r="E2326" s="17">
        <v>0</v>
      </c>
      <c r="F2326" s="17">
        <v>-278167</v>
      </c>
      <c r="G2326" s="18">
        <v>0</v>
      </c>
      <c r="H2326" s="10" t="str">
        <f t="shared" si="36"/>
        <v>COSTOS</v>
      </c>
      <c r="I2326" s="19">
        <v>2025</v>
      </c>
    </row>
    <row r="2327" spans="1:9" hidden="1" x14ac:dyDescent="0.3">
      <c r="A2327" s="16" t="s">
        <v>146</v>
      </c>
      <c r="B2327" s="16" t="s">
        <v>29</v>
      </c>
      <c r="C2327" s="15">
        <v>3</v>
      </c>
      <c r="D2327" s="17">
        <v>2431</v>
      </c>
      <c r="E2327" s="17">
        <v>1415117</v>
      </c>
      <c r="F2327" s="17">
        <v>1412686</v>
      </c>
      <c r="G2327" s="18">
        <v>582.11312217194563</v>
      </c>
      <c r="H2327" s="10" t="str">
        <f t="shared" si="36"/>
        <v>COSTOS</v>
      </c>
      <c r="I2327" s="19">
        <v>2025</v>
      </c>
    </row>
    <row r="2328" spans="1:9" hidden="1" x14ac:dyDescent="0.3">
      <c r="A2328" s="16" t="s">
        <v>146</v>
      </c>
      <c r="B2328" s="16" t="s">
        <v>29</v>
      </c>
      <c r="C2328" s="15">
        <v>4</v>
      </c>
      <c r="D2328" s="17">
        <v>445067</v>
      </c>
      <c r="E2328" s="17">
        <v>0</v>
      </c>
      <c r="F2328" s="17">
        <v>-445067</v>
      </c>
      <c r="G2328" s="18">
        <v>0</v>
      </c>
      <c r="H2328" s="10" t="str">
        <f t="shared" si="36"/>
        <v>COSTOS</v>
      </c>
      <c r="I2328" s="19">
        <v>2025</v>
      </c>
    </row>
    <row r="2329" spans="1:9" hidden="1" x14ac:dyDescent="0.3">
      <c r="A2329" s="16" t="s">
        <v>146</v>
      </c>
      <c r="B2329" s="16" t="s">
        <v>29</v>
      </c>
      <c r="C2329" s="15">
        <v>5</v>
      </c>
      <c r="D2329" s="17">
        <v>94680</v>
      </c>
      <c r="E2329" s="17">
        <v>0</v>
      </c>
      <c r="F2329" s="17">
        <v>-94680</v>
      </c>
      <c r="G2329" s="18">
        <v>0</v>
      </c>
      <c r="H2329" s="10" t="str">
        <f t="shared" si="36"/>
        <v>COSTOS</v>
      </c>
      <c r="I2329" s="19">
        <v>2025</v>
      </c>
    </row>
    <row r="2330" spans="1:9" hidden="1" x14ac:dyDescent="0.3">
      <c r="A2330" s="16" t="s">
        <v>146</v>
      </c>
      <c r="B2330" s="16" t="s">
        <v>29</v>
      </c>
      <c r="C2330" s="15">
        <v>6</v>
      </c>
      <c r="D2330" s="17">
        <v>0</v>
      </c>
      <c r="E2330" s="17">
        <v>278000</v>
      </c>
      <c r="F2330" s="17">
        <v>278000</v>
      </c>
      <c r="G2330" s="18">
        <v>0</v>
      </c>
      <c r="H2330" s="10" t="str">
        <f t="shared" si="36"/>
        <v>COSTOS</v>
      </c>
      <c r="I2330" s="19">
        <v>2025</v>
      </c>
    </row>
    <row r="2331" spans="1:9" hidden="1" x14ac:dyDescent="0.3">
      <c r="A2331" s="16" t="s">
        <v>146</v>
      </c>
      <c r="B2331" s="16" t="s">
        <v>29</v>
      </c>
      <c r="C2331" s="15">
        <v>7</v>
      </c>
      <c r="D2331" s="17">
        <v>0</v>
      </c>
      <c r="E2331" s="17">
        <v>485000</v>
      </c>
      <c r="F2331" s="17">
        <v>485000</v>
      </c>
      <c r="G2331" s="18">
        <v>0</v>
      </c>
      <c r="H2331" s="10" t="str">
        <f t="shared" si="36"/>
        <v>COSTOS</v>
      </c>
      <c r="I2331" s="19">
        <v>2025</v>
      </c>
    </row>
    <row r="2332" spans="1:9" hidden="1" x14ac:dyDescent="0.3">
      <c r="A2332" s="16" t="s">
        <v>146</v>
      </c>
      <c r="B2332" s="16" t="s">
        <v>29</v>
      </c>
      <c r="C2332" s="15">
        <v>8</v>
      </c>
      <c r="D2332" s="17">
        <v>145504</v>
      </c>
      <c r="E2332" s="17">
        <v>265000</v>
      </c>
      <c r="F2332" s="17">
        <v>119496</v>
      </c>
      <c r="G2332" s="18">
        <v>1.8212557730371672</v>
      </c>
      <c r="H2332" s="10" t="str">
        <f t="shared" si="36"/>
        <v>COSTOS</v>
      </c>
      <c r="I2332" s="19">
        <v>2025</v>
      </c>
    </row>
    <row r="2333" spans="1:9" hidden="1" x14ac:dyDescent="0.3">
      <c r="A2333" s="16" t="s">
        <v>146</v>
      </c>
      <c r="B2333" s="16" t="s">
        <v>29</v>
      </c>
      <c r="C2333" s="15">
        <v>9</v>
      </c>
      <c r="D2333" s="17">
        <v>0</v>
      </c>
      <c r="E2333" s="17">
        <v>376000</v>
      </c>
      <c r="F2333" s="17">
        <v>376000</v>
      </c>
      <c r="G2333" s="18">
        <v>0</v>
      </c>
      <c r="H2333" s="10" t="str">
        <f t="shared" si="36"/>
        <v>COSTOS</v>
      </c>
      <c r="I2333" s="19">
        <v>2025</v>
      </c>
    </row>
    <row r="2334" spans="1:9" hidden="1" x14ac:dyDescent="0.3">
      <c r="A2334" s="16" t="s">
        <v>146</v>
      </c>
      <c r="B2334" s="16" t="s">
        <v>29</v>
      </c>
      <c r="C2334" s="15">
        <v>10</v>
      </c>
      <c r="D2334" s="17">
        <v>0</v>
      </c>
      <c r="E2334" s="17">
        <v>593000</v>
      </c>
      <c r="F2334" s="17">
        <v>593000</v>
      </c>
      <c r="G2334" s="18">
        <v>0</v>
      </c>
      <c r="H2334" s="10" t="str">
        <f t="shared" si="36"/>
        <v>COSTOS</v>
      </c>
      <c r="I2334" s="19">
        <v>2025</v>
      </c>
    </row>
    <row r="2335" spans="1:9" hidden="1" x14ac:dyDescent="0.3">
      <c r="A2335" s="16" t="s">
        <v>146</v>
      </c>
      <c r="B2335" s="16" t="s">
        <v>70</v>
      </c>
      <c r="C2335" s="15">
        <v>11</v>
      </c>
      <c r="D2335" s="17">
        <v>34323500</v>
      </c>
      <c r="E2335" s="17">
        <v>32670500</v>
      </c>
      <c r="F2335" s="17">
        <v>-1653000</v>
      </c>
      <c r="G2335" s="18">
        <v>0.95184057569886527</v>
      </c>
      <c r="H2335" s="10" t="str">
        <f t="shared" si="36"/>
        <v>COSTOS</v>
      </c>
      <c r="I2335" s="19">
        <v>2025</v>
      </c>
    </row>
    <row r="2336" spans="1:9" hidden="1" x14ac:dyDescent="0.3">
      <c r="A2336" s="16" t="s">
        <v>146</v>
      </c>
      <c r="B2336" s="16" t="s">
        <v>71</v>
      </c>
      <c r="C2336" s="15">
        <v>11</v>
      </c>
      <c r="D2336" s="17">
        <v>433536</v>
      </c>
      <c r="E2336" s="17">
        <v>433536</v>
      </c>
      <c r="F2336" s="17">
        <v>0</v>
      </c>
      <c r="G2336" s="18">
        <v>1</v>
      </c>
      <c r="H2336" s="10" t="str">
        <f t="shared" si="36"/>
        <v>COSTOS</v>
      </c>
      <c r="I2336" s="19">
        <v>2025</v>
      </c>
    </row>
    <row r="2337" spans="1:9" hidden="1" x14ac:dyDescent="0.3">
      <c r="A2337" s="16" t="s">
        <v>146</v>
      </c>
      <c r="B2337" s="16" t="s">
        <v>14</v>
      </c>
      <c r="C2337" s="15">
        <v>11</v>
      </c>
      <c r="D2337" s="17">
        <v>160115</v>
      </c>
      <c r="E2337" s="17">
        <v>281361</v>
      </c>
      <c r="F2337" s="17">
        <v>121246</v>
      </c>
      <c r="G2337" s="18">
        <v>1.7572432314274116</v>
      </c>
      <c r="H2337" s="10" t="str">
        <f t="shared" si="36"/>
        <v>COSTOS</v>
      </c>
      <c r="I2337" s="19">
        <v>2025</v>
      </c>
    </row>
    <row r="2338" spans="1:9" hidden="1" x14ac:dyDescent="0.3">
      <c r="A2338" s="16" t="s">
        <v>146</v>
      </c>
      <c r="B2338" s="16" t="s">
        <v>72</v>
      </c>
      <c r="C2338" s="15">
        <v>11</v>
      </c>
      <c r="D2338" s="17">
        <v>1318931</v>
      </c>
      <c r="E2338" s="17">
        <v>1053318</v>
      </c>
      <c r="F2338" s="17">
        <v>-265613</v>
      </c>
      <c r="G2338" s="18">
        <v>0.79861493891644064</v>
      </c>
      <c r="H2338" s="10" t="str">
        <f t="shared" si="36"/>
        <v>COSTOS</v>
      </c>
      <c r="I2338" s="19">
        <v>2025</v>
      </c>
    </row>
    <row r="2339" spans="1:9" hidden="1" x14ac:dyDescent="0.3">
      <c r="A2339" s="16" t="s">
        <v>146</v>
      </c>
      <c r="B2339" s="16" t="s">
        <v>73</v>
      </c>
      <c r="C2339" s="15">
        <v>11</v>
      </c>
      <c r="D2339" s="17">
        <v>46952156</v>
      </c>
      <c r="E2339" s="17">
        <v>44339883</v>
      </c>
      <c r="F2339" s="17">
        <v>-2612273</v>
      </c>
      <c r="G2339" s="18">
        <v>0.94436308739475139</v>
      </c>
      <c r="H2339" s="10" t="str">
        <f t="shared" si="36"/>
        <v>COSTOS</v>
      </c>
      <c r="I2339" s="19">
        <v>2025</v>
      </c>
    </row>
    <row r="2340" spans="1:9" hidden="1" x14ac:dyDescent="0.3">
      <c r="A2340" s="16" t="s">
        <v>146</v>
      </c>
      <c r="B2340" s="16" t="s">
        <v>74</v>
      </c>
      <c r="C2340" s="15">
        <v>11</v>
      </c>
      <c r="D2340" s="17">
        <v>4641</v>
      </c>
      <c r="E2340" s="17">
        <v>4577</v>
      </c>
      <c r="F2340" s="17">
        <v>-64</v>
      </c>
      <c r="G2340" s="18">
        <v>0.98620986856280979</v>
      </c>
      <c r="H2340" s="10" t="str">
        <f t="shared" si="36"/>
        <v>COSTOS</v>
      </c>
      <c r="I2340" s="19">
        <v>2025</v>
      </c>
    </row>
    <row r="2341" spans="1:9" hidden="1" x14ac:dyDescent="0.3">
      <c r="A2341" s="16" t="s">
        <v>146</v>
      </c>
      <c r="B2341" s="16" t="s">
        <v>39</v>
      </c>
      <c r="C2341" s="15">
        <v>11</v>
      </c>
      <c r="D2341" s="17">
        <v>10721426</v>
      </c>
      <c r="E2341" s="17">
        <v>10671426</v>
      </c>
      <c r="F2341" s="17">
        <v>-50000</v>
      </c>
      <c r="G2341" s="18">
        <v>0.99533644125324383</v>
      </c>
      <c r="H2341" s="10" t="str">
        <f t="shared" si="36"/>
        <v>COSTOS</v>
      </c>
      <c r="I2341" s="19">
        <v>2025</v>
      </c>
    </row>
    <row r="2342" spans="1:9" hidden="1" x14ac:dyDescent="0.3">
      <c r="A2342" s="16" t="s">
        <v>146</v>
      </c>
      <c r="B2342" s="16" t="s">
        <v>24</v>
      </c>
      <c r="C2342" s="15">
        <v>11</v>
      </c>
      <c r="D2342" s="17">
        <v>800895</v>
      </c>
      <c r="E2342" s="17">
        <v>800895</v>
      </c>
      <c r="F2342" s="17">
        <v>0</v>
      </c>
      <c r="G2342" s="18">
        <v>1</v>
      </c>
      <c r="H2342" s="10" t="str">
        <f t="shared" si="36"/>
        <v>COSTOS</v>
      </c>
      <c r="I2342" s="19">
        <v>2025</v>
      </c>
    </row>
    <row r="2343" spans="1:9" hidden="1" x14ac:dyDescent="0.3">
      <c r="A2343" s="16" t="s">
        <v>146</v>
      </c>
      <c r="B2343" s="16" t="s">
        <v>27</v>
      </c>
      <c r="C2343" s="15">
        <v>11</v>
      </c>
      <c r="D2343" s="17">
        <v>712892</v>
      </c>
      <c r="E2343" s="17">
        <v>647877</v>
      </c>
      <c r="F2343" s="17">
        <v>-65015</v>
      </c>
      <c r="G2343" s="18">
        <v>0.90880105261386013</v>
      </c>
      <c r="H2343" s="10" t="str">
        <f t="shared" si="36"/>
        <v>COSTOS</v>
      </c>
      <c r="I2343" s="19">
        <v>2025</v>
      </c>
    </row>
    <row r="2344" spans="1:9" hidden="1" x14ac:dyDescent="0.3">
      <c r="A2344" s="16" t="s">
        <v>146</v>
      </c>
      <c r="B2344" s="16" t="s">
        <v>28</v>
      </c>
      <c r="C2344" s="15">
        <v>11</v>
      </c>
      <c r="D2344" s="17">
        <v>197848</v>
      </c>
      <c r="E2344" s="17">
        <v>119641</v>
      </c>
      <c r="F2344" s="17">
        <v>-78207</v>
      </c>
      <c r="G2344" s="18">
        <v>0.6047116978690712</v>
      </c>
      <c r="H2344" s="10" t="str">
        <f t="shared" si="36"/>
        <v>COSTOS</v>
      </c>
      <c r="I2344" s="19">
        <v>2025</v>
      </c>
    </row>
    <row r="2345" spans="1:9" hidden="1" x14ac:dyDescent="0.3">
      <c r="A2345" s="16" t="s">
        <v>146</v>
      </c>
      <c r="B2345" s="16" t="s">
        <v>29</v>
      </c>
      <c r="C2345" s="15">
        <v>11</v>
      </c>
      <c r="D2345" s="17">
        <v>380824</v>
      </c>
      <c r="E2345" s="17">
        <v>298000</v>
      </c>
      <c r="F2345" s="17">
        <v>-82824</v>
      </c>
      <c r="G2345" s="18">
        <v>0.78251370711929913</v>
      </c>
      <c r="H2345" s="10" t="str">
        <f t="shared" si="36"/>
        <v>COSTOS</v>
      </c>
      <c r="I2345" s="19">
        <v>2025</v>
      </c>
    </row>
    <row r="2346" spans="1:9" hidden="1" x14ac:dyDescent="0.3">
      <c r="A2346" s="16" t="s">
        <v>146</v>
      </c>
      <c r="B2346" s="16" t="s">
        <v>169</v>
      </c>
      <c r="C2346" s="15">
        <v>12</v>
      </c>
      <c r="D2346" s="17">
        <v>0</v>
      </c>
      <c r="E2346" s="17">
        <v>17577000</v>
      </c>
      <c r="F2346" s="17">
        <v>17577000</v>
      </c>
      <c r="G2346" s="18">
        <v>0</v>
      </c>
      <c r="H2346" s="10" t="str">
        <f t="shared" si="36"/>
        <v>COSTOS</v>
      </c>
      <c r="I2346" s="19">
        <v>2025</v>
      </c>
    </row>
    <row r="2347" spans="1:9" hidden="1" x14ac:dyDescent="0.3">
      <c r="A2347" s="16" t="s">
        <v>146</v>
      </c>
      <c r="B2347" s="16" t="s">
        <v>70</v>
      </c>
      <c r="C2347" s="15">
        <v>12</v>
      </c>
      <c r="D2347" s="17">
        <v>34323500</v>
      </c>
      <c r="E2347" s="17">
        <v>32670500</v>
      </c>
      <c r="F2347" s="17">
        <v>-1653000</v>
      </c>
      <c r="G2347" s="18">
        <v>0.95184057569886527</v>
      </c>
      <c r="H2347" s="10" t="str">
        <f t="shared" si="36"/>
        <v>COSTOS</v>
      </c>
      <c r="I2347" s="19">
        <v>2025</v>
      </c>
    </row>
    <row r="2348" spans="1:9" hidden="1" x14ac:dyDescent="0.3">
      <c r="A2348" s="16" t="s">
        <v>146</v>
      </c>
      <c r="B2348" s="16" t="s">
        <v>71</v>
      </c>
      <c r="C2348" s="15">
        <v>12</v>
      </c>
      <c r="D2348" s="17">
        <v>433536</v>
      </c>
      <c r="E2348" s="17">
        <v>433536</v>
      </c>
      <c r="F2348" s="17">
        <v>0</v>
      </c>
      <c r="G2348" s="18">
        <v>1</v>
      </c>
      <c r="H2348" s="10" t="str">
        <f t="shared" si="36"/>
        <v>COSTOS</v>
      </c>
      <c r="I2348" s="19">
        <v>2025</v>
      </c>
    </row>
    <row r="2349" spans="1:9" hidden="1" x14ac:dyDescent="0.3">
      <c r="A2349" s="16" t="s">
        <v>146</v>
      </c>
      <c r="B2349" s="16" t="s">
        <v>14</v>
      </c>
      <c r="C2349" s="15">
        <v>12</v>
      </c>
      <c r="D2349" s="17">
        <v>384560</v>
      </c>
      <c r="E2349" s="17">
        <v>179161</v>
      </c>
      <c r="F2349" s="17">
        <v>-205399</v>
      </c>
      <c r="G2349" s="18">
        <v>0.46588568753900561</v>
      </c>
      <c r="H2349" s="10" t="str">
        <f t="shared" si="36"/>
        <v>COSTOS</v>
      </c>
      <c r="I2349" s="19">
        <v>2025</v>
      </c>
    </row>
    <row r="2350" spans="1:9" hidden="1" x14ac:dyDescent="0.3">
      <c r="A2350" s="16" t="s">
        <v>146</v>
      </c>
      <c r="B2350" s="16" t="s">
        <v>72</v>
      </c>
      <c r="C2350" s="15">
        <v>12</v>
      </c>
      <c r="D2350" s="17">
        <v>1466039</v>
      </c>
      <c r="E2350" s="17">
        <v>1155699</v>
      </c>
      <c r="F2350" s="17">
        <v>-310340</v>
      </c>
      <c r="G2350" s="18">
        <v>0.78831395344871458</v>
      </c>
      <c r="H2350" s="10" t="str">
        <f t="shared" si="36"/>
        <v>COSTOS</v>
      </c>
      <c r="I2350" s="19">
        <v>2025</v>
      </c>
    </row>
    <row r="2351" spans="1:9" hidden="1" x14ac:dyDescent="0.3">
      <c r="A2351" s="16" t="s">
        <v>146</v>
      </c>
      <c r="B2351" s="16" t="s">
        <v>73</v>
      </c>
      <c r="C2351" s="15">
        <v>12</v>
      </c>
      <c r="D2351" s="17">
        <v>50778132</v>
      </c>
      <c r="E2351" s="17">
        <v>44175705</v>
      </c>
      <c r="F2351" s="17">
        <v>-6602427</v>
      </c>
      <c r="G2351" s="18">
        <v>0.86997499238451703</v>
      </c>
      <c r="H2351" s="10" t="str">
        <f t="shared" si="36"/>
        <v>COSTOS</v>
      </c>
      <c r="I2351" s="19">
        <v>2025</v>
      </c>
    </row>
    <row r="2352" spans="1:9" hidden="1" x14ac:dyDescent="0.3">
      <c r="A2352" s="16" t="s">
        <v>146</v>
      </c>
      <c r="B2352" s="16" t="s">
        <v>74</v>
      </c>
      <c r="C2352" s="15">
        <v>12</v>
      </c>
      <c r="D2352" s="17">
        <v>4642</v>
      </c>
      <c r="E2352" s="17">
        <v>4579</v>
      </c>
      <c r="F2352" s="17">
        <v>-63</v>
      </c>
      <c r="G2352" s="18">
        <v>0.98642826367944858</v>
      </c>
      <c r="H2352" s="10" t="str">
        <f t="shared" si="36"/>
        <v>COSTOS</v>
      </c>
      <c r="I2352" s="19">
        <v>2025</v>
      </c>
    </row>
    <row r="2353" spans="1:9" hidden="1" x14ac:dyDescent="0.3">
      <c r="A2353" s="16" t="s">
        <v>146</v>
      </c>
      <c r="B2353" s="16" t="s">
        <v>94</v>
      </c>
      <c r="C2353" s="15">
        <v>12</v>
      </c>
      <c r="D2353" s="17">
        <v>0</v>
      </c>
      <c r="E2353" s="17">
        <v>22822</v>
      </c>
      <c r="F2353" s="17">
        <v>22822</v>
      </c>
      <c r="G2353" s="18">
        <v>0</v>
      </c>
      <c r="H2353" s="10" t="str">
        <f t="shared" si="36"/>
        <v>COSTOS</v>
      </c>
      <c r="I2353" s="19">
        <v>2025</v>
      </c>
    </row>
    <row r="2354" spans="1:9" hidden="1" x14ac:dyDescent="0.3">
      <c r="A2354" s="16" t="s">
        <v>146</v>
      </c>
      <c r="B2354" s="16" t="s">
        <v>39</v>
      </c>
      <c r="C2354" s="15">
        <v>12</v>
      </c>
      <c r="D2354" s="17">
        <v>10721426</v>
      </c>
      <c r="E2354" s="17">
        <v>10671426</v>
      </c>
      <c r="F2354" s="17">
        <v>-50000</v>
      </c>
      <c r="G2354" s="18">
        <v>0.99533644125324383</v>
      </c>
      <c r="H2354" s="10" t="str">
        <f t="shared" si="36"/>
        <v>COSTOS</v>
      </c>
      <c r="I2354" s="19">
        <v>2025</v>
      </c>
    </row>
    <row r="2355" spans="1:9" hidden="1" x14ac:dyDescent="0.3">
      <c r="A2355" s="16" t="s">
        <v>146</v>
      </c>
      <c r="B2355" s="16" t="s">
        <v>24</v>
      </c>
      <c r="C2355" s="15">
        <v>12</v>
      </c>
      <c r="D2355" s="17">
        <v>800895</v>
      </c>
      <c r="E2355" s="17">
        <v>800895</v>
      </c>
      <c r="F2355" s="17">
        <v>0</v>
      </c>
      <c r="G2355" s="18">
        <v>1</v>
      </c>
      <c r="H2355" s="10" t="str">
        <f t="shared" si="36"/>
        <v>COSTOS</v>
      </c>
      <c r="I2355" s="19">
        <v>2025</v>
      </c>
    </row>
    <row r="2356" spans="1:9" hidden="1" x14ac:dyDescent="0.3">
      <c r="A2356" s="16" t="s">
        <v>146</v>
      </c>
      <c r="B2356" s="16" t="s">
        <v>27</v>
      </c>
      <c r="C2356" s="15">
        <v>12</v>
      </c>
      <c r="D2356" s="17">
        <v>1122419</v>
      </c>
      <c r="E2356" s="17">
        <v>1132309</v>
      </c>
      <c r="F2356" s="17">
        <v>9890</v>
      </c>
      <c r="G2356" s="18">
        <v>1.0088113262516047</v>
      </c>
      <c r="H2356" s="10" t="str">
        <f t="shared" si="36"/>
        <v>COSTOS</v>
      </c>
      <c r="I2356" s="19">
        <v>2025</v>
      </c>
    </row>
    <row r="2357" spans="1:9" hidden="1" x14ac:dyDescent="0.3">
      <c r="A2357" s="16" t="s">
        <v>146</v>
      </c>
      <c r="B2357" s="16" t="s">
        <v>28</v>
      </c>
      <c r="C2357" s="15">
        <v>12</v>
      </c>
      <c r="D2357" s="17">
        <v>435881</v>
      </c>
      <c r="E2357" s="17">
        <v>110250</v>
      </c>
      <c r="F2357" s="17">
        <v>-325631</v>
      </c>
      <c r="G2357" s="18">
        <v>0.25293600776358688</v>
      </c>
      <c r="H2357" s="10" t="str">
        <f t="shared" si="36"/>
        <v>COSTOS</v>
      </c>
      <c r="I2357" s="19">
        <v>2025</v>
      </c>
    </row>
    <row r="2358" spans="1:9" hidden="1" x14ac:dyDescent="0.3">
      <c r="A2358" s="16" t="s">
        <v>146</v>
      </c>
      <c r="B2358" s="16" t="s">
        <v>29</v>
      </c>
      <c r="C2358" s="15">
        <v>12</v>
      </c>
      <c r="D2358" s="17">
        <v>0</v>
      </c>
      <c r="E2358" s="17">
        <v>285000</v>
      </c>
      <c r="F2358" s="17">
        <v>285000</v>
      </c>
      <c r="G2358" s="18">
        <v>0</v>
      </c>
      <c r="H2358" s="10" t="str">
        <f t="shared" si="36"/>
        <v>COSTOS</v>
      </c>
      <c r="I2358" s="19">
        <v>2025</v>
      </c>
    </row>
    <row r="2359" spans="1:9" hidden="1" x14ac:dyDescent="0.3">
      <c r="A2359" s="16" t="s">
        <v>147</v>
      </c>
      <c r="B2359" s="16" t="s">
        <v>109</v>
      </c>
      <c r="C2359" s="15">
        <v>3</v>
      </c>
      <c r="D2359" s="17">
        <v>16994235</v>
      </c>
      <c r="E2359" s="17">
        <v>16994235</v>
      </c>
      <c r="F2359" s="17">
        <v>0</v>
      </c>
      <c r="G2359" s="18">
        <v>1</v>
      </c>
      <c r="H2359" s="10" t="str">
        <f t="shared" si="36"/>
        <v>COSTOS</v>
      </c>
      <c r="I2359" s="19">
        <v>2025</v>
      </c>
    </row>
    <row r="2360" spans="1:9" hidden="1" x14ac:dyDescent="0.3">
      <c r="A2360" s="16" t="s">
        <v>147</v>
      </c>
      <c r="B2360" s="16" t="s">
        <v>169</v>
      </c>
      <c r="C2360" s="15">
        <v>5</v>
      </c>
      <c r="D2360" s="17">
        <v>0</v>
      </c>
      <c r="E2360" s="17">
        <v>1229000</v>
      </c>
      <c r="F2360" s="17">
        <v>1229000</v>
      </c>
      <c r="G2360" s="18">
        <v>0</v>
      </c>
      <c r="H2360" s="10" t="str">
        <f t="shared" si="36"/>
        <v>COSTOS</v>
      </c>
      <c r="I2360" s="19">
        <v>2025</v>
      </c>
    </row>
    <row r="2361" spans="1:9" hidden="1" x14ac:dyDescent="0.3">
      <c r="A2361" s="16" t="s">
        <v>147</v>
      </c>
      <c r="B2361" s="16" t="s">
        <v>169</v>
      </c>
      <c r="C2361" s="15">
        <v>6</v>
      </c>
      <c r="D2361" s="17">
        <v>0</v>
      </c>
      <c r="E2361" s="17">
        <v>748000</v>
      </c>
      <c r="F2361" s="17">
        <v>748000</v>
      </c>
      <c r="G2361" s="18">
        <v>0</v>
      </c>
      <c r="H2361" s="10" t="str">
        <f t="shared" si="36"/>
        <v>COSTOS</v>
      </c>
      <c r="I2361" s="19">
        <v>2025</v>
      </c>
    </row>
    <row r="2362" spans="1:9" hidden="1" x14ac:dyDescent="0.3">
      <c r="A2362" s="16" t="s">
        <v>147</v>
      </c>
      <c r="B2362" s="16" t="s">
        <v>169</v>
      </c>
      <c r="C2362" s="15">
        <v>9</v>
      </c>
      <c r="D2362" s="17">
        <v>0</v>
      </c>
      <c r="E2362" s="17">
        <v>5242000</v>
      </c>
      <c r="F2362" s="17">
        <v>5242000</v>
      </c>
      <c r="G2362" s="18">
        <v>0</v>
      </c>
      <c r="H2362" s="10" t="str">
        <f t="shared" si="36"/>
        <v>COSTOS</v>
      </c>
      <c r="I2362" s="19">
        <v>2025</v>
      </c>
    </row>
    <row r="2363" spans="1:9" hidden="1" x14ac:dyDescent="0.3">
      <c r="A2363" s="16" t="s">
        <v>147</v>
      </c>
      <c r="B2363" s="16" t="s">
        <v>70</v>
      </c>
      <c r="C2363" s="15">
        <v>1</v>
      </c>
      <c r="D2363" s="17">
        <v>15306465</v>
      </c>
      <c r="E2363" s="17">
        <v>15306465</v>
      </c>
      <c r="F2363" s="17">
        <v>0</v>
      </c>
      <c r="G2363" s="18">
        <v>1</v>
      </c>
      <c r="H2363" s="10" t="str">
        <f t="shared" si="36"/>
        <v>COSTOS</v>
      </c>
      <c r="I2363" s="19">
        <v>2025</v>
      </c>
    </row>
    <row r="2364" spans="1:9" hidden="1" x14ac:dyDescent="0.3">
      <c r="A2364" s="16" t="s">
        <v>147</v>
      </c>
      <c r="B2364" s="16" t="s">
        <v>70</v>
      </c>
      <c r="C2364" s="15">
        <v>2</v>
      </c>
      <c r="D2364" s="17">
        <v>16116500</v>
      </c>
      <c r="E2364" s="17">
        <v>16116500</v>
      </c>
      <c r="F2364" s="17">
        <v>0</v>
      </c>
      <c r="G2364" s="18">
        <v>1</v>
      </c>
      <c r="H2364" s="10" t="str">
        <f t="shared" si="36"/>
        <v>COSTOS</v>
      </c>
      <c r="I2364" s="19">
        <v>2025</v>
      </c>
    </row>
    <row r="2365" spans="1:9" hidden="1" x14ac:dyDescent="0.3">
      <c r="A2365" s="16" t="s">
        <v>147</v>
      </c>
      <c r="B2365" s="16" t="s">
        <v>70</v>
      </c>
      <c r="C2365" s="15">
        <v>3</v>
      </c>
      <c r="D2365" s="17">
        <v>16116500</v>
      </c>
      <c r="E2365" s="17">
        <v>16116500</v>
      </c>
      <c r="F2365" s="17">
        <v>0</v>
      </c>
      <c r="G2365" s="18">
        <v>1</v>
      </c>
      <c r="H2365" s="10" t="str">
        <f t="shared" si="36"/>
        <v>COSTOS</v>
      </c>
      <c r="I2365" s="19">
        <v>2025</v>
      </c>
    </row>
    <row r="2366" spans="1:9" hidden="1" x14ac:dyDescent="0.3">
      <c r="A2366" s="16" t="s">
        <v>147</v>
      </c>
      <c r="B2366" s="16" t="s">
        <v>70</v>
      </c>
      <c r="C2366" s="15">
        <v>4</v>
      </c>
      <c r="D2366" s="17">
        <v>16116500</v>
      </c>
      <c r="E2366" s="17">
        <v>16116500</v>
      </c>
      <c r="F2366" s="17">
        <v>0</v>
      </c>
      <c r="G2366" s="18">
        <v>1</v>
      </c>
      <c r="H2366" s="10" t="str">
        <f t="shared" si="36"/>
        <v>COSTOS</v>
      </c>
      <c r="I2366" s="19">
        <v>2025</v>
      </c>
    </row>
    <row r="2367" spans="1:9" hidden="1" x14ac:dyDescent="0.3">
      <c r="A2367" s="16" t="s">
        <v>147</v>
      </c>
      <c r="B2367" s="16" t="s">
        <v>70</v>
      </c>
      <c r="C2367" s="15">
        <v>5</v>
      </c>
      <c r="D2367" s="17">
        <v>16116500</v>
      </c>
      <c r="E2367" s="17">
        <v>16116500</v>
      </c>
      <c r="F2367" s="17">
        <v>0</v>
      </c>
      <c r="G2367" s="18">
        <v>1</v>
      </c>
      <c r="H2367" s="10" t="str">
        <f t="shared" si="36"/>
        <v>COSTOS</v>
      </c>
      <c r="I2367" s="19">
        <v>2025</v>
      </c>
    </row>
    <row r="2368" spans="1:9" hidden="1" x14ac:dyDescent="0.3">
      <c r="A2368" s="16" t="s">
        <v>147</v>
      </c>
      <c r="B2368" s="16" t="s">
        <v>70</v>
      </c>
      <c r="C2368" s="15">
        <v>6</v>
      </c>
      <c r="D2368" s="17">
        <v>16116500</v>
      </c>
      <c r="E2368" s="17">
        <v>16116500</v>
      </c>
      <c r="F2368" s="17">
        <v>0</v>
      </c>
      <c r="G2368" s="18">
        <v>1</v>
      </c>
      <c r="H2368" s="10" t="str">
        <f t="shared" si="36"/>
        <v>COSTOS</v>
      </c>
      <c r="I2368" s="19">
        <v>2025</v>
      </c>
    </row>
    <row r="2369" spans="1:9" hidden="1" x14ac:dyDescent="0.3">
      <c r="A2369" s="16" t="s">
        <v>147</v>
      </c>
      <c r="B2369" s="16" t="s">
        <v>70</v>
      </c>
      <c r="C2369" s="15">
        <v>7</v>
      </c>
      <c r="D2369" s="17">
        <v>16116500</v>
      </c>
      <c r="E2369" s="17">
        <v>16116500</v>
      </c>
      <c r="F2369" s="17">
        <v>0</v>
      </c>
      <c r="G2369" s="18">
        <v>1</v>
      </c>
      <c r="H2369" s="10" t="str">
        <f t="shared" si="36"/>
        <v>COSTOS</v>
      </c>
      <c r="I2369" s="19">
        <v>2025</v>
      </c>
    </row>
    <row r="2370" spans="1:9" hidden="1" x14ac:dyDescent="0.3">
      <c r="A2370" s="16" t="s">
        <v>147</v>
      </c>
      <c r="B2370" s="16" t="s">
        <v>70</v>
      </c>
      <c r="C2370" s="15">
        <v>8</v>
      </c>
      <c r="D2370" s="17">
        <v>31116500</v>
      </c>
      <c r="E2370" s="17">
        <v>31116500</v>
      </c>
      <c r="F2370" s="17">
        <v>0</v>
      </c>
      <c r="G2370" s="18">
        <v>1</v>
      </c>
      <c r="H2370" s="10" t="str">
        <f t="shared" si="36"/>
        <v>COSTOS</v>
      </c>
      <c r="I2370" s="19">
        <v>2025</v>
      </c>
    </row>
    <row r="2371" spans="1:9" hidden="1" x14ac:dyDescent="0.3">
      <c r="A2371" s="16" t="s">
        <v>147</v>
      </c>
      <c r="B2371" s="16" t="s">
        <v>70</v>
      </c>
      <c r="C2371" s="15">
        <v>9</v>
      </c>
      <c r="D2371" s="17">
        <v>44463500</v>
      </c>
      <c r="E2371" s="17">
        <v>46116500</v>
      </c>
      <c r="F2371" s="17">
        <v>1653000</v>
      </c>
      <c r="G2371" s="18">
        <v>1.0371765605496643</v>
      </c>
      <c r="H2371" s="10" t="str">
        <f t="shared" ref="H2371:H2434" si="37">+IF(OR(A2371="ADMINISTRACION",A2371="COMERCIAL",A2371="COMERCIAL-EXPORTACIONES",A2371="LEASING DE LA BODEGA",A2371="LOGISTICA-SALIDA",A2371="OTROS GASTOS",A2371="BODEGA ALQUILADA", A2371="BODEGA CARTOPLAST", A2371="BODEGA CARTOPLAS", A2371= "GESTION HUMANA-OTROS GASTOS"),"GASTOS","COSTOS")</f>
        <v>COSTOS</v>
      </c>
      <c r="I2371" s="19">
        <v>2025</v>
      </c>
    </row>
    <row r="2372" spans="1:9" hidden="1" x14ac:dyDescent="0.3">
      <c r="A2372" s="16" t="s">
        <v>147</v>
      </c>
      <c r="B2372" s="16" t="s">
        <v>70</v>
      </c>
      <c r="C2372" s="15">
        <v>10</v>
      </c>
      <c r="D2372" s="17">
        <v>44463500</v>
      </c>
      <c r="E2372" s="17">
        <v>46116500</v>
      </c>
      <c r="F2372" s="17">
        <v>1653000</v>
      </c>
      <c r="G2372" s="18">
        <v>1.0371765605496643</v>
      </c>
      <c r="H2372" s="10" t="str">
        <f t="shared" si="37"/>
        <v>COSTOS</v>
      </c>
      <c r="I2372" s="19">
        <v>2025</v>
      </c>
    </row>
    <row r="2373" spans="1:9" hidden="1" x14ac:dyDescent="0.3">
      <c r="A2373" s="16" t="s">
        <v>147</v>
      </c>
      <c r="B2373" s="16" t="s">
        <v>71</v>
      </c>
      <c r="C2373" s="15">
        <v>1</v>
      </c>
      <c r="D2373" s="17">
        <v>4105265</v>
      </c>
      <c r="E2373" s="17">
        <v>4105265</v>
      </c>
      <c r="F2373" s="17">
        <v>0</v>
      </c>
      <c r="G2373" s="18">
        <v>1</v>
      </c>
      <c r="H2373" s="10" t="str">
        <f t="shared" si="37"/>
        <v>COSTOS</v>
      </c>
      <c r="I2373" s="19">
        <v>2025</v>
      </c>
    </row>
    <row r="2374" spans="1:9" hidden="1" x14ac:dyDescent="0.3">
      <c r="A2374" s="16" t="s">
        <v>147</v>
      </c>
      <c r="B2374" s="16" t="s">
        <v>71</v>
      </c>
      <c r="C2374" s="15">
        <v>2</v>
      </c>
      <c r="D2374" s="17">
        <v>4105265</v>
      </c>
      <c r="E2374" s="17">
        <v>4105265</v>
      </c>
      <c r="F2374" s="17">
        <v>0</v>
      </c>
      <c r="G2374" s="18">
        <v>1</v>
      </c>
      <c r="H2374" s="10" t="str">
        <f t="shared" si="37"/>
        <v>COSTOS</v>
      </c>
      <c r="I2374" s="19">
        <v>2025</v>
      </c>
    </row>
    <row r="2375" spans="1:9" hidden="1" x14ac:dyDescent="0.3">
      <c r="A2375" s="16" t="s">
        <v>147</v>
      </c>
      <c r="B2375" s="16" t="s">
        <v>71</v>
      </c>
      <c r="C2375" s="15">
        <v>3</v>
      </c>
      <c r="D2375" s="17">
        <v>4105265</v>
      </c>
      <c r="E2375" s="17">
        <v>4105265</v>
      </c>
      <c r="F2375" s="17">
        <v>0</v>
      </c>
      <c r="G2375" s="18">
        <v>1</v>
      </c>
      <c r="H2375" s="10" t="str">
        <f t="shared" si="37"/>
        <v>COSTOS</v>
      </c>
      <c r="I2375" s="19">
        <v>2025</v>
      </c>
    </row>
    <row r="2376" spans="1:9" hidden="1" x14ac:dyDescent="0.3">
      <c r="A2376" s="16" t="s">
        <v>147</v>
      </c>
      <c r="B2376" s="16" t="s">
        <v>71</v>
      </c>
      <c r="C2376" s="15">
        <v>4</v>
      </c>
      <c r="D2376" s="17">
        <v>4105265</v>
      </c>
      <c r="E2376" s="17">
        <v>4105265</v>
      </c>
      <c r="F2376" s="17">
        <v>0</v>
      </c>
      <c r="G2376" s="18">
        <v>1</v>
      </c>
      <c r="H2376" s="10" t="str">
        <f t="shared" si="37"/>
        <v>COSTOS</v>
      </c>
      <c r="I2376" s="19">
        <v>2025</v>
      </c>
    </row>
    <row r="2377" spans="1:9" hidden="1" x14ac:dyDescent="0.3">
      <c r="A2377" s="16" t="s">
        <v>147</v>
      </c>
      <c r="B2377" s="16" t="s">
        <v>71</v>
      </c>
      <c r="C2377" s="15">
        <v>5</v>
      </c>
      <c r="D2377" s="17">
        <v>4105265</v>
      </c>
      <c r="E2377" s="17">
        <v>4105265</v>
      </c>
      <c r="F2377" s="17">
        <v>0</v>
      </c>
      <c r="G2377" s="18">
        <v>1</v>
      </c>
      <c r="H2377" s="10" t="str">
        <f t="shared" si="37"/>
        <v>COSTOS</v>
      </c>
      <c r="I2377" s="19">
        <v>2025</v>
      </c>
    </row>
    <row r="2378" spans="1:9" hidden="1" x14ac:dyDescent="0.3">
      <c r="A2378" s="16" t="s">
        <v>147</v>
      </c>
      <c r="B2378" s="16" t="s">
        <v>71</v>
      </c>
      <c r="C2378" s="15">
        <v>6</v>
      </c>
      <c r="D2378" s="17">
        <v>4105265</v>
      </c>
      <c r="E2378" s="17">
        <v>4105265</v>
      </c>
      <c r="F2378" s="17">
        <v>0</v>
      </c>
      <c r="G2378" s="18">
        <v>1</v>
      </c>
      <c r="H2378" s="10" t="str">
        <f t="shared" si="37"/>
        <v>COSTOS</v>
      </c>
      <c r="I2378" s="19">
        <v>2025</v>
      </c>
    </row>
    <row r="2379" spans="1:9" hidden="1" x14ac:dyDescent="0.3">
      <c r="A2379" s="16" t="s">
        <v>147</v>
      </c>
      <c r="B2379" s="16" t="s">
        <v>71</v>
      </c>
      <c r="C2379" s="15">
        <v>7</v>
      </c>
      <c r="D2379" s="17">
        <v>4105265</v>
      </c>
      <c r="E2379" s="17">
        <v>4105265</v>
      </c>
      <c r="F2379" s="17">
        <v>0</v>
      </c>
      <c r="G2379" s="18">
        <v>1</v>
      </c>
      <c r="H2379" s="10" t="str">
        <f t="shared" si="37"/>
        <v>COSTOS</v>
      </c>
      <c r="I2379" s="19">
        <v>2025</v>
      </c>
    </row>
    <row r="2380" spans="1:9" hidden="1" x14ac:dyDescent="0.3">
      <c r="A2380" s="16" t="s">
        <v>147</v>
      </c>
      <c r="B2380" s="16" t="s">
        <v>71</v>
      </c>
      <c r="C2380" s="15">
        <v>8</v>
      </c>
      <c r="D2380" s="17">
        <v>4105265</v>
      </c>
      <c r="E2380" s="17">
        <v>4105265</v>
      </c>
      <c r="F2380" s="17">
        <v>0</v>
      </c>
      <c r="G2380" s="18">
        <v>1</v>
      </c>
      <c r="H2380" s="10" t="str">
        <f t="shared" si="37"/>
        <v>COSTOS</v>
      </c>
      <c r="I2380" s="19">
        <v>2025</v>
      </c>
    </row>
    <row r="2381" spans="1:9" hidden="1" x14ac:dyDescent="0.3">
      <c r="A2381" s="16" t="s">
        <v>147</v>
      </c>
      <c r="B2381" s="16" t="s">
        <v>71</v>
      </c>
      <c r="C2381" s="15">
        <v>9</v>
      </c>
      <c r="D2381" s="17">
        <v>4105265</v>
      </c>
      <c r="E2381" s="17">
        <v>4105265</v>
      </c>
      <c r="F2381" s="17">
        <v>0</v>
      </c>
      <c r="G2381" s="18">
        <v>1</v>
      </c>
      <c r="H2381" s="10" t="str">
        <f t="shared" si="37"/>
        <v>COSTOS</v>
      </c>
      <c r="I2381" s="19">
        <v>2025</v>
      </c>
    </row>
    <row r="2382" spans="1:9" hidden="1" x14ac:dyDescent="0.3">
      <c r="A2382" s="16" t="s">
        <v>147</v>
      </c>
      <c r="B2382" s="16" t="s">
        <v>71</v>
      </c>
      <c r="C2382" s="15">
        <v>10</v>
      </c>
      <c r="D2382" s="17">
        <v>4105265</v>
      </c>
      <c r="E2382" s="17">
        <v>4105265</v>
      </c>
      <c r="F2382" s="17">
        <v>0</v>
      </c>
      <c r="G2382" s="18">
        <v>1</v>
      </c>
      <c r="H2382" s="10" t="str">
        <f t="shared" si="37"/>
        <v>COSTOS</v>
      </c>
      <c r="I2382" s="19">
        <v>2025</v>
      </c>
    </row>
    <row r="2383" spans="1:9" hidden="1" x14ac:dyDescent="0.3">
      <c r="A2383" s="16" t="s">
        <v>147</v>
      </c>
      <c r="B2383" s="16" t="s">
        <v>14</v>
      </c>
      <c r="C2383" s="15">
        <v>1</v>
      </c>
      <c r="D2383" s="17">
        <v>0</v>
      </c>
      <c r="E2383" s="17">
        <v>146361</v>
      </c>
      <c r="F2383" s="17">
        <v>146361</v>
      </c>
      <c r="G2383" s="18">
        <v>0</v>
      </c>
      <c r="H2383" s="10" t="str">
        <f t="shared" si="37"/>
        <v>COSTOS</v>
      </c>
      <c r="I2383" s="19">
        <v>2025</v>
      </c>
    </row>
    <row r="2384" spans="1:9" hidden="1" x14ac:dyDescent="0.3">
      <c r="A2384" s="16" t="s">
        <v>147</v>
      </c>
      <c r="B2384" s="16" t="s">
        <v>14</v>
      </c>
      <c r="C2384" s="15">
        <v>2</v>
      </c>
      <c r="D2384" s="17">
        <v>0</v>
      </c>
      <c r="E2384" s="17">
        <v>260361</v>
      </c>
      <c r="F2384" s="17">
        <v>260361</v>
      </c>
      <c r="G2384" s="18">
        <v>0</v>
      </c>
      <c r="H2384" s="10" t="str">
        <f t="shared" si="37"/>
        <v>COSTOS</v>
      </c>
      <c r="I2384" s="19">
        <v>2025</v>
      </c>
    </row>
    <row r="2385" spans="1:9" hidden="1" x14ac:dyDescent="0.3">
      <c r="A2385" s="16" t="s">
        <v>147</v>
      </c>
      <c r="B2385" s="16" t="s">
        <v>14</v>
      </c>
      <c r="C2385" s="15">
        <v>3</v>
      </c>
      <c r="D2385" s="17">
        <v>696402.9</v>
      </c>
      <c r="E2385" s="17">
        <v>199261</v>
      </c>
      <c r="F2385" s="17">
        <v>-497141.9</v>
      </c>
      <c r="G2385" s="18">
        <v>0.28612890612603709</v>
      </c>
      <c r="H2385" s="10" t="str">
        <f t="shared" si="37"/>
        <v>COSTOS</v>
      </c>
      <c r="I2385" s="19">
        <v>2025</v>
      </c>
    </row>
    <row r="2386" spans="1:9" hidden="1" x14ac:dyDescent="0.3">
      <c r="A2386" s="16" t="s">
        <v>147</v>
      </c>
      <c r="B2386" s="16" t="s">
        <v>14</v>
      </c>
      <c r="C2386" s="15">
        <v>4</v>
      </c>
      <c r="D2386" s="17">
        <v>120466.9</v>
      </c>
      <c r="E2386" s="17">
        <v>179161</v>
      </c>
      <c r="F2386" s="17">
        <v>58694.1</v>
      </c>
      <c r="G2386" s="18">
        <v>1.4872218011752607</v>
      </c>
      <c r="H2386" s="10" t="str">
        <f t="shared" si="37"/>
        <v>COSTOS</v>
      </c>
      <c r="I2386" s="19">
        <v>2025</v>
      </c>
    </row>
    <row r="2387" spans="1:9" hidden="1" x14ac:dyDescent="0.3">
      <c r="A2387" s="16" t="s">
        <v>147</v>
      </c>
      <c r="B2387" s="16" t="s">
        <v>14</v>
      </c>
      <c r="C2387" s="15">
        <v>5</v>
      </c>
      <c r="D2387" s="17">
        <v>22844.9</v>
      </c>
      <c r="E2387" s="17">
        <v>386361</v>
      </c>
      <c r="F2387" s="17">
        <v>363516.1</v>
      </c>
      <c r="G2387" s="18">
        <v>16.912352428769658</v>
      </c>
      <c r="H2387" s="10" t="str">
        <f t="shared" si="37"/>
        <v>COSTOS</v>
      </c>
      <c r="I2387" s="19">
        <v>2025</v>
      </c>
    </row>
    <row r="2388" spans="1:9" hidden="1" x14ac:dyDescent="0.3">
      <c r="A2388" s="16" t="s">
        <v>147</v>
      </c>
      <c r="B2388" s="16" t="s">
        <v>14</v>
      </c>
      <c r="C2388" s="15">
        <v>6</v>
      </c>
      <c r="D2388" s="17">
        <v>696402.9</v>
      </c>
      <c r="E2388" s="17">
        <v>146361</v>
      </c>
      <c r="F2388" s="17">
        <v>-550041.9</v>
      </c>
      <c r="G2388" s="18">
        <v>0.2101671316991931</v>
      </c>
      <c r="H2388" s="10" t="str">
        <f t="shared" si="37"/>
        <v>COSTOS</v>
      </c>
      <c r="I2388" s="19">
        <v>2025</v>
      </c>
    </row>
    <row r="2389" spans="1:9" hidden="1" x14ac:dyDescent="0.3">
      <c r="A2389" s="16" t="s">
        <v>147</v>
      </c>
      <c r="B2389" s="16" t="s">
        <v>14</v>
      </c>
      <c r="C2389" s="15">
        <v>7</v>
      </c>
      <c r="D2389" s="17">
        <v>250844.9</v>
      </c>
      <c r="E2389" s="17">
        <v>146361</v>
      </c>
      <c r="F2389" s="17">
        <v>-104483.9</v>
      </c>
      <c r="G2389" s="18">
        <v>0.58347209769861774</v>
      </c>
      <c r="H2389" s="10" t="str">
        <f t="shared" si="37"/>
        <v>COSTOS</v>
      </c>
      <c r="I2389" s="19">
        <v>2025</v>
      </c>
    </row>
    <row r="2390" spans="1:9" hidden="1" x14ac:dyDescent="0.3">
      <c r="A2390" s="16" t="s">
        <v>147</v>
      </c>
      <c r="B2390" s="16" t="s">
        <v>14</v>
      </c>
      <c r="C2390" s="15">
        <v>8</v>
      </c>
      <c r="D2390" s="17">
        <v>120466.9</v>
      </c>
      <c r="E2390" s="17">
        <v>360831</v>
      </c>
      <c r="F2390" s="17">
        <v>240364.1</v>
      </c>
      <c r="G2390" s="18">
        <v>2.9952709001393747</v>
      </c>
      <c r="H2390" s="10" t="str">
        <f t="shared" si="37"/>
        <v>COSTOS</v>
      </c>
      <c r="I2390" s="19">
        <v>2025</v>
      </c>
    </row>
    <row r="2391" spans="1:9" hidden="1" x14ac:dyDescent="0.3">
      <c r="A2391" s="16" t="s">
        <v>147</v>
      </c>
      <c r="B2391" s="16" t="s">
        <v>14</v>
      </c>
      <c r="C2391" s="15">
        <v>9</v>
      </c>
      <c r="D2391" s="17">
        <v>696402.9</v>
      </c>
      <c r="E2391" s="17">
        <v>337611</v>
      </c>
      <c r="F2391" s="17">
        <v>-358791.9</v>
      </c>
      <c r="G2391" s="18">
        <v>0.48479263943329359</v>
      </c>
      <c r="H2391" s="10" t="str">
        <f t="shared" si="37"/>
        <v>COSTOS</v>
      </c>
      <c r="I2391" s="19">
        <v>2025</v>
      </c>
    </row>
    <row r="2392" spans="1:9" hidden="1" x14ac:dyDescent="0.3">
      <c r="A2392" s="16" t="s">
        <v>147</v>
      </c>
      <c r="B2392" s="16" t="s">
        <v>14</v>
      </c>
      <c r="C2392" s="15">
        <v>10</v>
      </c>
      <c r="D2392" s="17">
        <v>250844.9</v>
      </c>
      <c r="E2392" s="17">
        <v>146361</v>
      </c>
      <c r="F2392" s="17">
        <v>-104483.9</v>
      </c>
      <c r="G2392" s="18">
        <v>0.58347209769861774</v>
      </c>
      <c r="H2392" s="10" t="str">
        <f t="shared" si="37"/>
        <v>COSTOS</v>
      </c>
      <c r="I2392" s="19">
        <v>2025</v>
      </c>
    </row>
    <row r="2393" spans="1:9" hidden="1" x14ac:dyDescent="0.3">
      <c r="A2393" s="16" t="s">
        <v>147</v>
      </c>
      <c r="B2393" s="16" t="s">
        <v>72</v>
      </c>
      <c r="C2393" s="15">
        <v>1</v>
      </c>
      <c r="D2393" s="17">
        <v>3930942</v>
      </c>
      <c r="E2393" s="17">
        <v>3930942</v>
      </c>
      <c r="F2393" s="17">
        <v>0</v>
      </c>
      <c r="G2393" s="18">
        <v>1</v>
      </c>
      <c r="H2393" s="10" t="str">
        <f t="shared" si="37"/>
        <v>COSTOS</v>
      </c>
      <c r="I2393" s="19">
        <v>2025</v>
      </c>
    </row>
    <row r="2394" spans="1:9" hidden="1" x14ac:dyDescent="0.3">
      <c r="A2394" s="16" t="s">
        <v>147</v>
      </c>
      <c r="B2394" s="16" t="s">
        <v>72</v>
      </c>
      <c r="C2394" s="15">
        <v>2</v>
      </c>
      <c r="D2394" s="17">
        <v>5913022</v>
      </c>
      <c r="E2394" s="17">
        <v>5913022</v>
      </c>
      <c r="F2394" s="17">
        <v>0</v>
      </c>
      <c r="G2394" s="18">
        <v>1</v>
      </c>
      <c r="H2394" s="10" t="str">
        <f t="shared" si="37"/>
        <v>COSTOS</v>
      </c>
      <c r="I2394" s="19">
        <v>2025</v>
      </c>
    </row>
    <row r="2395" spans="1:9" hidden="1" x14ac:dyDescent="0.3">
      <c r="A2395" s="16" t="s">
        <v>147</v>
      </c>
      <c r="B2395" s="16" t="s">
        <v>72</v>
      </c>
      <c r="C2395" s="15">
        <v>3</v>
      </c>
      <c r="D2395" s="17">
        <v>3788071</v>
      </c>
      <c r="E2395" s="17">
        <v>4365419</v>
      </c>
      <c r="F2395" s="17">
        <v>577348</v>
      </c>
      <c r="G2395" s="18">
        <v>1.1524121379984695</v>
      </c>
      <c r="H2395" s="10" t="str">
        <f t="shared" si="37"/>
        <v>COSTOS</v>
      </c>
      <c r="I2395" s="19">
        <v>2025</v>
      </c>
    </row>
    <row r="2396" spans="1:9" hidden="1" x14ac:dyDescent="0.3">
      <c r="A2396" s="16" t="s">
        <v>147</v>
      </c>
      <c r="B2396" s="16" t="s">
        <v>72</v>
      </c>
      <c r="C2396" s="15">
        <v>4</v>
      </c>
      <c r="D2396" s="17">
        <v>2978743</v>
      </c>
      <c r="E2396" s="17">
        <v>4610801</v>
      </c>
      <c r="F2396" s="17">
        <v>1632058</v>
      </c>
      <c r="G2396" s="18">
        <v>1.5479015813045973</v>
      </c>
      <c r="H2396" s="10" t="str">
        <f t="shared" si="37"/>
        <v>COSTOS</v>
      </c>
      <c r="I2396" s="19">
        <v>2025</v>
      </c>
    </row>
    <row r="2397" spans="1:9" hidden="1" x14ac:dyDescent="0.3">
      <c r="A2397" s="16" t="s">
        <v>147</v>
      </c>
      <c r="B2397" s="16" t="s">
        <v>72</v>
      </c>
      <c r="C2397" s="15">
        <v>5</v>
      </c>
      <c r="D2397" s="17">
        <v>3524138</v>
      </c>
      <c r="E2397" s="17">
        <v>4919177</v>
      </c>
      <c r="F2397" s="17">
        <v>1395039</v>
      </c>
      <c r="G2397" s="18">
        <v>1.3958525460694218</v>
      </c>
      <c r="H2397" s="10" t="str">
        <f t="shared" si="37"/>
        <v>COSTOS</v>
      </c>
      <c r="I2397" s="19">
        <v>2025</v>
      </c>
    </row>
    <row r="2398" spans="1:9" hidden="1" x14ac:dyDescent="0.3">
      <c r="A2398" s="16" t="s">
        <v>147</v>
      </c>
      <c r="B2398" s="16" t="s">
        <v>72</v>
      </c>
      <c r="C2398" s="15">
        <v>6</v>
      </c>
      <c r="D2398" s="17">
        <v>3679946</v>
      </c>
      <c r="E2398" s="17">
        <v>5044105</v>
      </c>
      <c r="F2398" s="17">
        <v>1364159</v>
      </c>
      <c r="G2398" s="18">
        <v>1.3707008200663815</v>
      </c>
      <c r="H2398" s="10" t="str">
        <f t="shared" si="37"/>
        <v>COSTOS</v>
      </c>
      <c r="I2398" s="19">
        <v>2025</v>
      </c>
    </row>
    <row r="2399" spans="1:9" hidden="1" x14ac:dyDescent="0.3">
      <c r="A2399" s="16" t="s">
        <v>147</v>
      </c>
      <c r="B2399" s="16" t="s">
        <v>72</v>
      </c>
      <c r="C2399" s="15">
        <v>7</v>
      </c>
      <c r="D2399" s="17">
        <v>3331049</v>
      </c>
      <c r="E2399" s="17">
        <v>4676834</v>
      </c>
      <c r="F2399" s="17">
        <v>1345785</v>
      </c>
      <c r="G2399" s="18">
        <v>1.4040123696769398</v>
      </c>
      <c r="H2399" s="10" t="str">
        <f t="shared" si="37"/>
        <v>COSTOS</v>
      </c>
      <c r="I2399" s="19">
        <v>2025</v>
      </c>
    </row>
    <row r="2400" spans="1:9" hidden="1" x14ac:dyDescent="0.3">
      <c r="A2400" s="16" t="s">
        <v>147</v>
      </c>
      <c r="B2400" s="16" t="s">
        <v>72</v>
      </c>
      <c r="C2400" s="15">
        <v>8</v>
      </c>
      <c r="D2400" s="17">
        <v>3527290</v>
      </c>
      <c r="E2400" s="17">
        <v>4402909</v>
      </c>
      <c r="F2400" s="17">
        <v>875619</v>
      </c>
      <c r="G2400" s="18">
        <v>1.2482412843854631</v>
      </c>
      <c r="H2400" s="10" t="str">
        <f t="shared" si="37"/>
        <v>COSTOS</v>
      </c>
      <c r="I2400" s="19">
        <v>2025</v>
      </c>
    </row>
    <row r="2401" spans="1:9" hidden="1" x14ac:dyDescent="0.3">
      <c r="A2401" s="16" t="s">
        <v>147</v>
      </c>
      <c r="B2401" s="16" t="s">
        <v>72</v>
      </c>
      <c r="C2401" s="15">
        <v>9</v>
      </c>
      <c r="D2401" s="17">
        <v>3686203</v>
      </c>
      <c r="E2401" s="17">
        <v>4825239</v>
      </c>
      <c r="F2401" s="17">
        <v>1139036</v>
      </c>
      <c r="G2401" s="18">
        <v>1.3089998027780891</v>
      </c>
      <c r="H2401" s="10" t="str">
        <f t="shared" si="37"/>
        <v>COSTOS</v>
      </c>
      <c r="I2401" s="19">
        <v>2025</v>
      </c>
    </row>
    <row r="2402" spans="1:9" hidden="1" x14ac:dyDescent="0.3">
      <c r="A2402" s="16" t="s">
        <v>147</v>
      </c>
      <c r="B2402" s="16" t="s">
        <v>72</v>
      </c>
      <c r="C2402" s="15">
        <v>10</v>
      </c>
      <c r="D2402" s="17">
        <v>3595898</v>
      </c>
      <c r="E2402" s="17">
        <v>5343697</v>
      </c>
      <c r="F2402" s="17">
        <v>1747799</v>
      </c>
      <c r="G2402" s="18">
        <v>1.4860535532431676</v>
      </c>
      <c r="H2402" s="10" t="str">
        <f t="shared" si="37"/>
        <v>COSTOS</v>
      </c>
      <c r="I2402" s="19">
        <v>2025</v>
      </c>
    </row>
    <row r="2403" spans="1:9" hidden="1" x14ac:dyDescent="0.3">
      <c r="A2403" s="16" t="s">
        <v>147</v>
      </c>
      <c r="B2403" s="16" t="s">
        <v>73</v>
      </c>
      <c r="C2403" s="15">
        <v>1</v>
      </c>
      <c r="D2403" s="17">
        <v>13865624</v>
      </c>
      <c r="E2403" s="17">
        <v>13865624</v>
      </c>
      <c r="F2403" s="17">
        <v>0</v>
      </c>
      <c r="G2403" s="18">
        <v>1</v>
      </c>
      <c r="H2403" s="10" t="str">
        <f t="shared" si="37"/>
        <v>COSTOS</v>
      </c>
      <c r="I2403" s="19">
        <v>2025</v>
      </c>
    </row>
    <row r="2404" spans="1:9" hidden="1" x14ac:dyDescent="0.3">
      <c r="A2404" s="16" t="s">
        <v>147</v>
      </c>
      <c r="B2404" s="16" t="s">
        <v>73</v>
      </c>
      <c r="C2404" s="15">
        <v>2</v>
      </c>
      <c r="D2404" s="17">
        <v>18067966</v>
      </c>
      <c r="E2404" s="17">
        <v>18067966</v>
      </c>
      <c r="F2404" s="17">
        <v>0</v>
      </c>
      <c r="G2404" s="18">
        <v>1</v>
      </c>
      <c r="H2404" s="10" t="str">
        <f t="shared" si="37"/>
        <v>COSTOS</v>
      </c>
      <c r="I2404" s="19">
        <v>2025</v>
      </c>
    </row>
    <row r="2405" spans="1:9" hidden="1" x14ac:dyDescent="0.3">
      <c r="A2405" s="16" t="s">
        <v>147</v>
      </c>
      <c r="B2405" s="16" t="s">
        <v>73</v>
      </c>
      <c r="C2405" s="15">
        <v>3</v>
      </c>
      <c r="D2405" s="17">
        <v>21980079</v>
      </c>
      <c r="E2405" s="17">
        <v>19040880</v>
      </c>
      <c r="F2405" s="17">
        <v>-2939199</v>
      </c>
      <c r="G2405" s="18">
        <v>0.86627896105377966</v>
      </c>
      <c r="H2405" s="10" t="str">
        <f t="shared" si="37"/>
        <v>COSTOS</v>
      </c>
      <c r="I2405" s="19">
        <v>2025</v>
      </c>
    </row>
    <row r="2406" spans="1:9" hidden="1" x14ac:dyDescent="0.3">
      <c r="A2406" s="16" t="s">
        <v>147</v>
      </c>
      <c r="B2406" s="16" t="s">
        <v>73</v>
      </c>
      <c r="C2406" s="15">
        <v>4</v>
      </c>
      <c r="D2406" s="17">
        <v>18830217</v>
      </c>
      <c r="E2406" s="17">
        <v>19695962</v>
      </c>
      <c r="F2406" s="17">
        <v>865745</v>
      </c>
      <c r="G2406" s="18">
        <v>1.0459763687269243</v>
      </c>
      <c r="H2406" s="10" t="str">
        <f t="shared" si="37"/>
        <v>COSTOS</v>
      </c>
      <c r="I2406" s="19">
        <v>2025</v>
      </c>
    </row>
    <row r="2407" spans="1:9" hidden="1" x14ac:dyDescent="0.3">
      <c r="A2407" s="16" t="s">
        <v>147</v>
      </c>
      <c r="B2407" s="16" t="s">
        <v>73</v>
      </c>
      <c r="C2407" s="15">
        <v>5</v>
      </c>
      <c r="D2407" s="17">
        <v>20769020</v>
      </c>
      <c r="E2407" s="17">
        <v>17333781</v>
      </c>
      <c r="F2407" s="17">
        <v>-3435239</v>
      </c>
      <c r="G2407" s="18">
        <v>0.83459792517894449</v>
      </c>
      <c r="H2407" s="10" t="str">
        <f t="shared" si="37"/>
        <v>COSTOS</v>
      </c>
      <c r="I2407" s="19">
        <v>2025</v>
      </c>
    </row>
    <row r="2408" spans="1:9" hidden="1" x14ac:dyDescent="0.3">
      <c r="A2408" s="16" t="s">
        <v>147</v>
      </c>
      <c r="B2408" s="16" t="s">
        <v>73</v>
      </c>
      <c r="C2408" s="15">
        <v>6</v>
      </c>
      <c r="D2408" s="17">
        <v>20611145</v>
      </c>
      <c r="E2408" s="17">
        <v>18281009</v>
      </c>
      <c r="F2408" s="17">
        <v>-2330136</v>
      </c>
      <c r="G2408" s="18">
        <v>0.8869477653958574</v>
      </c>
      <c r="H2408" s="10" t="str">
        <f t="shared" si="37"/>
        <v>COSTOS</v>
      </c>
      <c r="I2408" s="19">
        <v>2025</v>
      </c>
    </row>
    <row r="2409" spans="1:9" hidden="1" x14ac:dyDescent="0.3">
      <c r="A2409" s="16" t="s">
        <v>147</v>
      </c>
      <c r="B2409" s="16" t="s">
        <v>73</v>
      </c>
      <c r="C2409" s="15">
        <v>7</v>
      </c>
      <c r="D2409" s="17">
        <v>16514865</v>
      </c>
      <c r="E2409" s="17">
        <v>14431224</v>
      </c>
      <c r="F2409" s="17">
        <v>-2083641</v>
      </c>
      <c r="G2409" s="18">
        <v>0.87383239281701675</v>
      </c>
      <c r="H2409" s="10" t="str">
        <f t="shared" si="37"/>
        <v>COSTOS</v>
      </c>
      <c r="I2409" s="19">
        <v>2025</v>
      </c>
    </row>
    <row r="2410" spans="1:9" hidden="1" x14ac:dyDescent="0.3">
      <c r="A2410" s="16" t="s">
        <v>147</v>
      </c>
      <c r="B2410" s="16" t="s">
        <v>73</v>
      </c>
      <c r="C2410" s="15">
        <v>8</v>
      </c>
      <c r="D2410" s="17">
        <v>17371541</v>
      </c>
      <c r="E2410" s="17">
        <v>17322553</v>
      </c>
      <c r="F2410" s="17">
        <v>-48988</v>
      </c>
      <c r="G2410" s="18">
        <v>0.99717998535650931</v>
      </c>
      <c r="H2410" s="10" t="str">
        <f t="shared" si="37"/>
        <v>COSTOS</v>
      </c>
      <c r="I2410" s="19">
        <v>2025</v>
      </c>
    </row>
    <row r="2411" spans="1:9" hidden="1" x14ac:dyDescent="0.3">
      <c r="A2411" s="16" t="s">
        <v>147</v>
      </c>
      <c r="B2411" s="16" t="s">
        <v>73</v>
      </c>
      <c r="C2411" s="15">
        <v>9</v>
      </c>
      <c r="D2411" s="17">
        <v>19101785</v>
      </c>
      <c r="E2411" s="17">
        <v>18847545</v>
      </c>
      <c r="F2411" s="17">
        <v>-254240</v>
      </c>
      <c r="G2411" s="18">
        <v>0.98669024910499203</v>
      </c>
      <c r="H2411" s="10" t="str">
        <f t="shared" si="37"/>
        <v>COSTOS</v>
      </c>
      <c r="I2411" s="19">
        <v>2025</v>
      </c>
    </row>
    <row r="2412" spans="1:9" hidden="1" x14ac:dyDescent="0.3">
      <c r="A2412" s="16" t="s">
        <v>147</v>
      </c>
      <c r="B2412" s="16" t="s">
        <v>73</v>
      </c>
      <c r="C2412" s="15">
        <v>10</v>
      </c>
      <c r="D2412" s="17">
        <v>18033921</v>
      </c>
      <c r="E2412" s="17">
        <v>19320690</v>
      </c>
      <c r="F2412" s="17">
        <v>1286769</v>
      </c>
      <c r="G2412" s="18">
        <v>1.0713527024988077</v>
      </c>
      <c r="H2412" s="10" t="str">
        <f t="shared" si="37"/>
        <v>COSTOS</v>
      </c>
      <c r="I2412" s="19">
        <v>2025</v>
      </c>
    </row>
    <row r="2413" spans="1:9" hidden="1" x14ac:dyDescent="0.3">
      <c r="A2413" s="16" t="s">
        <v>147</v>
      </c>
      <c r="B2413" s="16" t="s">
        <v>16</v>
      </c>
      <c r="C2413" s="15">
        <v>1</v>
      </c>
      <c r="D2413" s="17">
        <v>93628</v>
      </c>
      <c r="E2413" s="17">
        <v>65500</v>
      </c>
      <c r="F2413" s="17">
        <v>-28128</v>
      </c>
      <c r="G2413" s="18">
        <v>0.6995770496005469</v>
      </c>
      <c r="H2413" s="10" t="str">
        <f t="shared" si="37"/>
        <v>COSTOS</v>
      </c>
      <c r="I2413" s="19">
        <v>2025</v>
      </c>
    </row>
    <row r="2414" spans="1:9" hidden="1" x14ac:dyDescent="0.3">
      <c r="A2414" s="16" t="s">
        <v>147</v>
      </c>
      <c r="B2414" s="16" t="s">
        <v>16</v>
      </c>
      <c r="C2414" s="15">
        <v>2</v>
      </c>
      <c r="D2414" s="17">
        <v>44184</v>
      </c>
      <c r="E2414" s="17">
        <v>25000</v>
      </c>
      <c r="F2414" s="17">
        <v>-19184</v>
      </c>
      <c r="G2414" s="18">
        <v>0.56581567988412096</v>
      </c>
      <c r="H2414" s="10" t="str">
        <f t="shared" si="37"/>
        <v>COSTOS</v>
      </c>
      <c r="I2414" s="19">
        <v>2025</v>
      </c>
    </row>
    <row r="2415" spans="1:9" hidden="1" x14ac:dyDescent="0.3">
      <c r="A2415" s="16" t="s">
        <v>147</v>
      </c>
      <c r="B2415" s="16" t="s">
        <v>16</v>
      </c>
      <c r="C2415" s="15">
        <v>3</v>
      </c>
      <c r="D2415" s="17">
        <v>201984</v>
      </c>
      <c r="E2415" s="17">
        <v>34681</v>
      </c>
      <c r="F2415" s="17">
        <v>-167303</v>
      </c>
      <c r="G2415" s="18">
        <v>0.17170171894803549</v>
      </c>
      <c r="H2415" s="10" t="str">
        <f t="shared" si="37"/>
        <v>COSTOS</v>
      </c>
      <c r="I2415" s="19">
        <v>2025</v>
      </c>
    </row>
    <row r="2416" spans="1:9" hidden="1" x14ac:dyDescent="0.3">
      <c r="A2416" s="16" t="s">
        <v>147</v>
      </c>
      <c r="B2416" s="16" t="s">
        <v>16</v>
      </c>
      <c r="C2416" s="15">
        <v>4</v>
      </c>
      <c r="D2416" s="17">
        <v>2552203</v>
      </c>
      <c r="E2416" s="17">
        <v>0</v>
      </c>
      <c r="F2416" s="17">
        <v>-2552203</v>
      </c>
      <c r="G2416" s="18">
        <v>0</v>
      </c>
      <c r="H2416" s="10" t="str">
        <f t="shared" si="37"/>
        <v>COSTOS</v>
      </c>
      <c r="I2416" s="19">
        <v>2025</v>
      </c>
    </row>
    <row r="2417" spans="1:9" hidden="1" x14ac:dyDescent="0.3">
      <c r="A2417" s="16" t="s">
        <v>147</v>
      </c>
      <c r="B2417" s="16" t="s">
        <v>16</v>
      </c>
      <c r="C2417" s="15">
        <v>5</v>
      </c>
      <c r="D2417" s="17">
        <v>87631</v>
      </c>
      <c r="E2417" s="17">
        <v>0</v>
      </c>
      <c r="F2417" s="17">
        <v>-87631</v>
      </c>
      <c r="G2417" s="18">
        <v>0</v>
      </c>
      <c r="H2417" s="10" t="str">
        <f t="shared" si="37"/>
        <v>COSTOS</v>
      </c>
      <c r="I2417" s="19">
        <v>2025</v>
      </c>
    </row>
    <row r="2418" spans="1:9" hidden="1" x14ac:dyDescent="0.3">
      <c r="A2418" s="16" t="s">
        <v>147</v>
      </c>
      <c r="B2418" s="16" t="s">
        <v>16</v>
      </c>
      <c r="C2418" s="15">
        <v>6</v>
      </c>
      <c r="D2418" s="17">
        <v>281304</v>
      </c>
      <c r="E2418" s="17">
        <v>14000</v>
      </c>
      <c r="F2418" s="17">
        <v>-267304</v>
      </c>
      <c r="G2418" s="18">
        <v>4.9768222279100195E-2</v>
      </c>
      <c r="H2418" s="10" t="str">
        <f t="shared" si="37"/>
        <v>COSTOS</v>
      </c>
      <c r="I2418" s="19">
        <v>2025</v>
      </c>
    </row>
    <row r="2419" spans="1:9" hidden="1" x14ac:dyDescent="0.3">
      <c r="A2419" s="16" t="s">
        <v>147</v>
      </c>
      <c r="B2419" s="16" t="s">
        <v>16</v>
      </c>
      <c r="C2419" s="15">
        <v>7</v>
      </c>
      <c r="D2419" s="17">
        <v>254821</v>
      </c>
      <c r="E2419" s="17">
        <v>72200</v>
      </c>
      <c r="F2419" s="17">
        <v>-182621</v>
      </c>
      <c r="G2419" s="18">
        <v>0.28333614576506649</v>
      </c>
      <c r="H2419" s="10" t="str">
        <f t="shared" si="37"/>
        <v>COSTOS</v>
      </c>
      <c r="I2419" s="19">
        <v>2025</v>
      </c>
    </row>
    <row r="2420" spans="1:9" hidden="1" x14ac:dyDescent="0.3">
      <c r="A2420" s="16" t="s">
        <v>147</v>
      </c>
      <c r="B2420" s="16" t="s">
        <v>16</v>
      </c>
      <c r="C2420" s="15">
        <v>8</v>
      </c>
      <c r="D2420" s="17">
        <v>94543</v>
      </c>
      <c r="E2420" s="17">
        <v>0</v>
      </c>
      <c r="F2420" s="17">
        <v>-94543</v>
      </c>
      <c r="G2420" s="18">
        <v>0</v>
      </c>
      <c r="H2420" s="10" t="str">
        <f t="shared" si="37"/>
        <v>COSTOS</v>
      </c>
      <c r="I2420" s="19">
        <v>2025</v>
      </c>
    </row>
    <row r="2421" spans="1:9" hidden="1" x14ac:dyDescent="0.3">
      <c r="A2421" s="16" t="s">
        <v>147</v>
      </c>
      <c r="B2421" s="16" t="s">
        <v>16</v>
      </c>
      <c r="C2421" s="15">
        <v>9</v>
      </c>
      <c r="D2421" s="17">
        <v>95396</v>
      </c>
      <c r="E2421" s="17">
        <v>250900</v>
      </c>
      <c r="F2421" s="17">
        <v>155504</v>
      </c>
      <c r="G2421" s="18">
        <v>2.6300893119208353</v>
      </c>
      <c r="H2421" s="10" t="str">
        <f t="shared" si="37"/>
        <v>COSTOS</v>
      </c>
      <c r="I2421" s="19">
        <v>2025</v>
      </c>
    </row>
    <row r="2422" spans="1:9" hidden="1" x14ac:dyDescent="0.3">
      <c r="A2422" s="16" t="s">
        <v>147</v>
      </c>
      <c r="B2422" s="16" t="s">
        <v>16</v>
      </c>
      <c r="C2422" s="15">
        <v>10</v>
      </c>
      <c r="D2422" s="17">
        <v>315495</v>
      </c>
      <c r="E2422" s="17">
        <v>31000</v>
      </c>
      <c r="F2422" s="17">
        <v>-284495</v>
      </c>
      <c r="G2422" s="18">
        <v>9.825829252444572E-2</v>
      </c>
      <c r="H2422" s="10" t="str">
        <f t="shared" si="37"/>
        <v>COSTOS</v>
      </c>
      <c r="I2422" s="19">
        <v>2025</v>
      </c>
    </row>
    <row r="2423" spans="1:9" hidden="1" x14ac:dyDescent="0.3">
      <c r="A2423" s="16" t="s">
        <v>147</v>
      </c>
      <c r="B2423" s="16" t="s">
        <v>74</v>
      </c>
      <c r="C2423" s="15">
        <v>1</v>
      </c>
      <c r="D2423" s="17">
        <v>4589163</v>
      </c>
      <c r="E2423" s="17">
        <v>4589163</v>
      </c>
      <c r="F2423" s="17">
        <v>0</v>
      </c>
      <c r="G2423" s="18">
        <v>1</v>
      </c>
      <c r="H2423" s="10" t="str">
        <f t="shared" si="37"/>
        <v>COSTOS</v>
      </c>
      <c r="I2423" s="19">
        <v>2025</v>
      </c>
    </row>
    <row r="2424" spans="1:9" hidden="1" x14ac:dyDescent="0.3">
      <c r="A2424" s="16" t="s">
        <v>147</v>
      </c>
      <c r="B2424" s="16" t="s">
        <v>74</v>
      </c>
      <c r="C2424" s="15">
        <v>2</v>
      </c>
      <c r="D2424" s="17">
        <v>7825604</v>
      </c>
      <c r="E2424" s="17">
        <v>7825604</v>
      </c>
      <c r="F2424" s="17">
        <v>0</v>
      </c>
      <c r="G2424" s="18">
        <v>1</v>
      </c>
      <c r="H2424" s="10" t="str">
        <f t="shared" si="37"/>
        <v>COSTOS</v>
      </c>
      <c r="I2424" s="19">
        <v>2025</v>
      </c>
    </row>
    <row r="2425" spans="1:9" hidden="1" x14ac:dyDescent="0.3">
      <c r="A2425" s="16" t="s">
        <v>147</v>
      </c>
      <c r="B2425" s="16" t="s">
        <v>74</v>
      </c>
      <c r="C2425" s="15">
        <v>3</v>
      </c>
      <c r="D2425" s="17">
        <v>7515057</v>
      </c>
      <c r="E2425" s="17">
        <v>8416262</v>
      </c>
      <c r="F2425" s="17">
        <v>901205</v>
      </c>
      <c r="G2425" s="18">
        <v>1.1199199154444206</v>
      </c>
      <c r="H2425" s="10" t="str">
        <f t="shared" si="37"/>
        <v>COSTOS</v>
      </c>
      <c r="I2425" s="19">
        <v>2025</v>
      </c>
    </row>
    <row r="2426" spans="1:9" hidden="1" x14ac:dyDescent="0.3">
      <c r="A2426" s="16" t="s">
        <v>147</v>
      </c>
      <c r="B2426" s="16" t="s">
        <v>74</v>
      </c>
      <c r="C2426" s="15">
        <v>4</v>
      </c>
      <c r="D2426" s="17">
        <v>5747548</v>
      </c>
      <c r="E2426" s="17">
        <v>8345528</v>
      </c>
      <c r="F2426" s="17">
        <v>2597980</v>
      </c>
      <c r="G2426" s="18">
        <v>1.4520153637690369</v>
      </c>
      <c r="H2426" s="10" t="str">
        <f t="shared" si="37"/>
        <v>COSTOS</v>
      </c>
      <c r="I2426" s="19">
        <v>2025</v>
      </c>
    </row>
    <row r="2427" spans="1:9" hidden="1" x14ac:dyDescent="0.3">
      <c r="A2427" s="16" t="s">
        <v>147</v>
      </c>
      <c r="B2427" s="16" t="s">
        <v>74</v>
      </c>
      <c r="C2427" s="15">
        <v>5</v>
      </c>
      <c r="D2427" s="17">
        <v>6846835</v>
      </c>
      <c r="E2427" s="17">
        <v>7093857</v>
      </c>
      <c r="F2427" s="17">
        <v>247022</v>
      </c>
      <c r="G2427" s="18">
        <v>1.0360782755828057</v>
      </c>
      <c r="H2427" s="10" t="str">
        <f t="shared" si="37"/>
        <v>COSTOS</v>
      </c>
      <c r="I2427" s="19">
        <v>2025</v>
      </c>
    </row>
    <row r="2428" spans="1:9" hidden="1" x14ac:dyDescent="0.3">
      <c r="A2428" s="16" t="s">
        <v>147</v>
      </c>
      <c r="B2428" s="16" t="s">
        <v>74</v>
      </c>
      <c r="C2428" s="15">
        <v>6</v>
      </c>
      <c r="D2428" s="17">
        <v>6262190</v>
      </c>
      <c r="E2428" s="17">
        <v>7618762</v>
      </c>
      <c r="F2428" s="17">
        <v>1356572</v>
      </c>
      <c r="G2428" s="18">
        <v>1.2166290067851662</v>
      </c>
      <c r="H2428" s="10" t="str">
        <f t="shared" si="37"/>
        <v>COSTOS</v>
      </c>
      <c r="I2428" s="19">
        <v>2025</v>
      </c>
    </row>
    <row r="2429" spans="1:9" hidden="1" x14ac:dyDescent="0.3">
      <c r="A2429" s="16" t="s">
        <v>147</v>
      </c>
      <c r="B2429" s="16" t="s">
        <v>74</v>
      </c>
      <c r="C2429" s="15">
        <v>7</v>
      </c>
      <c r="D2429" s="17">
        <v>5461870</v>
      </c>
      <c r="E2429" s="17">
        <v>5624935</v>
      </c>
      <c r="F2429" s="17">
        <v>163065</v>
      </c>
      <c r="G2429" s="18">
        <v>1.0298551594966558</v>
      </c>
      <c r="H2429" s="10" t="str">
        <f t="shared" si="37"/>
        <v>COSTOS</v>
      </c>
      <c r="I2429" s="19">
        <v>2025</v>
      </c>
    </row>
    <row r="2430" spans="1:9" hidden="1" x14ac:dyDescent="0.3">
      <c r="A2430" s="16" t="s">
        <v>147</v>
      </c>
      <c r="B2430" s="16" t="s">
        <v>74</v>
      </c>
      <c r="C2430" s="15">
        <v>8</v>
      </c>
      <c r="D2430" s="17">
        <v>6445127</v>
      </c>
      <c r="E2430" s="17">
        <v>9064572</v>
      </c>
      <c r="F2430" s="17">
        <v>2619445</v>
      </c>
      <c r="G2430" s="18">
        <v>1.4064225576935878</v>
      </c>
      <c r="H2430" s="10" t="str">
        <f t="shared" si="37"/>
        <v>COSTOS</v>
      </c>
      <c r="I2430" s="19">
        <v>2025</v>
      </c>
    </row>
    <row r="2431" spans="1:9" hidden="1" x14ac:dyDescent="0.3">
      <c r="A2431" s="16" t="s">
        <v>147</v>
      </c>
      <c r="B2431" s="16" t="s">
        <v>74</v>
      </c>
      <c r="C2431" s="15">
        <v>9</v>
      </c>
      <c r="D2431" s="17">
        <v>6434287</v>
      </c>
      <c r="E2431" s="17">
        <v>3678303</v>
      </c>
      <c r="F2431" s="17">
        <v>-2755984</v>
      </c>
      <c r="G2431" s="18">
        <v>0.57167219926621238</v>
      </c>
      <c r="H2431" s="10" t="str">
        <f t="shared" si="37"/>
        <v>COSTOS</v>
      </c>
      <c r="I2431" s="19">
        <v>2025</v>
      </c>
    </row>
    <row r="2432" spans="1:9" hidden="1" x14ac:dyDescent="0.3">
      <c r="A2432" s="16" t="s">
        <v>147</v>
      </c>
      <c r="B2432" s="16" t="s">
        <v>74</v>
      </c>
      <c r="C2432" s="15">
        <v>10</v>
      </c>
      <c r="D2432" s="17">
        <v>6370560</v>
      </c>
      <c r="E2432" s="17">
        <v>6789390</v>
      </c>
      <c r="F2432" s="17">
        <v>418830</v>
      </c>
      <c r="G2432" s="18">
        <v>1.0657446127185051</v>
      </c>
      <c r="H2432" s="10" t="str">
        <f t="shared" si="37"/>
        <v>COSTOS</v>
      </c>
      <c r="I2432" s="19">
        <v>2025</v>
      </c>
    </row>
    <row r="2433" spans="1:9" hidden="1" x14ac:dyDescent="0.3">
      <c r="A2433" s="16" t="s">
        <v>147</v>
      </c>
      <c r="B2433" s="16" t="s">
        <v>221</v>
      </c>
      <c r="C2433" s="15">
        <v>9</v>
      </c>
      <c r="D2433" s="17">
        <v>0</v>
      </c>
      <c r="E2433" s="17">
        <v>6000</v>
      </c>
      <c r="F2433" s="17">
        <v>6000</v>
      </c>
      <c r="G2433" s="18">
        <v>0</v>
      </c>
      <c r="H2433" s="10" t="str">
        <f t="shared" si="37"/>
        <v>COSTOS</v>
      </c>
      <c r="I2433" s="19">
        <v>2025</v>
      </c>
    </row>
    <row r="2434" spans="1:9" hidden="1" x14ac:dyDescent="0.3">
      <c r="A2434" s="16" t="s">
        <v>147</v>
      </c>
      <c r="B2434" s="16" t="s">
        <v>41</v>
      </c>
      <c r="C2434" s="15">
        <v>4</v>
      </c>
      <c r="D2434" s="17">
        <v>557560</v>
      </c>
      <c r="E2434" s="17">
        <v>0</v>
      </c>
      <c r="F2434" s="17">
        <v>-557560</v>
      </c>
      <c r="G2434" s="18">
        <v>0</v>
      </c>
      <c r="H2434" s="10" t="str">
        <f t="shared" si="37"/>
        <v>COSTOS</v>
      </c>
      <c r="I2434" s="19">
        <v>2025</v>
      </c>
    </row>
    <row r="2435" spans="1:9" hidden="1" x14ac:dyDescent="0.3">
      <c r="A2435" s="16" t="s">
        <v>147</v>
      </c>
      <c r="B2435" s="16" t="s">
        <v>41</v>
      </c>
      <c r="C2435" s="15">
        <v>5</v>
      </c>
      <c r="D2435" s="17">
        <v>491284</v>
      </c>
      <c r="E2435" s="17">
        <v>625500</v>
      </c>
      <c r="F2435" s="17">
        <v>134216</v>
      </c>
      <c r="G2435" s="18">
        <v>1.2731943234463163</v>
      </c>
      <c r="H2435" s="10" t="str">
        <f t="shared" ref="H2435:H2498" si="38">+IF(OR(A2435="ADMINISTRACION",A2435="COMERCIAL",A2435="COMERCIAL-EXPORTACIONES",A2435="LEASING DE LA BODEGA",A2435="LOGISTICA-SALIDA",A2435="OTROS GASTOS",A2435="BODEGA ALQUILADA", A2435="BODEGA CARTOPLAST", A2435="BODEGA CARTOPLAS", A2435= "GESTION HUMANA-OTROS GASTOS"),"GASTOS","COSTOS")</f>
        <v>COSTOS</v>
      </c>
      <c r="I2435" s="19">
        <v>2025</v>
      </c>
    </row>
    <row r="2436" spans="1:9" hidden="1" x14ac:dyDescent="0.3">
      <c r="A2436" s="16" t="s">
        <v>147</v>
      </c>
      <c r="B2436" s="16" t="s">
        <v>41</v>
      </c>
      <c r="C2436" s="15">
        <v>7</v>
      </c>
      <c r="D2436" s="17">
        <v>0</v>
      </c>
      <c r="E2436" s="17">
        <v>129400</v>
      </c>
      <c r="F2436" s="17">
        <v>129400</v>
      </c>
      <c r="G2436" s="18">
        <v>0</v>
      </c>
      <c r="H2436" s="10" t="str">
        <f t="shared" si="38"/>
        <v>COSTOS</v>
      </c>
      <c r="I2436" s="19">
        <v>2025</v>
      </c>
    </row>
    <row r="2437" spans="1:9" hidden="1" x14ac:dyDescent="0.3">
      <c r="A2437" s="16" t="s">
        <v>147</v>
      </c>
      <c r="B2437" s="16" t="s">
        <v>41</v>
      </c>
      <c r="C2437" s="15">
        <v>8</v>
      </c>
      <c r="D2437" s="17">
        <v>208296</v>
      </c>
      <c r="E2437" s="17">
        <v>0</v>
      </c>
      <c r="F2437" s="17">
        <v>-208296</v>
      </c>
      <c r="G2437" s="18">
        <v>0</v>
      </c>
      <c r="H2437" s="10" t="str">
        <f t="shared" si="38"/>
        <v>COSTOS</v>
      </c>
      <c r="I2437" s="19">
        <v>2025</v>
      </c>
    </row>
    <row r="2438" spans="1:9" hidden="1" x14ac:dyDescent="0.3">
      <c r="A2438" s="16" t="s">
        <v>147</v>
      </c>
      <c r="B2438" s="16" t="s">
        <v>41</v>
      </c>
      <c r="C2438" s="15">
        <v>9</v>
      </c>
      <c r="D2438" s="17">
        <v>1121432</v>
      </c>
      <c r="E2438" s="17">
        <v>280000</v>
      </c>
      <c r="F2438" s="17">
        <v>-841432</v>
      </c>
      <c r="G2438" s="18">
        <v>0.24968076530721436</v>
      </c>
      <c r="H2438" s="10" t="str">
        <f t="shared" si="38"/>
        <v>COSTOS</v>
      </c>
      <c r="I2438" s="19">
        <v>2025</v>
      </c>
    </row>
    <row r="2439" spans="1:9" hidden="1" x14ac:dyDescent="0.3">
      <c r="A2439" s="16" t="s">
        <v>147</v>
      </c>
      <c r="B2439" s="16" t="s">
        <v>41</v>
      </c>
      <c r="C2439" s="15">
        <v>10</v>
      </c>
      <c r="D2439" s="17">
        <v>270364</v>
      </c>
      <c r="E2439" s="17">
        <v>0</v>
      </c>
      <c r="F2439" s="17">
        <v>-270364</v>
      </c>
      <c r="G2439" s="18">
        <v>0</v>
      </c>
      <c r="H2439" s="10" t="str">
        <f t="shared" si="38"/>
        <v>COSTOS</v>
      </c>
      <c r="I2439" s="19">
        <v>2025</v>
      </c>
    </row>
    <row r="2440" spans="1:9" hidden="1" x14ac:dyDescent="0.3">
      <c r="A2440" s="16" t="s">
        <v>147</v>
      </c>
      <c r="B2440" s="16" t="s">
        <v>22</v>
      </c>
      <c r="C2440" s="15">
        <v>5</v>
      </c>
      <c r="D2440" s="17">
        <v>0</v>
      </c>
      <c r="E2440" s="17">
        <v>16807</v>
      </c>
      <c r="F2440" s="17">
        <v>16807</v>
      </c>
      <c r="G2440" s="18">
        <v>0</v>
      </c>
      <c r="H2440" s="10" t="str">
        <f t="shared" si="38"/>
        <v>COSTOS</v>
      </c>
      <c r="I2440" s="19">
        <v>2025</v>
      </c>
    </row>
    <row r="2441" spans="1:9" hidden="1" x14ac:dyDescent="0.3">
      <c r="A2441" s="16" t="s">
        <v>147</v>
      </c>
      <c r="B2441" s="16" t="s">
        <v>23</v>
      </c>
      <c r="C2441" s="15">
        <v>1</v>
      </c>
      <c r="D2441" s="17">
        <v>1388889</v>
      </c>
      <c r="E2441" s="17">
        <v>1388889</v>
      </c>
      <c r="F2441" s="17">
        <v>0</v>
      </c>
      <c r="G2441" s="18">
        <v>1</v>
      </c>
      <c r="H2441" s="10" t="str">
        <f t="shared" si="38"/>
        <v>COSTOS</v>
      </c>
      <c r="I2441" s="19">
        <v>2025</v>
      </c>
    </row>
    <row r="2442" spans="1:9" hidden="1" x14ac:dyDescent="0.3">
      <c r="A2442" s="16" t="s">
        <v>147</v>
      </c>
      <c r="B2442" s="16" t="s">
        <v>23</v>
      </c>
      <c r="C2442" s="15">
        <v>2</v>
      </c>
      <c r="D2442" s="17">
        <v>1388889</v>
      </c>
      <c r="E2442" s="17">
        <v>1388889</v>
      </c>
      <c r="F2442" s="17">
        <v>0</v>
      </c>
      <c r="G2442" s="18">
        <v>1</v>
      </c>
      <c r="H2442" s="10" t="str">
        <f t="shared" si="38"/>
        <v>COSTOS</v>
      </c>
      <c r="I2442" s="19">
        <v>2025</v>
      </c>
    </row>
    <row r="2443" spans="1:9" hidden="1" x14ac:dyDescent="0.3">
      <c r="A2443" s="16" t="s">
        <v>147</v>
      </c>
      <c r="B2443" s="16" t="s">
        <v>23</v>
      </c>
      <c r="C2443" s="15">
        <v>3</v>
      </c>
      <c r="D2443" s="17">
        <v>1388889</v>
      </c>
      <c r="E2443" s="17">
        <v>1388889</v>
      </c>
      <c r="F2443" s="17">
        <v>0</v>
      </c>
      <c r="G2443" s="18">
        <v>1</v>
      </c>
      <c r="H2443" s="10" t="str">
        <f t="shared" si="38"/>
        <v>COSTOS</v>
      </c>
      <c r="I2443" s="19">
        <v>2025</v>
      </c>
    </row>
    <row r="2444" spans="1:9" hidden="1" x14ac:dyDescent="0.3">
      <c r="A2444" s="16" t="s">
        <v>147</v>
      </c>
      <c r="B2444" s="16" t="s">
        <v>23</v>
      </c>
      <c r="C2444" s="15">
        <v>4</v>
      </c>
      <c r="D2444" s="17">
        <v>1388889</v>
      </c>
      <c r="E2444" s="17">
        <v>1388889</v>
      </c>
      <c r="F2444" s="17">
        <v>0</v>
      </c>
      <c r="G2444" s="18">
        <v>1</v>
      </c>
      <c r="H2444" s="10" t="str">
        <f t="shared" si="38"/>
        <v>COSTOS</v>
      </c>
      <c r="I2444" s="19">
        <v>2025</v>
      </c>
    </row>
    <row r="2445" spans="1:9" hidden="1" x14ac:dyDescent="0.3">
      <c r="A2445" s="16" t="s">
        <v>147</v>
      </c>
      <c r="B2445" s="16" t="s">
        <v>23</v>
      </c>
      <c r="C2445" s="15">
        <v>5</v>
      </c>
      <c r="D2445" s="17">
        <v>1388889</v>
      </c>
      <c r="E2445" s="17">
        <v>1388889</v>
      </c>
      <c r="F2445" s="17">
        <v>0</v>
      </c>
      <c r="G2445" s="18">
        <v>1</v>
      </c>
      <c r="H2445" s="10" t="str">
        <f t="shared" si="38"/>
        <v>COSTOS</v>
      </c>
      <c r="I2445" s="19">
        <v>2025</v>
      </c>
    </row>
    <row r="2446" spans="1:9" hidden="1" x14ac:dyDescent="0.3">
      <c r="A2446" s="16" t="s">
        <v>147</v>
      </c>
      <c r="B2446" s="16" t="s">
        <v>23</v>
      </c>
      <c r="C2446" s="15">
        <v>6</v>
      </c>
      <c r="D2446" s="17">
        <v>1388889</v>
      </c>
      <c r="E2446" s="17">
        <v>1388889</v>
      </c>
      <c r="F2446" s="17">
        <v>0</v>
      </c>
      <c r="G2446" s="18">
        <v>1</v>
      </c>
      <c r="H2446" s="10" t="str">
        <f t="shared" si="38"/>
        <v>COSTOS</v>
      </c>
      <c r="I2446" s="19">
        <v>2025</v>
      </c>
    </row>
    <row r="2447" spans="1:9" hidden="1" x14ac:dyDescent="0.3">
      <c r="A2447" s="16" t="s">
        <v>147</v>
      </c>
      <c r="B2447" s="16" t="s">
        <v>23</v>
      </c>
      <c r="C2447" s="15">
        <v>7</v>
      </c>
      <c r="D2447" s="17">
        <v>1388889</v>
      </c>
      <c r="E2447" s="17">
        <v>1388889</v>
      </c>
      <c r="F2447" s="17">
        <v>0</v>
      </c>
      <c r="G2447" s="18">
        <v>1</v>
      </c>
      <c r="H2447" s="10" t="str">
        <f t="shared" si="38"/>
        <v>COSTOS</v>
      </c>
      <c r="I2447" s="19">
        <v>2025</v>
      </c>
    </row>
    <row r="2448" spans="1:9" hidden="1" x14ac:dyDescent="0.3">
      <c r="A2448" s="16" t="s">
        <v>147</v>
      </c>
      <c r="B2448" s="16" t="s">
        <v>23</v>
      </c>
      <c r="C2448" s="15">
        <v>8</v>
      </c>
      <c r="D2448" s="17">
        <v>1388889</v>
      </c>
      <c r="E2448" s="17">
        <v>1388889</v>
      </c>
      <c r="F2448" s="17">
        <v>0</v>
      </c>
      <c r="G2448" s="18">
        <v>1</v>
      </c>
      <c r="H2448" s="10" t="str">
        <f t="shared" si="38"/>
        <v>COSTOS</v>
      </c>
      <c r="I2448" s="19">
        <v>2025</v>
      </c>
    </row>
    <row r="2449" spans="1:9" hidden="1" x14ac:dyDescent="0.3">
      <c r="A2449" s="16" t="s">
        <v>147</v>
      </c>
      <c r="B2449" s="16" t="s">
        <v>23</v>
      </c>
      <c r="C2449" s="15">
        <v>9</v>
      </c>
      <c r="D2449" s="17">
        <v>1388889</v>
      </c>
      <c r="E2449" s="17">
        <v>1388889</v>
      </c>
      <c r="F2449" s="17">
        <v>0</v>
      </c>
      <c r="G2449" s="18">
        <v>1</v>
      </c>
      <c r="H2449" s="10" t="str">
        <f t="shared" si="38"/>
        <v>COSTOS</v>
      </c>
      <c r="I2449" s="19">
        <v>2025</v>
      </c>
    </row>
    <row r="2450" spans="1:9" hidden="1" x14ac:dyDescent="0.3">
      <c r="A2450" s="16" t="s">
        <v>147</v>
      </c>
      <c r="B2450" s="16" t="s">
        <v>23</v>
      </c>
      <c r="C2450" s="15">
        <v>10</v>
      </c>
      <c r="D2450" s="17">
        <v>1388889</v>
      </c>
      <c r="E2450" s="17">
        <v>1388889</v>
      </c>
      <c r="F2450" s="17">
        <v>0</v>
      </c>
      <c r="G2450" s="18">
        <v>1</v>
      </c>
      <c r="H2450" s="10" t="str">
        <f t="shared" si="38"/>
        <v>COSTOS</v>
      </c>
      <c r="I2450" s="19">
        <v>2025</v>
      </c>
    </row>
    <row r="2451" spans="1:9" hidden="1" x14ac:dyDescent="0.3">
      <c r="A2451" s="16" t="s">
        <v>147</v>
      </c>
      <c r="B2451" s="16" t="s">
        <v>39</v>
      </c>
      <c r="C2451" s="15">
        <v>1</v>
      </c>
      <c r="D2451" s="17">
        <v>18149017</v>
      </c>
      <c r="E2451" s="17">
        <v>18149017</v>
      </c>
      <c r="F2451" s="17">
        <v>0</v>
      </c>
      <c r="G2451" s="18">
        <v>1</v>
      </c>
      <c r="H2451" s="10" t="str">
        <f t="shared" si="38"/>
        <v>COSTOS</v>
      </c>
      <c r="I2451" s="19">
        <v>2025</v>
      </c>
    </row>
    <row r="2452" spans="1:9" hidden="1" x14ac:dyDescent="0.3">
      <c r="A2452" s="16" t="s">
        <v>147</v>
      </c>
      <c r="B2452" s="16" t="s">
        <v>39</v>
      </c>
      <c r="C2452" s="15">
        <v>2</v>
      </c>
      <c r="D2452" s="17">
        <v>18149017</v>
      </c>
      <c r="E2452" s="17">
        <v>18149017</v>
      </c>
      <c r="F2452" s="17">
        <v>0</v>
      </c>
      <c r="G2452" s="18">
        <v>1</v>
      </c>
      <c r="H2452" s="10" t="str">
        <f t="shared" si="38"/>
        <v>COSTOS</v>
      </c>
      <c r="I2452" s="19">
        <v>2025</v>
      </c>
    </row>
    <row r="2453" spans="1:9" hidden="1" x14ac:dyDescent="0.3">
      <c r="A2453" s="16" t="s">
        <v>147</v>
      </c>
      <c r="B2453" s="16" t="s">
        <v>39</v>
      </c>
      <c r="C2453" s="15">
        <v>3</v>
      </c>
      <c r="D2453" s="17">
        <v>18149017</v>
      </c>
      <c r="E2453" s="17">
        <v>18149017</v>
      </c>
      <c r="F2453" s="17">
        <v>0</v>
      </c>
      <c r="G2453" s="18">
        <v>1</v>
      </c>
      <c r="H2453" s="10" t="str">
        <f t="shared" si="38"/>
        <v>COSTOS</v>
      </c>
      <c r="I2453" s="19">
        <v>2025</v>
      </c>
    </row>
    <row r="2454" spans="1:9" hidden="1" x14ac:dyDescent="0.3">
      <c r="A2454" s="16" t="s">
        <v>147</v>
      </c>
      <c r="B2454" s="16" t="s">
        <v>39</v>
      </c>
      <c r="C2454" s="15">
        <v>4</v>
      </c>
      <c r="D2454" s="17">
        <v>18149017</v>
      </c>
      <c r="E2454" s="17">
        <v>18149017</v>
      </c>
      <c r="F2454" s="17">
        <v>0</v>
      </c>
      <c r="G2454" s="18">
        <v>1</v>
      </c>
      <c r="H2454" s="10" t="str">
        <f t="shared" si="38"/>
        <v>COSTOS</v>
      </c>
      <c r="I2454" s="19">
        <v>2025</v>
      </c>
    </row>
    <row r="2455" spans="1:9" hidden="1" x14ac:dyDescent="0.3">
      <c r="A2455" s="16" t="s">
        <v>147</v>
      </c>
      <c r="B2455" s="16" t="s">
        <v>39</v>
      </c>
      <c r="C2455" s="15">
        <v>5</v>
      </c>
      <c r="D2455" s="17">
        <v>18149017</v>
      </c>
      <c r="E2455" s="17">
        <v>18149017</v>
      </c>
      <c r="F2455" s="17">
        <v>0</v>
      </c>
      <c r="G2455" s="18">
        <v>1</v>
      </c>
      <c r="H2455" s="10" t="str">
        <f t="shared" si="38"/>
        <v>COSTOS</v>
      </c>
      <c r="I2455" s="19">
        <v>2025</v>
      </c>
    </row>
    <row r="2456" spans="1:9" hidden="1" x14ac:dyDescent="0.3">
      <c r="A2456" s="16" t="s">
        <v>147</v>
      </c>
      <c r="B2456" s="16" t="s">
        <v>39</v>
      </c>
      <c r="C2456" s="15">
        <v>6</v>
      </c>
      <c r="D2456" s="17">
        <v>18149017</v>
      </c>
      <c r="E2456" s="17">
        <v>18149017</v>
      </c>
      <c r="F2456" s="17">
        <v>0</v>
      </c>
      <c r="G2456" s="18">
        <v>1</v>
      </c>
      <c r="H2456" s="10" t="str">
        <f t="shared" si="38"/>
        <v>COSTOS</v>
      </c>
      <c r="I2456" s="19">
        <v>2025</v>
      </c>
    </row>
    <row r="2457" spans="1:9" hidden="1" x14ac:dyDescent="0.3">
      <c r="A2457" s="16" t="s">
        <v>147</v>
      </c>
      <c r="B2457" s="16" t="s">
        <v>39</v>
      </c>
      <c r="C2457" s="15">
        <v>7</v>
      </c>
      <c r="D2457" s="17">
        <v>18149017</v>
      </c>
      <c r="E2457" s="17">
        <v>18149017</v>
      </c>
      <c r="F2457" s="17">
        <v>0</v>
      </c>
      <c r="G2457" s="18">
        <v>1</v>
      </c>
      <c r="H2457" s="10" t="str">
        <f t="shared" si="38"/>
        <v>COSTOS</v>
      </c>
      <c r="I2457" s="19">
        <v>2025</v>
      </c>
    </row>
    <row r="2458" spans="1:9" hidden="1" x14ac:dyDescent="0.3">
      <c r="A2458" s="16" t="s">
        <v>147</v>
      </c>
      <c r="B2458" s="16" t="s">
        <v>39</v>
      </c>
      <c r="C2458" s="15">
        <v>8</v>
      </c>
      <c r="D2458" s="17">
        <v>18149017</v>
      </c>
      <c r="E2458" s="17">
        <v>18149017</v>
      </c>
      <c r="F2458" s="17">
        <v>0</v>
      </c>
      <c r="G2458" s="18">
        <v>1</v>
      </c>
      <c r="H2458" s="10" t="str">
        <f t="shared" si="38"/>
        <v>COSTOS</v>
      </c>
      <c r="I2458" s="19">
        <v>2025</v>
      </c>
    </row>
    <row r="2459" spans="1:9" hidden="1" x14ac:dyDescent="0.3">
      <c r="A2459" s="16" t="s">
        <v>147</v>
      </c>
      <c r="B2459" s="16" t="s">
        <v>39</v>
      </c>
      <c r="C2459" s="15">
        <v>9</v>
      </c>
      <c r="D2459" s="17">
        <v>18149017</v>
      </c>
      <c r="E2459" s="17">
        <v>18149017</v>
      </c>
      <c r="F2459" s="17">
        <v>0</v>
      </c>
      <c r="G2459" s="18">
        <v>1</v>
      </c>
      <c r="H2459" s="10" t="str">
        <f t="shared" si="38"/>
        <v>COSTOS</v>
      </c>
      <c r="I2459" s="19">
        <v>2025</v>
      </c>
    </row>
    <row r="2460" spans="1:9" hidden="1" x14ac:dyDescent="0.3">
      <c r="A2460" s="16" t="s">
        <v>147</v>
      </c>
      <c r="B2460" s="16" t="s">
        <v>39</v>
      </c>
      <c r="C2460" s="15">
        <v>10</v>
      </c>
      <c r="D2460" s="17">
        <v>18149017</v>
      </c>
      <c r="E2460" s="17">
        <v>18149017</v>
      </c>
      <c r="F2460" s="17">
        <v>0</v>
      </c>
      <c r="G2460" s="18">
        <v>1</v>
      </c>
      <c r="H2460" s="10" t="str">
        <f t="shared" si="38"/>
        <v>COSTOS</v>
      </c>
      <c r="I2460" s="19">
        <v>2025</v>
      </c>
    </row>
    <row r="2461" spans="1:9" hidden="1" x14ac:dyDescent="0.3">
      <c r="A2461" s="16" t="s">
        <v>147</v>
      </c>
      <c r="B2461" s="16" t="s">
        <v>42</v>
      </c>
      <c r="C2461" s="15">
        <v>1</v>
      </c>
      <c r="D2461" s="17">
        <v>143070</v>
      </c>
      <c r="E2461" s="17">
        <v>143070</v>
      </c>
      <c r="F2461" s="17">
        <v>0</v>
      </c>
      <c r="G2461" s="18">
        <v>1</v>
      </c>
      <c r="H2461" s="10" t="str">
        <f t="shared" si="38"/>
        <v>COSTOS</v>
      </c>
      <c r="I2461" s="19">
        <v>2025</v>
      </c>
    </row>
    <row r="2462" spans="1:9" hidden="1" x14ac:dyDescent="0.3">
      <c r="A2462" s="16" t="s">
        <v>147</v>
      </c>
      <c r="B2462" s="16" t="s">
        <v>42</v>
      </c>
      <c r="C2462" s="15">
        <v>2</v>
      </c>
      <c r="D2462" s="17">
        <v>143070</v>
      </c>
      <c r="E2462" s="17">
        <v>143070</v>
      </c>
      <c r="F2462" s="17">
        <v>0</v>
      </c>
      <c r="G2462" s="18">
        <v>1</v>
      </c>
      <c r="H2462" s="10" t="str">
        <f t="shared" si="38"/>
        <v>COSTOS</v>
      </c>
      <c r="I2462" s="19">
        <v>2025</v>
      </c>
    </row>
    <row r="2463" spans="1:9" hidden="1" x14ac:dyDescent="0.3">
      <c r="A2463" s="16" t="s">
        <v>147</v>
      </c>
      <c r="B2463" s="16" t="s">
        <v>42</v>
      </c>
      <c r="C2463" s="15">
        <v>3</v>
      </c>
      <c r="D2463" s="17">
        <v>143070</v>
      </c>
      <c r="E2463" s="17">
        <v>143070</v>
      </c>
      <c r="F2463" s="17">
        <v>0</v>
      </c>
      <c r="G2463" s="18">
        <v>1</v>
      </c>
      <c r="H2463" s="10" t="str">
        <f t="shared" si="38"/>
        <v>COSTOS</v>
      </c>
      <c r="I2463" s="19">
        <v>2025</v>
      </c>
    </row>
    <row r="2464" spans="1:9" hidden="1" x14ac:dyDescent="0.3">
      <c r="A2464" s="16" t="s">
        <v>147</v>
      </c>
      <c r="B2464" s="16" t="s">
        <v>42</v>
      </c>
      <c r="C2464" s="15">
        <v>4</v>
      </c>
      <c r="D2464" s="17">
        <v>143070</v>
      </c>
      <c r="E2464" s="17">
        <v>143070</v>
      </c>
      <c r="F2464" s="17">
        <v>0</v>
      </c>
      <c r="G2464" s="18">
        <v>1</v>
      </c>
      <c r="H2464" s="10" t="str">
        <f t="shared" si="38"/>
        <v>COSTOS</v>
      </c>
      <c r="I2464" s="19">
        <v>2025</v>
      </c>
    </row>
    <row r="2465" spans="1:9" hidden="1" x14ac:dyDescent="0.3">
      <c r="A2465" s="16" t="s">
        <v>147</v>
      </c>
      <c r="B2465" s="16" t="s">
        <v>42</v>
      </c>
      <c r="C2465" s="15">
        <v>5</v>
      </c>
      <c r="D2465" s="17">
        <v>143070</v>
      </c>
      <c r="E2465" s="17">
        <v>143070</v>
      </c>
      <c r="F2465" s="17">
        <v>0</v>
      </c>
      <c r="G2465" s="18">
        <v>1</v>
      </c>
      <c r="H2465" s="10" t="str">
        <f t="shared" si="38"/>
        <v>COSTOS</v>
      </c>
      <c r="I2465" s="19">
        <v>2025</v>
      </c>
    </row>
    <row r="2466" spans="1:9" hidden="1" x14ac:dyDescent="0.3">
      <c r="A2466" s="16" t="s">
        <v>147</v>
      </c>
      <c r="B2466" s="16" t="s">
        <v>42</v>
      </c>
      <c r="C2466" s="15">
        <v>6</v>
      </c>
      <c r="D2466" s="17">
        <v>143070</v>
      </c>
      <c r="E2466" s="17">
        <v>143070</v>
      </c>
      <c r="F2466" s="17">
        <v>0</v>
      </c>
      <c r="G2466" s="18">
        <v>1</v>
      </c>
      <c r="H2466" s="10" t="str">
        <f t="shared" si="38"/>
        <v>COSTOS</v>
      </c>
      <c r="I2466" s="19">
        <v>2025</v>
      </c>
    </row>
    <row r="2467" spans="1:9" hidden="1" x14ac:dyDescent="0.3">
      <c r="A2467" s="16" t="s">
        <v>147</v>
      </c>
      <c r="B2467" s="16" t="s">
        <v>42</v>
      </c>
      <c r="C2467" s="15">
        <v>7</v>
      </c>
      <c r="D2467" s="17">
        <v>143070</v>
      </c>
      <c r="E2467" s="17">
        <v>143070</v>
      </c>
      <c r="F2467" s="17">
        <v>0</v>
      </c>
      <c r="G2467" s="18">
        <v>1</v>
      </c>
      <c r="H2467" s="10" t="str">
        <f t="shared" si="38"/>
        <v>COSTOS</v>
      </c>
      <c r="I2467" s="19">
        <v>2025</v>
      </c>
    </row>
    <row r="2468" spans="1:9" hidden="1" x14ac:dyDescent="0.3">
      <c r="A2468" s="16" t="s">
        <v>147</v>
      </c>
      <c r="B2468" s="16" t="s">
        <v>42</v>
      </c>
      <c r="C2468" s="15">
        <v>8</v>
      </c>
      <c r="D2468" s="17">
        <v>143070</v>
      </c>
      <c r="E2468" s="17">
        <v>143070</v>
      </c>
      <c r="F2468" s="17">
        <v>0</v>
      </c>
      <c r="G2468" s="18">
        <v>1</v>
      </c>
      <c r="H2468" s="10" t="str">
        <f t="shared" si="38"/>
        <v>COSTOS</v>
      </c>
      <c r="I2468" s="19">
        <v>2025</v>
      </c>
    </row>
    <row r="2469" spans="1:9" hidden="1" x14ac:dyDescent="0.3">
      <c r="A2469" s="16" t="s">
        <v>147</v>
      </c>
      <c r="B2469" s="16" t="s">
        <v>42</v>
      </c>
      <c r="C2469" s="15">
        <v>9</v>
      </c>
      <c r="D2469" s="17">
        <v>143070</v>
      </c>
      <c r="E2469" s="17">
        <v>143070</v>
      </c>
      <c r="F2469" s="17">
        <v>0</v>
      </c>
      <c r="G2469" s="18">
        <v>1</v>
      </c>
      <c r="H2469" s="10" t="str">
        <f t="shared" si="38"/>
        <v>COSTOS</v>
      </c>
      <c r="I2469" s="19">
        <v>2025</v>
      </c>
    </row>
    <row r="2470" spans="1:9" hidden="1" x14ac:dyDescent="0.3">
      <c r="A2470" s="16" t="s">
        <v>147</v>
      </c>
      <c r="B2470" s="16" t="s">
        <v>42</v>
      </c>
      <c r="C2470" s="15">
        <v>10</v>
      </c>
      <c r="D2470" s="17">
        <v>143070</v>
      </c>
      <c r="E2470" s="17">
        <v>143070</v>
      </c>
      <c r="F2470" s="17">
        <v>0</v>
      </c>
      <c r="G2470" s="18">
        <v>1</v>
      </c>
      <c r="H2470" s="10" t="str">
        <f t="shared" si="38"/>
        <v>COSTOS</v>
      </c>
      <c r="I2470" s="19">
        <v>2025</v>
      </c>
    </row>
    <row r="2471" spans="1:9" hidden="1" x14ac:dyDescent="0.3">
      <c r="A2471" s="16" t="s">
        <v>147</v>
      </c>
      <c r="B2471" s="16" t="s">
        <v>27</v>
      </c>
      <c r="C2471" s="15">
        <v>1</v>
      </c>
      <c r="D2471" s="17">
        <v>1124548</v>
      </c>
      <c r="E2471" s="17">
        <v>54000</v>
      </c>
      <c r="F2471" s="17">
        <v>-1070548</v>
      </c>
      <c r="G2471" s="18">
        <v>4.8019293084866098E-2</v>
      </c>
      <c r="H2471" s="10" t="str">
        <f t="shared" si="38"/>
        <v>COSTOS</v>
      </c>
      <c r="I2471" s="19">
        <v>2025</v>
      </c>
    </row>
    <row r="2472" spans="1:9" hidden="1" x14ac:dyDescent="0.3">
      <c r="A2472" s="16" t="s">
        <v>147</v>
      </c>
      <c r="B2472" s="16" t="s">
        <v>27</v>
      </c>
      <c r="C2472" s="15">
        <v>2</v>
      </c>
      <c r="D2472" s="17">
        <v>986014</v>
      </c>
      <c r="E2472" s="17">
        <v>998480</v>
      </c>
      <c r="F2472" s="17">
        <v>12466</v>
      </c>
      <c r="G2472" s="18">
        <v>1.0126428225157047</v>
      </c>
      <c r="H2472" s="10" t="str">
        <f t="shared" si="38"/>
        <v>COSTOS</v>
      </c>
      <c r="I2472" s="19">
        <v>2025</v>
      </c>
    </row>
    <row r="2473" spans="1:9" hidden="1" x14ac:dyDescent="0.3">
      <c r="A2473" s="16" t="s">
        <v>147</v>
      </c>
      <c r="B2473" s="16" t="s">
        <v>27</v>
      </c>
      <c r="C2473" s="15">
        <v>3</v>
      </c>
      <c r="D2473" s="17">
        <v>947391</v>
      </c>
      <c r="E2473" s="17">
        <v>952575</v>
      </c>
      <c r="F2473" s="17">
        <v>5184</v>
      </c>
      <c r="G2473" s="18">
        <v>1.0054718695871083</v>
      </c>
      <c r="H2473" s="10" t="str">
        <f t="shared" si="38"/>
        <v>COSTOS</v>
      </c>
      <c r="I2473" s="19">
        <v>2025</v>
      </c>
    </row>
    <row r="2474" spans="1:9" hidden="1" x14ac:dyDescent="0.3">
      <c r="A2474" s="16" t="s">
        <v>147</v>
      </c>
      <c r="B2474" s="16" t="s">
        <v>27</v>
      </c>
      <c r="C2474" s="15">
        <v>4</v>
      </c>
      <c r="D2474" s="17">
        <v>1188301</v>
      </c>
      <c r="E2474" s="17">
        <v>1244489</v>
      </c>
      <c r="F2474" s="17">
        <v>56188</v>
      </c>
      <c r="G2474" s="18">
        <v>1.0472843160108425</v>
      </c>
      <c r="H2474" s="10" t="str">
        <f t="shared" si="38"/>
        <v>COSTOS</v>
      </c>
      <c r="I2474" s="19">
        <v>2025</v>
      </c>
    </row>
    <row r="2475" spans="1:9" hidden="1" x14ac:dyDescent="0.3">
      <c r="A2475" s="16" t="s">
        <v>147</v>
      </c>
      <c r="B2475" s="16" t="s">
        <v>27</v>
      </c>
      <c r="C2475" s="15">
        <v>5</v>
      </c>
      <c r="D2475" s="17">
        <v>1000846</v>
      </c>
      <c r="E2475" s="17">
        <v>1315537</v>
      </c>
      <c r="F2475" s="17">
        <v>314691</v>
      </c>
      <c r="G2475" s="18">
        <v>1.3144249964530008</v>
      </c>
      <c r="H2475" s="10" t="str">
        <f t="shared" si="38"/>
        <v>COSTOS</v>
      </c>
      <c r="I2475" s="19">
        <v>2025</v>
      </c>
    </row>
    <row r="2476" spans="1:9" hidden="1" x14ac:dyDescent="0.3">
      <c r="A2476" s="16" t="s">
        <v>147</v>
      </c>
      <c r="B2476" s="16" t="s">
        <v>27</v>
      </c>
      <c r="C2476" s="15">
        <v>6</v>
      </c>
      <c r="D2476" s="17">
        <v>1161633</v>
      </c>
      <c r="E2476" s="17">
        <v>1300989</v>
      </c>
      <c r="F2476" s="17">
        <v>139356</v>
      </c>
      <c r="G2476" s="18">
        <v>1.1199656001508222</v>
      </c>
      <c r="H2476" s="10" t="str">
        <f t="shared" si="38"/>
        <v>COSTOS</v>
      </c>
      <c r="I2476" s="19">
        <v>2025</v>
      </c>
    </row>
    <row r="2477" spans="1:9" hidden="1" x14ac:dyDescent="0.3">
      <c r="A2477" s="16" t="s">
        <v>147</v>
      </c>
      <c r="B2477" s="16" t="s">
        <v>27</v>
      </c>
      <c r="C2477" s="15">
        <v>7</v>
      </c>
      <c r="D2477" s="17">
        <v>996045</v>
      </c>
      <c r="E2477" s="17">
        <v>1330612</v>
      </c>
      <c r="F2477" s="17">
        <v>334567</v>
      </c>
      <c r="G2477" s="18">
        <v>1.3358954665702856</v>
      </c>
      <c r="H2477" s="10" t="str">
        <f t="shared" si="38"/>
        <v>COSTOS</v>
      </c>
      <c r="I2477" s="19">
        <v>2025</v>
      </c>
    </row>
    <row r="2478" spans="1:9" hidden="1" x14ac:dyDescent="0.3">
      <c r="A2478" s="16" t="s">
        <v>147</v>
      </c>
      <c r="B2478" s="16" t="s">
        <v>27</v>
      </c>
      <c r="C2478" s="15">
        <v>8</v>
      </c>
      <c r="D2478" s="17">
        <v>943478</v>
      </c>
      <c r="E2478" s="17">
        <v>1386325</v>
      </c>
      <c r="F2478" s="17">
        <v>442847</v>
      </c>
      <c r="G2478" s="18">
        <v>1.4693771343899911</v>
      </c>
      <c r="H2478" s="10" t="str">
        <f t="shared" si="38"/>
        <v>COSTOS</v>
      </c>
      <c r="I2478" s="19">
        <v>2025</v>
      </c>
    </row>
    <row r="2479" spans="1:9" hidden="1" x14ac:dyDescent="0.3">
      <c r="A2479" s="16" t="s">
        <v>147</v>
      </c>
      <c r="B2479" s="16" t="s">
        <v>27</v>
      </c>
      <c r="C2479" s="15">
        <v>9</v>
      </c>
      <c r="D2479" s="17">
        <v>1132279</v>
      </c>
      <c r="E2479" s="17">
        <v>1331101</v>
      </c>
      <c r="F2479" s="17">
        <v>198822</v>
      </c>
      <c r="G2479" s="18">
        <v>1.1755945310298963</v>
      </c>
      <c r="H2479" s="10" t="str">
        <f t="shared" si="38"/>
        <v>COSTOS</v>
      </c>
      <c r="I2479" s="19">
        <v>2025</v>
      </c>
    </row>
    <row r="2480" spans="1:9" hidden="1" x14ac:dyDescent="0.3">
      <c r="A2480" s="16" t="s">
        <v>147</v>
      </c>
      <c r="B2480" s="16" t="s">
        <v>27</v>
      </c>
      <c r="C2480" s="15">
        <v>10</v>
      </c>
      <c r="D2480" s="17">
        <v>1250152</v>
      </c>
      <c r="E2480" s="17">
        <v>1418934</v>
      </c>
      <c r="F2480" s="17">
        <v>168782</v>
      </c>
      <c r="G2480" s="18">
        <v>1.1350091828833615</v>
      </c>
      <c r="H2480" s="10" t="str">
        <f t="shared" si="38"/>
        <v>COSTOS</v>
      </c>
      <c r="I2480" s="19">
        <v>2025</v>
      </c>
    </row>
    <row r="2481" spans="1:9" hidden="1" x14ac:dyDescent="0.3">
      <c r="A2481" s="16" t="s">
        <v>147</v>
      </c>
      <c r="B2481" s="16" t="s">
        <v>28</v>
      </c>
      <c r="C2481" s="15">
        <v>1</v>
      </c>
      <c r="D2481" s="17">
        <v>2528752</v>
      </c>
      <c r="E2481" s="17">
        <v>219816</v>
      </c>
      <c r="F2481" s="17">
        <v>-2308936</v>
      </c>
      <c r="G2481" s="18">
        <v>8.6926673710984712E-2</v>
      </c>
      <c r="H2481" s="10" t="str">
        <f t="shared" si="38"/>
        <v>COSTOS</v>
      </c>
      <c r="I2481" s="19">
        <v>2025</v>
      </c>
    </row>
    <row r="2482" spans="1:9" hidden="1" x14ac:dyDescent="0.3">
      <c r="A2482" s="16" t="s">
        <v>147</v>
      </c>
      <c r="B2482" s="16" t="s">
        <v>28</v>
      </c>
      <c r="C2482" s="15">
        <v>2</v>
      </c>
      <c r="D2482" s="17">
        <v>903792</v>
      </c>
      <c r="E2482" s="17">
        <v>369763</v>
      </c>
      <c r="F2482" s="17">
        <v>-534029</v>
      </c>
      <c r="G2482" s="18">
        <v>0.40912400198275711</v>
      </c>
      <c r="H2482" s="10" t="str">
        <f t="shared" si="38"/>
        <v>COSTOS</v>
      </c>
      <c r="I2482" s="19">
        <v>2025</v>
      </c>
    </row>
    <row r="2483" spans="1:9" hidden="1" x14ac:dyDescent="0.3">
      <c r="A2483" s="16" t="s">
        <v>147</v>
      </c>
      <c r="B2483" s="16" t="s">
        <v>28</v>
      </c>
      <c r="C2483" s="15">
        <v>3</v>
      </c>
      <c r="D2483" s="17">
        <v>3168206</v>
      </c>
      <c r="E2483" s="17">
        <v>168674</v>
      </c>
      <c r="F2483" s="17">
        <v>-2999532</v>
      </c>
      <c r="G2483" s="18">
        <v>5.3239593637534936E-2</v>
      </c>
      <c r="H2483" s="10" t="str">
        <f t="shared" si="38"/>
        <v>COSTOS</v>
      </c>
      <c r="I2483" s="19">
        <v>2025</v>
      </c>
    </row>
    <row r="2484" spans="1:9" hidden="1" x14ac:dyDescent="0.3">
      <c r="A2484" s="16" t="s">
        <v>147</v>
      </c>
      <c r="B2484" s="16" t="s">
        <v>28</v>
      </c>
      <c r="C2484" s="15">
        <v>4</v>
      </c>
      <c r="D2484" s="17">
        <v>1856502</v>
      </c>
      <c r="E2484" s="17">
        <v>177700</v>
      </c>
      <c r="F2484" s="17">
        <v>-1678802</v>
      </c>
      <c r="G2484" s="18">
        <v>9.5717645335151813E-2</v>
      </c>
      <c r="H2484" s="10" t="str">
        <f t="shared" si="38"/>
        <v>COSTOS</v>
      </c>
      <c r="I2484" s="19">
        <v>2025</v>
      </c>
    </row>
    <row r="2485" spans="1:9" hidden="1" x14ac:dyDescent="0.3">
      <c r="A2485" s="16" t="s">
        <v>147</v>
      </c>
      <c r="B2485" s="16" t="s">
        <v>28</v>
      </c>
      <c r="C2485" s="15">
        <v>5</v>
      </c>
      <c r="D2485" s="17">
        <v>602278</v>
      </c>
      <c r="E2485" s="17">
        <v>187400</v>
      </c>
      <c r="F2485" s="17">
        <v>-414878</v>
      </c>
      <c r="G2485" s="18">
        <v>0.31115199293349582</v>
      </c>
      <c r="H2485" s="10" t="str">
        <f t="shared" si="38"/>
        <v>COSTOS</v>
      </c>
      <c r="I2485" s="19">
        <v>2025</v>
      </c>
    </row>
    <row r="2486" spans="1:9" hidden="1" x14ac:dyDescent="0.3">
      <c r="A2486" s="16" t="s">
        <v>147</v>
      </c>
      <c r="B2486" s="16" t="s">
        <v>28</v>
      </c>
      <c r="C2486" s="15">
        <v>6</v>
      </c>
      <c r="D2486" s="17">
        <v>4414129</v>
      </c>
      <c r="E2486" s="17">
        <v>428229</v>
      </c>
      <c r="F2486" s="17">
        <v>-3985900</v>
      </c>
      <c r="G2486" s="18">
        <v>9.7013249952595415E-2</v>
      </c>
      <c r="H2486" s="10" t="str">
        <f t="shared" si="38"/>
        <v>COSTOS</v>
      </c>
      <c r="I2486" s="19">
        <v>2025</v>
      </c>
    </row>
    <row r="2487" spans="1:9" hidden="1" x14ac:dyDescent="0.3">
      <c r="A2487" s="16" t="s">
        <v>147</v>
      </c>
      <c r="B2487" s="16" t="s">
        <v>28</v>
      </c>
      <c r="C2487" s="15">
        <v>7</v>
      </c>
      <c r="D2487" s="17">
        <v>1014841</v>
      </c>
      <c r="E2487" s="17">
        <v>402307</v>
      </c>
      <c r="F2487" s="17">
        <v>-612534</v>
      </c>
      <c r="G2487" s="18">
        <v>0.39642367622120117</v>
      </c>
      <c r="H2487" s="10" t="str">
        <f t="shared" si="38"/>
        <v>COSTOS</v>
      </c>
      <c r="I2487" s="19">
        <v>2025</v>
      </c>
    </row>
    <row r="2488" spans="1:9" hidden="1" x14ac:dyDescent="0.3">
      <c r="A2488" s="16" t="s">
        <v>147</v>
      </c>
      <c r="B2488" s="16" t="s">
        <v>28</v>
      </c>
      <c r="C2488" s="15">
        <v>8</v>
      </c>
      <c r="D2488" s="17">
        <v>980368</v>
      </c>
      <c r="E2488" s="17">
        <v>202548</v>
      </c>
      <c r="F2488" s="17">
        <v>-777820</v>
      </c>
      <c r="G2488" s="18">
        <v>0.20660405072380986</v>
      </c>
      <c r="H2488" s="10" t="str">
        <f t="shared" si="38"/>
        <v>COSTOS</v>
      </c>
      <c r="I2488" s="19">
        <v>2025</v>
      </c>
    </row>
    <row r="2489" spans="1:9" hidden="1" x14ac:dyDescent="0.3">
      <c r="A2489" s="16" t="s">
        <v>147</v>
      </c>
      <c r="B2489" s="16" t="s">
        <v>28</v>
      </c>
      <c r="C2489" s="15">
        <v>9</v>
      </c>
      <c r="D2489" s="17">
        <v>1187952</v>
      </c>
      <c r="E2489" s="17">
        <v>801342</v>
      </c>
      <c r="F2489" s="17">
        <v>-386610</v>
      </c>
      <c r="G2489" s="18">
        <v>0.67455755788112659</v>
      </c>
      <c r="H2489" s="10" t="str">
        <f t="shared" si="38"/>
        <v>COSTOS</v>
      </c>
      <c r="I2489" s="19">
        <v>2025</v>
      </c>
    </row>
    <row r="2490" spans="1:9" hidden="1" x14ac:dyDescent="0.3">
      <c r="A2490" s="16" t="s">
        <v>147</v>
      </c>
      <c r="B2490" s="16" t="s">
        <v>28</v>
      </c>
      <c r="C2490" s="15">
        <v>10</v>
      </c>
      <c r="D2490" s="17">
        <v>549425</v>
      </c>
      <c r="E2490" s="17">
        <v>561028</v>
      </c>
      <c r="F2490" s="17">
        <v>11603</v>
      </c>
      <c r="G2490" s="18">
        <v>1.0211184420075534</v>
      </c>
      <c r="H2490" s="10" t="str">
        <f t="shared" si="38"/>
        <v>COSTOS</v>
      </c>
      <c r="I2490" s="19">
        <v>2025</v>
      </c>
    </row>
    <row r="2491" spans="1:9" hidden="1" x14ac:dyDescent="0.3">
      <c r="A2491" s="16" t="s">
        <v>147</v>
      </c>
      <c r="B2491" s="16" t="s">
        <v>29</v>
      </c>
      <c r="C2491" s="15">
        <v>1</v>
      </c>
      <c r="D2491" s="17">
        <v>1404397</v>
      </c>
      <c r="E2491" s="17">
        <v>0</v>
      </c>
      <c r="F2491" s="17">
        <v>-1404397</v>
      </c>
      <c r="G2491" s="18">
        <v>0</v>
      </c>
      <c r="H2491" s="10" t="str">
        <f t="shared" si="38"/>
        <v>COSTOS</v>
      </c>
      <c r="I2491" s="19">
        <v>2025</v>
      </c>
    </row>
    <row r="2492" spans="1:9" hidden="1" x14ac:dyDescent="0.3">
      <c r="A2492" s="16" t="s">
        <v>147</v>
      </c>
      <c r="B2492" s="16" t="s">
        <v>29</v>
      </c>
      <c r="C2492" s="15">
        <v>2</v>
      </c>
      <c r="D2492" s="17">
        <v>2624450</v>
      </c>
      <c r="E2492" s="17">
        <v>0</v>
      </c>
      <c r="F2492" s="17">
        <v>-2624450</v>
      </c>
      <c r="G2492" s="18">
        <v>0</v>
      </c>
      <c r="H2492" s="10" t="str">
        <f t="shared" si="38"/>
        <v>COSTOS</v>
      </c>
      <c r="I2492" s="19">
        <v>2025</v>
      </c>
    </row>
    <row r="2493" spans="1:9" hidden="1" x14ac:dyDescent="0.3">
      <c r="A2493" s="16" t="s">
        <v>147</v>
      </c>
      <c r="B2493" s="16" t="s">
        <v>29</v>
      </c>
      <c r="C2493" s="15">
        <v>3</v>
      </c>
      <c r="D2493" s="17">
        <v>981094</v>
      </c>
      <c r="E2493" s="17">
        <v>6838433</v>
      </c>
      <c r="F2493" s="17">
        <v>5857339</v>
      </c>
      <c r="G2493" s="18">
        <v>6.9702118247588922</v>
      </c>
      <c r="H2493" s="10" t="str">
        <f t="shared" si="38"/>
        <v>COSTOS</v>
      </c>
      <c r="I2493" s="19">
        <v>2025</v>
      </c>
    </row>
    <row r="2494" spans="1:9" hidden="1" x14ac:dyDescent="0.3">
      <c r="A2494" s="16" t="s">
        <v>147</v>
      </c>
      <c r="B2494" s="16" t="s">
        <v>29</v>
      </c>
      <c r="C2494" s="15">
        <v>4</v>
      </c>
      <c r="D2494" s="17">
        <v>2326274</v>
      </c>
      <c r="E2494" s="17">
        <v>0</v>
      </c>
      <c r="F2494" s="17">
        <v>-2326274</v>
      </c>
      <c r="G2494" s="18">
        <v>0</v>
      </c>
      <c r="H2494" s="10" t="str">
        <f t="shared" si="38"/>
        <v>COSTOS</v>
      </c>
      <c r="I2494" s="19">
        <v>2025</v>
      </c>
    </row>
    <row r="2495" spans="1:9" hidden="1" x14ac:dyDescent="0.3">
      <c r="A2495" s="16" t="s">
        <v>147</v>
      </c>
      <c r="B2495" s="16" t="s">
        <v>29</v>
      </c>
      <c r="C2495" s="15">
        <v>5</v>
      </c>
      <c r="D2495" s="17">
        <v>0</v>
      </c>
      <c r="E2495" s="17">
        <v>3671767</v>
      </c>
      <c r="F2495" s="17">
        <v>3671767</v>
      </c>
      <c r="G2495" s="18">
        <v>0</v>
      </c>
      <c r="H2495" s="10" t="str">
        <f t="shared" si="38"/>
        <v>COSTOS</v>
      </c>
      <c r="I2495" s="19">
        <v>2025</v>
      </c>
    </row>
    <row r="2496" spans="1:9" hidden="1" x14ac:dyDescent="0.3">
      <c r="A2496" s="16" t="s">
        <v>147</v>
      </c>
      <c r="B2496" s="16" t="s">
        <v>29</v>
      </c>
      <c r="C2496" s="15">
        <v>6</v>
      </c>
      <c r="D2496" s="17">
        <v>0</v>
      </c>
      <c r="E2496" s="17">
        <v>1897000</v>
      </c>
      <c r="F2496" s="17">
        <v>1897000</v>
      </c>
      <c r="G2496" s="18">
        <v>0</v>
      </c>
      <c r="H2496" s="10" t="str">
        <f t="shared" si="38"/>
        <v>COSTOS</v>
      </c>
      <c r="I2496" s="19">
        <v>2025</v>
      </c>
    </row>
    <row r="2497" spans="1:9" hidden="1" x14ac:dyDescent="0.3">
      <c r="A2497" s="16" t="s">
        <v>147</v>
      </c>
      <c r="B2497" s="16" t="s">
        <v>29</v>
      </c>
      <c r="C2497" s="15">
        <v>7</v>
      </c>
      <c r="D2497" s="17">
        <v>199985</v>
      </c>
      <c r="E2497" s="17">
        <v>4209000</v>
      </c>
      <c r="F2497" s="17">
        <v>4009015</v>
      </c>
      <c r="G2497" s="18">
        <v>21.046578493387003</v>
      </c>
      <c r="H2497" s="10" t="str">
        <f t="shared" si="38"/>
        <v>COSTOS</v>
      </c>
      <c r="I2497" s="19">
        <v>2025</v>
      </c>
    </row>
    <row r="2498" spans="1:9" hidden="1" x14ac:dyDescent="0.3">
      <c r="A2498" s="16" t="s">
        <v>147</v>
      </c>
      <c r="B2498" s="16" t="s">
        <v>29</v>
      </c>
      <c r="C2498" s="15">
        <v>8</v>
      </c>
      <c r="D2498" s="17">
        <v>1630499</v>
      </c>
      <c r="E2498" s="17">
        <v>3247000</v>
      </c>
      <c r="F2498" s="17">
        <v>1616501</v>
      </c>
      <c r="G2498" s="18">
        <v>1.9914148981385453</v>
      </c>
      <c r="H2498" s="10" t="str">
        <f t="shared" si="38"/>
        <v>COSTOS</v>
      </c>
      <c r="I2498" s="19">
        <v>2025</v>
      </c>
    </row>
    <row r="2499" spans="1:9" hidden="1" x14ac:dyDescent="0.3">
      <c r="A2499" s="16" t="s">
        <v>147</v>
      </c>
      <c r="B2499" s="16" t="s">
        <v>29</v>
      </c>
      <c r="C2499" s="15">
        <v>9</v>
      </c>
      <c r="D2499" s="17">
        <v>55948</v>
      </c>
      <c r="E2499" s="17">
        <v>4559880</v>
      </c>
      <c r="F2499" s="17">
        <v>4503932</v>
      </c>
      <c r="G2499" s="18">
        <v>81.502109101308349</v>
      </c>
      <c r="H2499" s="10" t="str">
        <f t="shared" ref="H2499:H2540" si="39">+IF(OR(A2499="ADMINISTRACION",A2499="COMERCIAL",A2499="COMERCIAL-EXPORTACIONES",A2499="LEASING DE LA BODEGA",A2499="LOGISTICA-SALIDA",A2499="OTROS GASTOS",A2499="BODEGA ALQUILADA", A2499="BODEGA CARTOPLAST", A2499="BODEGA CARTOPLAS", A2499= "GESTION HUMANA-OTROS GASTOS"),"GASTOS","COSTOS")</f>
        <v>COSTOS</v>
      </c>
      <c r="I2499" s="19">
        <v>2025</v>
      </c>
    </row>
    <row r="2500" spans="1:9" hidden="1" x14ac:dyDescent="0.3">
      <c r="A2500" s="16" t="s">
        <v>147</v>
      </c>
      <c r="B2500" s="16" t="s">
        <v>29</v>
      </c>
      <c r="C2500" s="15">
        <v>10</v>
      </c>
      <c r="D2500" s="17">
        <v>107049</v>
      </c>
      <c r="E2500" s="17">
        <v>3914742</v>
      </c>
      <c r="F2500" s="17">
        <v>3807693</v>
      </c>
      <c r="G2500" s="18">
        <v>36.569626993246082</v>
      </c>
      <c r="H2500" s="10" t="str">
        <f t="shared" si="39"/>
        <v>COSTOS</v>
      </c>
      <c r="I2500" s="19">
        <v>2025</v>
      </c>
    </row>
    <row r="2501" spans="1:9" hidden="1" x14ac:dyDescent="0.3">
      <c r="A2501" s="16" t="s">
        <v>147</v>
      </c>
      <c r="B2501" s="16" t="s">
        <v>70</v>
      </c>
      <c r="C2501" s="15">
        <v>11</v>
      </c>
      <c r="D2501" s="17">
        <v>44463500</v>
      </c>
      <c r="E2501" s="17">
        <v>46116500</v>
      </c>
      <c r="F2501" s="17">
        <v>1653000</v>
      </c>
      <c r="G2501" s="18">
        <v>1.0371765605496643</v>
      </c>
      <c r="H2501" s="10" t="str">
        <f t="shared" si="39"/>
        <v>COSTOS</v>
      </c>
      <c r="I2501" s="19">
        <v>2025</v>
      </c>
    </row>
    <row r="2502" spans="1:9" hidden="1" x14ac:dyDescent="0.3">
      <c r="A2502" s="16" t="s">
        <v>147</v>
      </c>
      <c r="B2502" s="16" t="s">
        <v>71</v>
      </c>
      <c r="C2502" s="15">
        <v>11</v>
      </c>
      <c r="D2502" s="17">
        <v>4105265</v>
      </c>
      <c r="E2502" s="17">
        <v>4105265</v>
      </c>
      <c r="F2502" s="17">
        <v>0</v>
      </c>
      <c r="G2502" s="18">
        <v>1</v>
      </c>
      <c r="H2502" s="10" t="str">
        <f t="shared" si="39"/>
        <v>COSTOS</v>
      </c>
      <c r="I2502" s="19">
        <v>2025</v>
      </c>
    </row>
    <row r="2503" spans="1:9" hidden="1" x14ac:dyDescent="0.3">
      <c r="A2503" s="16" t="s">
        <v>147</v>
      </c>
      <c r="B2503" s="16" t="s">
        <v>14</v>
      </c>
      <c r="C2503" s="15">
        <v>11</v>
      </c>
      <c r="D2503" s="17">
        <v>22844.9</v>
      </c>
      <c r="E2503" s="17">
        <v>449361</v>
      </c>
      <c r="F2503" s="17">
        <v>426516.1</v>
      </c>
      <c r="G2503" s="18">
        <v>19.670079536351658</v>
      </c>
      <c r="H2503" s="10" t="str">
        <f t="shared" si="39"/>
        <v>COSTOS</v>
      </c>
      <c r="I2503" s="19">
        <v>2025</v>
      </c>
    </row>
    <row r="2504" spans="1:9" hidden="1" x14ac:dyDescent="0.3">
      <c r="A2504" s="16" t="s">
        <v>147</v>
      </c>
      <c r="B2504" s="16" t="s">
        <v>72</v>
      </c>
      <c r="C2504" s="15">
        <v>11</v>
      </c>
      <c r="D2504" s="17">
        <v>3829283</v>
      </c>
      <c r="E2504" s="17">
        <v>5014426</v>
      </c>
      <c r="F2504" s="17">
        <v>1185143</v>
      </c>
      <c r="G2504" s="18">
        <v>1.3094947539787476</v>
      </c>
      <c r="H2504" s="10" t="str">
        <f t="shared" si="39"/>
        <v>COSTOS</v>
      </c>
      <c r="I2504" s="19">
        <v>2025</v>
      </c>
    </row>
    <row r="2505" spans="1:9" hidden="1" x14ac:dyDescent="0.3">
      <c r="A2505" s="16" t="s">
        <v>147</v>
      </c>
      <c r="B2505" s="16" t="s">
        <v>73</v>
      </c>
      <c r="C2505" s="15">
        <v>11</v>
      </c>
      <c r="D2505" s="17">
        <v>18575133</v>
      </c>
      <c r="E2505" s="17">
        <v>17433638</v>
      </c>
      <c r="F2505" s="17">
        <v>-1141495</v>
      </c>
      <c r="G2505" s="18">
        <v>0.93854714256958482</v>
      </c>
      <c r="H2505" s="10" t="str">
        <f t="shared" si="39"/>
        <v>COSTOS</v>
      </c>
      <c r="I2505" s="19">
        <v>2025</v>
      </c>
    </row>
    <row r="2506" spans="1:9" hidden="1" x14ac:dyDescent="0.3">
      <c r="A2506" s="16" t="s">
        <v>147</v>
      </c>
      <c r="B2506" s="16" t="s">
        <v>16</v>
      </c>
      <c r="C2506" s="15">
        <v>11</v>
      </c>
      <c r="D2506" s="17">
        <v>168050</v>
      </c>
      <c r="E2506" s="17">
        <v>20000</v>
      </c>
      <c r="F2506" s="17">
        <v>-148050</v>
      </c>
      <c r="G2506" s="18">
        <v>0.11901219875037192</v>
      </c>
      <c r="H2506" s="10" t="str">
        <f t="shared" si="39"/>
        <v>COSTOS</v>
      </c>
      <c r="I2506" s="19">
        <v>2025</v>
      </c>
    </row>
    <row r="2507" spans="1:9" hidden="1" x14ac:dyDescent="0.3">
      <c r="A2507" s="16" t="s">
        <v>147</v>
      </c>
      <c r="B2507" s="16" t="s">
        <v>74</v>
      </c>
      <c r="C2507" s="15">
        <v>11</v>
      </c>
      <c r="D2507" s="17">
        <v>6081709</v>
      </c>
      <c r="E2507" s="17">
        <v>6393049</v>
      </c>
      <c r="F2507" s="17">
        <v>311340</v>
      </c>
      <c r="G2507" s="18">
        <v>1.0511928472736858</v>
      </c>
      <c r="H2507" s="10" t="str">
        <f t="shared" si="39"/>
        <v>COSTOS</v>
      </c>
      <c r="I2507" s="19">
        <v>2025</v>
      </c>
    </row>
    <row r="2508" spans="1:9" hidden="1" x14ac:dyDescent="0.3">
      <c r="A2508" s="16" t="s">
        <v>147</v>
      </c>
      <c r="B2508" s="16" t="s">
        <v>23</v>
      </c>
      <c r="C2508" s="15">
        <v>11</v>
      </c>
      <c r="D2508" s="17">
        <v>1388889</v>
      </c>
      <c r="E2508" s="17">
        <v>1388889</v>
      </c>
      <c r="F2508" s="17">
        <v>0</v>
      </c>
      <c r="G2508" s="18">
        <v>1</v>
      </c>
      <c r="H2508" s="10" t="str">
        <f t="shared" si="39"/>
        <v>COSTOS</v>
      </c>
      <c r="I2508" s="19">
        <v>2025</v>
      </c>
    </row>
    <row r="2509" spans="1:9" hidden="1" x14ac:dyDescent="0.3">
      <c r="A2509" s="16" t="s">
        <v>147</v>
      </c>
      <c r="B2509" s="16" t="s">
        <v>39</v>
      </c>
      <c r="C2509" s="15">
        <v>11</v>
      </c>
      <c r="D2509" s="17">
        <v>18149017</v>
      </c>
      <c r="E2509" s="17">
        <v>18187017</v>
      </c>
      <c r="F2509" s="17">
        <v>38000</v>
      </c>
      <c r="G2509" s="18">
        <v>1.0020937773103635</v>
      </c>
      <c r="H2509" s="10" t="str">
        <f t="shared" si="39"/>
        <v>COSTOS</v>
      </c>
      <c r="I2509" s="19">
        <v>2025</v>
      </c>
    </row>
    <row r="2510" spans="1:9" hidden="1" x14ac:dyDescent="0.3">
      <c r="A2510" s="16" t="s">
        <v>147</v>
      </c>
      <c r="B2510" s="16" t="s">
        <v>42</v>
      </c>
      <c r="C2510" s="15">
        <v>11</v>
      </c>
      <c r="D2510" s="17">
        <v>143070</v>
      </c>
      <c r="E2510" s="17">
        <v>143070</v>
      </c>
      <c r="F2510" s="17">
        <v>0</v>
      </c>
      <c r="G2510" s="18">
        <v>1</v>
      </c>
      <c r="H2510" s="10" t="str">
        <f t="shared" si="39"/>
        <v>COSTOS</v>
      </c>
      <c r="I2510" s="19">
        <v>2025</v>
      </c>
    </row>
    <row r="2511" spans="1:9" hidden="1" x14ac:dyDescent="0.3">
      <c r="A2511" s="16" t="s">
        <v>147</v>
      </c>
      <c r="B2511" s="16" t="s">
        <v>27</v>
      </c>
      <c r="C2511" s="15">
        <v>11</v>
      </c>
      <c r="D2511" s="17">
        <v>1219870</v>
      </c>
      <c r="E2511" s="17">
        <v>1436472</v>
      </c>
      <c r="F2511" s="17">
        <v>216602</v>
      </c>
      <c r="G2511" s="18">
        <v>1.1775615434431539</v>
      </c>
      <c r="H2511" s="10" t="str">
        <f t="shared" si="39"/>
        <v>COSTOS</v>
      </c>
      <c r="I2511" s="19">
        <v>2025</v>
      </c>
    </row>
    <row r="2512" spans="1:9" hidden="1" x14ac:dyDescent="0.3">
      <c r="A2512" s="16" t="s">
        <v>147</v>
      </c>
      <c r="B2512" s="16" t="s">
        <v>28</v>
      </c>
      <c r="C2512" s="15">
        <v>11</v>
      </c>
      <c r="D2512" s="17">
        <v>6461657</v>
      </c>
      <c r="E2512" s="17">
        <v>306176</v>
      </c>
      <c r="F2512" s="17">
        <v>-6155481</v>
      </c>
      <c r="G2512" s="18">
        <v>4.7383511690577203E-2</v>
      </c>
      <c r="H2512" s="10" t="str">
        <f t="shared" si="39"/>
        <v>COSTOS</v>
      </c>
      <c r="I2512" s="19">
        <v>2025</v>
      </c>
    </row>
    <row r="2513" spans="1:9" hidden="1" x14ac:dyDescent="0.3">
      <c r="A2513" s="16" t="s">
        <v>147</v>
      </c>
      <c r="B2513" s="16" t="s">
        <v>29</v>
      </c>
      <c r="C2513" s="15">
        <v>11</v>
      </c>
      <c r="D2513" s="17">
        <v>3257877</v>
      </c>
      <c r="E2513" s="17">
        <v>1637000</v>
      </c>
      <c r="F2513" s="17">
        <v>-1620877</v>
      </c>
      <c r="G2513" s="18">
        <v>0.50247446419861774</v>
      </c>
      <c r="H2513" s="10" t="str">
        <f t="shared" si="39"/>
        <v>COSTOS</v>
      </c>
      <c r="I2513" s="19">
        <v>2025</v>
      </c>
    </row>
    <row r="2514" spans="1:9" hidden="1" x14ac:dyDescent="0.3">
      <c r="A2514" s="16" t="s">
        <v>147</v>
      </c>
      <c r="B2514" s="16" t="s">
        <v>169</v>
      </c>
      <c r="C2514" s="15">
        <v>12</v>
      </c>
      <c r="D2514" s="17">
        <v>0</v>
      </c>
      <c r="E2514" s="17">
        <v>2876000</v>
      </c>
      <c r="F2514" s="17">
        <v>2876000</v>
      </c>
      <c r="G2514" s="18">
        <v>0</v>
      </c>
      <c r="H2514" s="10" t="str">
        <f t="shared" si="39"/>
        <v>COSTOS</v>
      </c>
      <c r="I2514" s="19">
        <v>2025</v>
      </c>
    </row>
    <row r="2515" spans="1:9" hidden="1" x14ac:dyDescent="0.3">
      <c r="A2515" s="16" t="s">
        <v>147</v>
      </c>
      <c r="B2515" s="16" t="s">
        <v>70</v>
      </c>
      <c r="C2515" s="15">
        <v>12</v>
      </c>
      <c r="D2515" s="17">
        <v>44463500</v>
      </c>
      <c r="E2515" s="17">
        <v>46116500</v>
      </c>
      <c r="F2515" s="17">
        <v>1653000</v>
      </c>
      <c r="G2515" s="18">
        <v>1.0371765605496643</v>
      </c>
      <c r="H2515" s="10" t="str">
        <f t="shared" si="39"/>
        <v>COSTOS</v>
      </c>
      <c r="I2515" s="19">
        <v>2025</v>
      </c>
    </row>
    <row r="2516" spans="1:9" hidden="1" x14ac:dyDescent="0.3">
      <c r="A2516" s="16" t="s">
        <v>147</v>
      </c>
      <c r="B2516" s="16" t="s">
        <v>71</v>
      </c>
      <c r="C2516" s="15">
        <v>12</v>
      </c>
      <c r="D2516" s="17">
        <v>4105265</v>
      </c>
      <c r="E2516" s="17">
        <v>4105265</v>
      </c>
      <c r="F2516" s="17">
        <v>0</v>
      </c>
      <c r="G2516" s="18">
        <v>1</v>
      </c>
      <c r="H2516" s="10" t="str">
        <f t="shared" si="39"/>
        <v>COSTOS</v>
      </c>
      <c r="I2516" s="19">
        <v>2025</v>
      </c>
    </row>
    <row r="2517" spans="1:9" hidden="1" x14ac:dyDescent="0.3">
      <c r="A2517" s="16" t="s">
        <v>147</v>
      </c>
      <c r="B2517" s="16" t="s">
        <v>14</v>
      </c>
      <c r="C2517" s="15">
        <v>12</v>
      </c>
      <c r="D2517" s="17">
        <v>794024.9</v>
      </c>
      <c r="E2517" s="17">
        <v>202981</v>
      </c>
      <c r="F2517" s="17">
        <v>-591043.9</v>
      </c>
      <c r="G2517" s="18">
        <v>0.25563556004352006</v>
      </c>
      <c r="H2517" s="10" t="str">
        <f t="shared" si="39"/>
        <v>COSTOS</v>
      </c>
      <c r="I2517" s="19">
        <v>2025</v>
      </c>
    </row>
    <row r="2518" spans="1:9" hidden="1" x14ac:dyDescent="0.3">
      <c r="A2518" s="16" t="s">
        <v>147</v>
      </c>
      <c r="B2518" s="16" t="s">
        <v>72</v>
      </c>
      <c r="C2518" s="15">
        <v>12</v>
      </c>
      <c r="D2518" s="17">
        <v>3874602</v>
      </c>
      <c r="E2518" s="17">
        <v>5344012</v>
      </c>
      <c r="F2518" s="17">
        <v>1469410</v>
      </c>
      <c r="G2518" s="18">
        <v>1.3792415324206202</v>
      </c>
      <c r="H2518" s="10" t="str">
        <f t="shared" si="39"/>
        <v>COSTOS</v>
      </c>
      <c r="I2518" s="19">
        <v>2025</v>
      </c>
    </row>
    <row r="2519" spans="1:9" hidden="1" x14ac:dyDescent="0.3">
      <c r="A2519" s="16" t="s">
        <v>147</v>
      </c>
      <c r="B2519" s="16" t="s">
        <v>73</v>
      </c>
      <c r="C2519" s="15">
        <v>12</v>
      </c>
      <c r="D2519" s="17">
        <v>20713109</v>
      </c>
      <c r="E2519" s="17">
        <v>18790701</v>
      </c>
      <c r="F2519" s="17">
        <v>-1922408</v>
      </c>
      <c r="G2519" s="18">
        <v>0.90718882423686376</v>
      </c>
      <c r="H2519" s="10" t="str">
        <f t="shared" si="39"/>
        <v>COSTOS</v>
      </c>
      <c r="I2519" s="19">
        <v>2025</v>
      </c>
    </row>
    <row r="2520" spans="1:9" hidden="1" x14ac:dyDescent="0.3">
      <c r="A2520" s="16" t="s">
        <v>147</v>
      </c>
      <c r="B2520" s="16" t="s">
        <v>16</v>
      </c>
      <c r="C2520" s="15">
        <v>12</v>
      </c>
      <c r="D2520" s="17">
        <v>8396</v>
      </c>
      <c r="E2520" s="17">
        <v>24000</v>
      </c>
      <c r="F2520" s="17">
        <v>15604</v>
      </c>
      <c r="G2520" s="18">
        <v>2.8585040495474034</v>
      </c>
      <c r="H2520" s="10" t="str">
        <f t="shared" si="39"/>
        <v>COSTOS</v>
      </c>
      <c r="I2520" s="19">
        <v>2025</v>
      </c>
    </row>
    <row r="2521" spans="1:9" hidden="1" x14ac:dyDescent="0.3">
      <c r="A2521" s="16" t="s">
        <v>147</v>
      </c>
      <c r="B2521" s="16" t="s">
        <v>74</v>
      </c>
      <c r="C2521" s="15">
        <v>12</v>
      </c>
      <c r="D2521" s="17">
        <v>6513583</v>
      </c>
      <c r="E2521" s="17">
        <v>7138113</v>
      </c>
      <c r="F2521" s="17">
        <v>624530</v>
      </c>
      <c r="G2521" s="18">
        <v>1.0958811763049616</v>
      </c>
      <c r="H2521" s="10" t="str">
        <f t="shared" si="39"/>
        <v>COSTOS</v>
      </c>
      <c r="I2521" s="19">
        <v>2025</v>
      </c>
    </row>
    <row r="2522" spans="1:9" hidden="1" x14ac:dyDescent="0.3">
      <c r="A2522" s="16" t="s">
        <v>147</v>
      </c>
      <c r="B2522" s="16" t="s">
        <v>41</v>
      </c>
      <c r="C2522" s="15">
        <v>12</v>
      </c>
      <c r="D2522" s="17">
        <v>0</v>
      </c>
      <c r="E2522" s="17">
        <v>151261</v>
      </c>
      <c r="F2522" s="17">
        <v>151261</v>
      </c>
      <c r="G2522" s="18">
        <v>0</v>
      </c>
      <c r="H2522" s="10" t="str">
        <f t="shared" si="39"/>
        <v>COSTOS</v>
      </c>
      <c r="I2522" s="19">
        <v>2025</v>
      </c>
    </row>
    <row r="2523" spans="1:9" hidden="1" x14ac:dyDescent="0.3">
      <c r="A2523" s="16" t="s">
        <v>147</v>
      </c>
      <c r="B2523" s="16" t="s">
        <v>23</v>
      </c>
      <c r="C2523" s="15">
        <v>12</v>
      </c>
      <c r="D2523" s="17">
        <v>1388889</v>
      </c>
      <c r="E2523" s="17">
        <v>1388889</v>
      </c>
      <c r="F2523" s="17">
        <v>0</v>
      </c>
      <c r="G2523" s="18">
        <v>1</v>
      </c>
      <c r="H2523" s="10" t="str">
        <f t="shared" si="39"/>
        <v>COSTOS</v>
      </c>
      <c r="I2523" s="19">
        <v>2025</v>
      </c>
    </row>
    <row r="2524" spans="1:9" hidden="1" x14ac:dyDescent="0.3">
      <c r="A2524" s="16" t="s">
        <v>147</v>
      </c>
      <c r="B2524" s="16" t="s">
        <v>39</v>
      </c>
      <c r="C2524" s="15">
        <v>12</v>
      </c>
      <c r="D2524" s="17">
        <v>18149017</v>
      </c>
      <c r="E2524" s="17">
        <v>18186997</v>
      </c>
      <c r="F2524" s="17">
        <v>37980</v>
      </c>
      <c r="G2524" s="18">
        <v>1.0020926753223054</v>
      </c>
      <c r="H2524" s="10" t="str">
        <f t="shared" si="39"/>
        <v>COSTOS</v>
      </c>
      <c r="I2524" s="19">
        <v>2025</v>
      </c>
    </row>
    <row r="2525" spans="1:9" hidden="1" x14ac:dyDescent="0.3">
      <c r="A2525" s="16" t="s">
        <v>147</v>
      </c>
      <c r="B2525" s="16" t="s">
        <v>42</v>
      </c>
      <c r="C2525" s="15">
        <v>12</v>
      </c>
      <c r="D2525" s="17">
        <v>143070</v>
      </c>
      <c r="E2525" s="17">
        <v>143070</v>
      </c>
      <c r="F2525" s="17">
        <v>0</v>
      </c>
      <c r="G2525" s="18">
        <v>1</v>
      </c>
      <c r="H2525" s="10" t="str">
        <f t="shared" si="39"/>
        <v>COSTOS</v>
      </c>
      <c r="I2525" s="19">
        <v>2025</v>
      </c>
    </row>
    <row r="2526" spans="1:9" hidden="1" x14ac:dyDescent="0.3">
      <c r="A2526" s="16" t="s">
        <v>147</v>
      </c>
      <c r="B2526" s="16" t="s">
        <v>27</v>
      </c>
      <c r="C2526" s="15">
        <v>12</v>
      </c>
      <c r="D2526" s="17">
        <v>2201487</v>
      </c>
      <c r="E2526" s="17">
        <v>2744821</v>
      </c>
      <c r="F2526" s="17">
        <v>543334</v>
      </c>
      <c r="G2526" s="18">
        <v>1.2468031834846176</v>
      </c>
      <c r="H2526" s="10" t="str">
        <f t="shared" si="39"/>
        <v>COSTOS</v>
      </c>
      <c r="I2526" s="19">
        <v>2025</v>
      </c>
    </row>
    <row r="2527" spans="1:9" hidden="1" x14ac:dyDescent="0.3">
      <c r="A2527" s="16" t="s">
        <v>147</v>
      </c>
      <c r="B2527" s="16" t="s">
        <v>28</v>
      </c>
      <c r="C2527" s="15">
        <v>12</v>
      </c>
      <c r="D2527" s="17">
        <v>1989349</v>
      </c>
      <c r="E2527" s="17">
        <v>184159</v>
      </c>
      <c r="F2527" s="17">
        <v>-1805190</v>
      </c>
      <c r="G2527" s="18">
        <v>9.2572494821170137E-2</v>
      </c>
      <c r="H2527" s="10" t="str">
        <f t="shared" si="39"/>
        <v>COSTOS</v>
      </c>
      <c r="I2527" s="19">
        <v>2025</v>
      </c>
    </row>
    <row r="2528" spans="1:9" hidden="1" x14ac:dyDescent="0.3">
      <c r="A2528" s="16" t="s">
        <v>147</v>
      </c>
      <c r="B2528" s="16" t="s">
        <v>29</v>
      </c>
      <c r="C2528" s="15">
        <v>12</v>
      </c>
      <c r="D2528" s="17">
        <v>386004</v>
      </c>
      <c r="E2528" s="17">
        <v>2098000</v>
      </c>
      <c r="F2528" s="17">
        <v>1711996</v>
      </c>
      <c r="G2528" s="18">
        <v>5.4351768375457254</v>
      </c>
      <c r="H2528" s="10" t="str">
        <f t="shared" si="39"/>
        <v>COSTOS</v>
      </c>
      <c r="I2528" s="19">
        <v>2025</v>
      </c>
    </row>
    <row r="2529" spans="1:9" hidden="1" x14ac:dyDescent="0.3">
      <c r="A2529" s="16" t="s">
        <v>83</v>
      </c>
      <c r="B2529" s="16" t="s">
        <v>53</v>
      </c>
      <c r="C2529" s="15">
        <v>11</v>
      </c>
      <c r="D2529" s="17">
        <v>27100000</v>
      </c>
      <c r="E2529" s="17">
        <v>28301977</v>
      </c>
      <c r="F2529" s="17">
        <v>1201977</v>
      </c>
      <c r="G2529" s="18">
        <v>1.0443533948339483</v>
      </c>
      <c r="H2529" s="10" t="str">
        <f t="shared" si="39"/>
        <v>COSTOS</v>
      </c>
      <c r="I2529" s="19">
        <v>2025</v>
      </c>
    </row>
    <row r="2530" spans="1:9" hidden="1" x14ac:dyDescent="0.3">
      <c r="A2530" s="16" t="s">
        <v>83</v>
      </c>
      <c r="B2530" s="16" t="s">
        <v>53</v>
      </c>
      <c r="C2530" s="15">
        <v>1</v>
      </c>
      <c r="D2530" s="17">
        <v>26453001</v>
      </c>
      <c r="E2530" s="17">
        <v>26453001</v>
      </c>
      <c r="F2530" s="17">
        <v>0</v>
      </c>
      <c r="G2530" s="18">
        <v>1</v>
      </c>
      <c r="H2530" s="10" t="str">
        <f t="shared" si="39"/>
        <v>COSTOS</v>
      </c>
      <c r="I2530" s="19">
        <v>2025</v>
      </c>
    </row>
    <row r="2531" spans="1:9" hidden="1" x14ac:dyDescent="0.3">
      <c r="A2531" s="16" t="s">
        <v>83</v>
      </c>
      <c r="B2531" s="16" t="s">
        <v>53</v>
      </c>
      <c r="C2531" s="15">
        <v>2</v>
      </c>
      <c r="D2531" s="17">
        <v>32050187</v>
      </c>
      <c r="E2531" s="17">
        <v>32050187</v>
      </c>
      <c r="F2531" s="17">
        <v>0</v>
      </c>
      <c r="G2531" s="18">
        <v>1</v>
      </c>
      <c r="H2531" s="10" t="str">
        <f t="shared" si="39"/>
        <v>COSTOS</v>
      </c>
      <c r="I2531" s="19">
        <v>2025</v>
      </c>
    </row>
    <row r="2532" spans="1:9" hidden="1" x14ac:dyDescent="0.3">
      <c r="A2532" s="16" t="s">
        <v>83</v>
      </c>
      <c r="B2532" s="16" t="s">
        <v>53</v>
      </c>
      <c r="C2532" s="15">
        <v>3</v>
      </c>
      <c r="D2532" s="17">
        <v>27100000</v>
      </c>
      <c r="E2532" s="17">
        <v>26642933</v>
      </c>
      <c r="F2532" s="17">
        <v>-457067</v>
      </c>
      <c r="G2532" s="18">
        <v>0.98313405904059048</v>
      </c>
      <c r="H2532" s="10" t="str">
        <f t="shared" si="39"/>
        <v>COSTOS</v>
      </c>
      <c r="I2532" s="19">
        <v>2025</v>
      </c>
    </row>
    <row r="2533" spans="1:9" hidden="1" x14ac:dyDescent="0.3">
      <c r="A2533" s="16" t="s">
        <v>83</v>
      </c>
      <c r="B2533" s="16" t="s">
        <v>53</v>
      </c>
      <c r="C2533" s="15">
        <v>4</v>
      </c>
      <c r="D2533" s="17">
        <v>27100000</v>
      </c>
      <c r="E2533" s="17">
        <v>21657010</v>
      </c>
      <c r="F2533" s="17">
        <v>-5442990</v>
      </c>
      <c r="G2533" s="18">
        <v>0.79915166051660524</v>
      </c>
      <c r="H2533" s="10" t="str">
        <f t="shared" si="39"/>
        <v>COSTOS</v>
      </c>
      <c r="I2533" s="19">
        <v>2025</v>
      </c>
    </row>
    <row r="2534" spans="1:9" hidden="1" x14ac:dyDescent="0.3">
      <c r="A2534" s="16" t="s">
        <v>83</v>
      </c>
      <c r="B2534" s="16" t="s">
        <v>53</v>
      </c>
      <c r="C2534" s="15">
        <v>5</v>
      </c>
      <c r="D2534" s="17">
        <v>27100000</v>
      </c>
      <c r="E2534" s="17">
        <v>38822124</v>
      </c>
      <c r="F2534" s="17">
        <v>11722124</v>
      </c>
      <c r="G2534" s="18">
        <v>1.4325507011070111</v>
      </c>
      <c r="H2534" s="10" t="str">
        <f t="shared" si="39"/>
        <v>COSTOS</v>
      </c>
      <c r="I2534" s="19">
        <v>2025</v>
      </c>
    </row>
    <row r="2535" spans="1:9" hidden="1" x14ac:dyDescent="0.3">
      <c r="A2535" s="16" t="s">
        <v>83</v>
      </c>
      <c r="B2535" s="16" t="s">
        <v>53</v>
      </c>
      <c r="C2535" s="15">
        <v>6</v>
      </c>
      <c r="D2535" s="17">
        <v>27100000</v>
      </c>
      <c r="E2535" s="17">
        <v>23160750</v>
      </c>
      <c r="F2535" s="17">
        <v>-3939250</v>
      </c>
      <c r="G2535" s="18">
        <v>0.85464022140221407</v>
      </c>
      <c r="H2535" s="10" t="str">
        <f t="shared" si="39"/>
        <v>COSTOS</v>
      </c>
      <c r="I2535" s="19">
        <v>2025</v>
      </c>
    </row>
    <row r="2536" spans="1:9" hidden="1" x14ac:dyDescent="0.3">
      <c r="A2536" s="16" t="s">
        <v>83</v>
      </c>
      <c r="B2536" s="16" t="s">
        <v>53</v>
      </c>
      <c r="C2536" s="15">
        <v>7</v>
      </c>
      <c r="D2536" s="17">
        <v>27100000</v>
      </c>
      <c r="E2536" s="17">
        <v>25764939</v>
      </c>
      <c r="F2536" s="17">
        <v>-1335061</v>
      </c>
      <c r="G2536" s="18">
        <v>0.95073575645756458</v>
      </c>
      <c r="H2536" s="10" t="str">
        <f t="shared" si="39"/>
        <v>COSTOS</v>
      </c>
      <c r="I2536" s="19">
        <v>2025</v>
      </c>
    </row>
    <row r="2537" spans="1:9" hidden="1" x14ac:dyDescent="0.3">
      <c r="A2537" s="16" t="s">
        <v>83</v>
      </c>
      <c r="B2537" s="16" t="s">
        <v>53</v>
      </c>
      <c r="C2537" s="15">
        <v>8</v>
      </c>
      <c r="D2537" s="17">
        <v>27100000</v>
      </c>
      <c r="E2537" s="17">
        <v>27906058</v>
      </c>
      <c r="F2537" s="17">
        <v>806058</v>
      </c>
      <c r="G2537" s="18">
        <v>1.0297438376383765</v>
      </c>
      <c r="H2537" s="10" t="str">
        <f t="shared" si="39"/>
        <v>COSTOS</v>
      </c>
      <c r="I2537" s="19">
        <v>2025</v>
      </c>
    </row>
    <row r="2538" spans="1:9" hidden="1" x14ac:dyDescent="0.3">
      <c r="A2538" s="16" t="s">
        <v>83</v>
      </c>
      <c r="B2538" s="16" t="s">
        <v>53</v>
      </c>
      <c r="C2538" s="15">
        <v>9</v>
      </c>
      <c r="D2538" s="17">
        <v>27100000</v>
      </c>
      <c r="E2538" s="17">
        <v>21214659</v>
      </c>
      <c r="F2538" s="17">
        <v>-5885341</v>
      </c>
      <c r="G2538" s="18">
        <v>0.78282874538745395</v>
      </c>
      <c r="H2538" s="10" t="str">
        <f t="shared" si="39"/>
        <v>COSTOS</v>
      </c>
      <c r="I2538" s="19">
        <v>2025</v>
      </c>
    </row>
    <row r="2539" spans="1:9" hidden="1" x14ac:dyDescent="0.3">
      <c r="A2539" s="16" t="s">
        <v>83</v>
      </c>
      <c r="B2539" s="16" t="s">
        <v>53</v>
      </c>
      <c r="C2539" s="15">
        <v>10</v>
      </c>
      <c r="D2539" s="17">
        <v>27100000</v>
      </c>
      <c r="E2539" s="17">
        <v>16688636</v>
      </c>
      <c r="F2539" s="17">
        <v>-10411364</v>
      </c>
      <c r="G2539" s="18">
        <v>0.61581682656826575</v>
      </c>
      <c r="H2539" s="10" t="str">
        <f t="shared" si="39"/>
        <v>COSTOS</v>
      </c>
      <c r="I2539" s="19">
        <v>2025</v>
      </c>
    </row>
    <row r="2540" spans="1:9" hidden="1" x14ac:dyDescent="0.3">
      <c r="A2540" s="16" t="s">
        <v>83</v>
      </c>
      <c r="B2540" s="16" t="s">
        <v>53</v>
      </c>
      <c r="C2540" s="15">
        <v>3</v>
      </c>
      <c r="D2540" s="17">
        <v>0</v>
      </c>
      <c r="E2540" s="17">
        <v>88300</v>
      </c>
      <c r="F2540" s="17">
        <v>88300</v>
      </c>
      <c r="G2540" s="18">
        <v>0</v>
      </c>
      <c r="H2540" s="10" t="str">
        <f t="shared" si="39"/>
        <v>COSTOS</v>
      </c>
      <c r="I2540" s="19">
        <v>2025</v>
      </c>
    </row>
    <row r="2541" spans="1:9" hidden="1" x14ac:dyDescent="0.3">
      <c r="A2541" s="23" t="s">
        <v>147</v>
      </c>
      <c r="B2541" s="23" t="s">
        <v>109</v>
      </c>
      <c r="C2541" s="22">
        <v>1</v>
      </c>
      <c r="D2541" s="25">
        <v>0</v>
      </c>
      <c r="E2541" s="25">
        <v>0</v>
      </c>
      <c r="F2541" s="25">
        <v>0</v>
      </c>
      <c r="G2541" s="26">
        <v>0</v>
      </c>
      <c r="H2541" s="10" t="str">
        <f>+IF(OR(A2541="ADMINISTRACION",A2541="COMERCIAL",A2541="COMERCIAL-EXPORTACIONES",A2541="LEASING DE LA BODEGA",A2541="LOGISTICA-SALIDA",A2541="OTROS GASTOS",A2541="BODEGA ALQUILADA", A2541="BODEGA CARTOPLAST", A2541="BODEGA CARTOPLAS", A2541= "GESTION HUMANA-OTROS GASTOS",A2541="FAMILIA"),"GASTOS","COSTOS")</f>
        <v>COSTOS</v>
      </c>
      <c r="I2541" s="20">
        <v>2026</v>
      </c>
    </row>
    <row r="2542" spans="1:9" hidden="1" x14ac:dyDescent="0.3">
      <c r="A2542" s="24" t="s">
        <v>147</v>
      </c>
      <c r="B2542" s="24" t="s">
        <v>109</v>
      </c>
      <c r="C2542" s="22">
        <v>2</v>
      </c>
      <c r="D2542" s="25">
        <v>0</v>
      </c>
      <c r="E2542" s="25">
        <v>0</v>
      </c>
      <c r="F2542" s="25">
        <v>0</v>
      </c>
      <c r="G2542" s="26">
        <v>0</v>
      </c>
      <c r="H2542" s="10" t="str">
        <f t="shared" ref="H2542:H2605" si="40">+IF(OR(A2542="ADMINISTRACION",A2542="COMERCIAL",A2542="COMERCIAL-EXPORTACIONES",A2542="LEASING DE LA BODEGA",A2542="LOGISTICA-SALIDA",A2542="OTROS GASTOS",A2542="BODEGA ALQUILADA", A2542="BODEGA CARTOPLAST", A2542="BODEGA CARTOPLAS", A2542= "GESTION HUMANA-OTROS GASTOS",A2542="FAMILIA"),"GASTOS","COSTOS")</f>
        <v>COSTOS</v>
      </c>
      <c r="I2542" s="20">
        <v>2026</v>
      </c>
    </row>
    <row r="2543" spans="1:9" hidden="1" x14ac:dyDescent="0.3">
      <c r="A2543" s="24" t="s">
        <v>147</v>
      </c>
      <c r="B2543" s="24" t="s">
        <v>109</v>
      </c>
      <c r="C2543" s="22">
        <v>3</v>
      </c>
      <c r="D2543" s="25">
        <v>25477518</v>
      </c>
      <c r="E2543" s="25">
        <v>25477518</v>
      </c>
      <c r="F2543" s="25">
        <v>0</v>
      </c>
      <c r="G2543" s="26">
        <v>1</v>
      </c>
      <c r="H2543" s="10" t="str">
        <f t="shared" si="40"/>
        <v>COSTOS</v>
      </c>
      <c r="I2543" s="20">
        <v>2026</v>
      </c>
    </row>
    <row r="2544" spans="1:9" hidden="1" x14ac:dyDescent="0.3">
      <c r="A2544" s="24" t="s">
        <v>147</v>
      </c>
      <c r="B2544" s="24" t="s">
        <v>109</v>
      </c>
      <c r="C2544" s="22">
        <v>4</v>
      </c>
      <c r="D2544" s="25">
        <v>0</v>
      </c>
      <c r="E2544" s="25">
        <v>0</v>
      </c>
      <c r="F2544" s="25">
        <v>0</v>
      </c>
      <c r="G2544" s="26">
        <v>0</v>
      </c>
      <c r="H2544" s="10" t="str">
        <f t="shared" si="40"/>
        <v>COSTOS</v>
      </c>
      <c r="I2544" s="20">
        <v>2026</v>
      </c>
    </row>
    <row r="2545" spans="1:9" hidden="1" x14ac:dyDescent="0.3">
      <c r="A2545" s="23" t="s">
        <v>146</v>
      </c>
      <c r="B2545" s="23" t="s">
        <v>70</v>
      </c>
      <c r="C2545" s="22">
        <v>1</v>
      </c>
      <c r="D2545" s="25">
        <v>47670500</v>
      </c>
      <c r="E2545" s="25">
        <v>47670500</v>
      </c>
      <c r="F2545" s="25">
        <v>0</v>
      </c>
      <c r="G2545" s="26">
        <v>1</v>
      </c>
      <c r="H2545" s="10" t="str">
        <f t="shared" si="40"/>
        <v>COSTOS</v>
      </c>
      <c r="I2545" s="20">
        <v>2026</v>
      </c>
    </row>
    <row r="2546" spans="1:9" hidden="1" x14ac:dyDescent="0.3">
      <c r="A2546" s="24" t="s">
        <v>146</v>
      </c>
      <c r="B2546" s="24" t="s">
        <v>70</v>
      </c>
      <c r="C2546" s="22">
        <v>2</v>
      </c>
      <c r="D2546" s="25">
        <v>51756000</v>
      </c>
      <c r="E2546" s="25">
        <v>51756000</v>
      </c>
      <c r="F2546" s="25">
        <v>0</v>
      </c>
      <c r="G2546" s="26">
        <v>1</v>
      </c>
      <c r="H2546" s="10" t="str">
        <f t="shared" si="40"/>
        <v>COSTOS</v>
      </c>
      <c r="I2546" s="20">
        <v>2026</v>
      </c>
    </row>
    <row r="2547" spans="1:9" hidden="1" x14ac:dyDescent="0.3">
      <c r="A2547" s="24" t="s">
        <v>146</v>
      </c>
      <c r="B2547" s="24" t="s">
        <v>70</v>
      </c>
      <c r="C2547" s="22">
        <v>3</v>
      </c>
      <c r="D2547" s="25">
        <v>51756000</v>
      </c>
      <c r="E2547" s="25">
        <v>51756000</v>
      </c>
      <c r="F2547" s="25">
        <v>0</v>
      </c>
      <c r="G2547" s="26">
        <v>1</v>
      </c>
      <c r="H2547" s="10" t="str">
        <f t="shared" si="40"/>
        <v>COSTOS</v>
      </c>
      <c r="I2547" s="20">
        <v>2026</v>
      </c>
    </row>
    <row r="2548" spans="1:9" hidden="1" x14ac:dyDescent="0.3">
      <c r="A2548" s="24" t="s">
        <v>146</v>
      </c>
      <c r="B2548" s="24" t="s">
        <v>70</v>
      </c>
      <c r="C2548" s="22">
        <v>4</v>
      </c>
      <c r="D2548" s="25">
        <v>51756000</v>
      </c>
      <c r="E2548" s="25">
        <v>51756000</v>
      </c>
      <c r="F2548" s="25">
        <v>0</v>
      </c>
      <c r="G2548" s="26">
        <v>1</v>
      </c>
      <c r="H2548" s="10" t="str">
        <f t="shared" si="40"/>
        <v>COSTOS</v>
      </c>
      <c r="I2548" s="20">
        <v>2026</v>
      </c>
    </row>
    <row r="2549" spans="1:9" hidden="1" x14ac:dyDescent="0.3">
      <c r="A2549" s="23" t="s">
        <v>147</v>
      </c>
      <c r="B2549" s="23" t="s">
        <v>70</v>
      </c>
      <c r="C2549" s="22">
        <v>1</v>
      </c>
      <c r="D2549" s="25">
        <v>31116500</v>
      </c>
      <c r="E2549" s="25">
        <v>31116500</v>
      </c>
      <c r="F2549" s="25">
        <v>0</v>
      </c>
      <c r="G2549" s="26">
        <v>1</v>
      </c>
      <c r="H2549" s="10" t="str">
        <f t="shared" si="40"/>
        <v>COSTOS</v>
      </c>
      <c r="I2549" s="20">
        <v>2026</v>
      </c>
    </row>
    <row r="2550" spans="1:9" hidden="1" x14ac:dyDescent="0.3">
      <c r="A2550" s="24" t="s">
        <v>147</v>
      </c>
      <c r="B2550" s="24" t="s">
        <v>70</v>
      </c>
      <c r="C2550" s="22">
        <v>2</v>
      </c>
      <c r="D2550" s="25">
        <v>33605000</v>
      </c>
      <c r="E2550" s="25">
        <v>33605000</v>
      </c>
      <c r="F2550" s="25">
        <v>0</v>
      </c>
      <c r="G2550" s="26">
        <v>1</v>
      </c>
      <c r="H2550" s="10" t="str">
        <f t="shared" si="40"/>
        <v>COSTOS</v>
      </c>
      <c r="I2550" s="20">
        <v>2026</v>
      </c>
    </row>
    <row r="2551" spans="1:9" hidden="1" x14ac:dyDescent="0.3">
      <c r="A2551" s="24" t="s">
        <v>147</v>
      </c>
      <c r="B2551" s="24" t="s">
        <v>70</v>
      </c>
      <c r="C2551" s="22">
        <v>3</v>
      </c>
      <c r="D2551" s="25">
        <v>33605000</v>
      </c>
      <c r="E2551" s="25">
        <v>33605000</v>
      </c>
      <c r="F2551" s="25">
        <v>0</v>
      </c>
      <c r="G2551" s="26">
        <v>1</v>
      </c>
      <c r="H2551" s="10" t="str">
        <f t="shared" si="40"/>
        <v>COSTOS</v>
      </c>
      <c r="I2551" s="20">
        <v>2026</v>
      </c>
    </row>
    <row r="2552" spans="1:9" hidden="1" x14ac:dyDescent="0.3">
      <c r="A2552" s="24" t="s">
        <v>147</v>
      </c>
      <c r="B2552" s="24" t="s">
        <v>70</v>
      </c>
      <c r="C2552" s="22">
        <v>4</v>
      </c>
      <c r="D2552" s="25">
        <v>33605000</v>
      </c>
      <c r="E2552" s="25">
        <v>33605000</v>
      </c>
      <c r="F2552" s="25">
        <v>0</v>
      </c>
      <c r="G2552" s="26">
        <v>1</v>
      </c>
      <c r="H2552" s="10" t="str">
        <f t="shared" si="40"/>
        <v>COSTOS</v>
      </c>
      <c r="I2552" s="20">
        <v>2026</v>
      </c>
    </row>
    <row r="2553" spans="1:9" hidden="1" x14ac:dyDescent="0.3">
      <c r="A2553" s="24" t="s">
        <v>242</v>
      </c>
      <c r="B2553" s="23" t="s">
        <v>71</v>
      </c>
      <c r="C2553" s="22">
        <v>1</v>
      </c>
      <c r="D2553" s="25">
        <v>0</v>
      </c>
      <c r="E2553" s="25">
        <v>0</v>
      </c>
      <c r="F2553" s="25">
        <v>0</v>
      </c>
      <c r="G2553" s="26">
        <v>0</v>
      </c>
      <c r="H2553" s="10" t="str">
        <f t="shared" si="40"/>
        <v>GASTOS</v>
      </c>
      <c r="I2553" s="20">
        <v>2026</v>
      </c>
    </row>
    <row r="2554" spans="1:9" hidden="1" x14ac:dyDescent="0.3">
      <c r="A2554" s="24" t="s">
        <v>242</v>
      </c>
      <c r="B2554" s="24" t="s">
        <v>71</v>
      </c>
      <c r="C2554" s="22">
        <v>2</v>
      </c>
      <c r="D2554" s="25">
        <v>0</v>
      </c>
      <c r="E2554" s="25">
        <v>0</v>
      </c>
      <c r="F2554" s="25">
        <v>0</v>
      </c>
      <c r="G2554" s="26">
        <v>0</v>
      </c>
      <c r="H2554" s="10" t="str">
        <f t="shared" si="40"/>
        <v>GASTOS</v>
      </c>
      <c r="I2554" s="20">
        <v>2026</v>
      </c>
    </row>
    <row r="2555" spans="1:9" hidden="1" x14ac:dyDescent="0.3">
      <c r="A2555" s="24" t="s">
        <v>242</v>
      </c>
      <c r="B2555" s="24" t="s">
        <v>71</v>
      </c>
      <c r="C2555" s="22">
        <v>3</v>
      </c>
      <c r="D2555" s="25">
        <v>0</v>
      </c>
      <c r="E2555" s="25">
        <v>0</v>
      </c>
      <c r="F2555" s="25">
        <v>0</v>
      </c>
      <c r="G2555" s="26">
        <v>0</v>
      </c>
      <c r="H2555" s="10" t="str">
        <f t="shared" si="40"/>
        <v>GASTOS</v>
      </c>
      <c r="I2555" s="20">
        <v>2026</v>
      </c>
    </row>
    <row r="2556" spans="1:9" hidden="1" x14ac:dyDescent="0.3">
      <c r="A2556" s="23" t="s">
        <v>242</v>
      </c>
      <c r="B2556" s="23" t="s">
        <v>71</v>
      </c>
      <c r="C2556" s="22">
        <v>4</v>
      </c>
      <c r="D2556" s="25">
        <v>0</v>
      </c>
      <c r="E2556" s="25">
        <v>0</v>
      </c>
      <c r="F2556" s="25">
        <v>0</v>
      </c>
      <c r="G2556" s="26">
        <v>0</v>
      </c>
      <c r="H2556" s="10" t="str">
        <f t="shared" si="40"/>
        <v>GASTOS</v>
      </c>
      <c r="I2556" s="20">
        <v>2026</v>
      </c>
    </row>
    <row r="2557" spans="1:9" hidden="1" x14ac:dyDescent="0.3">
      <c r="A2557" s="24" t="s">
        <v>146</v>
      </c>
      <c r="B2557" s="24" t="s">
        <v>71</v>
      </c>
      <c r="C2557" s="22">
        <v>1</v>
      </c>
      <c r="D2557" s="25">
        <v>456090</v>
      </c>
      <c r="E2557" s="25">
        <v>456090</v>
      </c>
      <c r="F2557" s="25">
        <v>0</v>
      </c>
      <c r="G2557" s="26">
        <v>1</v>
      </c>
      <c r="H2557" s="10" t="str">
        <f t="shared" si="40"/>
        <v>COSTOS</v>
      </c>
      <c r="I2557" s="20">
        <v>2026</v>
      </c>
    </row>
    <row r="2558" spans="1:9" hidden="1" x14ac:dyDescent="0.3">
      <c r="A2558" s="24" t="s">
        <v>146</v>
      </c>
      <c r="B2558" s="24" t="s">
        <v>71</v>
      </c>
      <c r="C2558" s="22">
        <v>2</v>
      </c>
      <c r="D2558" s="25">
        <v>456090</v>
      </c>
      <c r="E2558" s="25">
        <v>456090</v>
      </c>
      <c r="F2558" s="25">
        <v>0</v>
      </c>
      <c r="G2558" s="26">
        <v>1</v>
      </c>
      <c r="H2558" s="10" t="str">
        <f t="shared" si="40"/>
        <v>COSTOS</v>
      </c>
      <c r="I2558" s="20">
        <v>2026</v>
      </c>
    </row>
    <row r="2559" spans="1:9" hidden="1" x14ac:dyDescent="0.3">
      <c r="A2559" s="24" t="s">
        <v>146</v>
      </c>
      <c r="B2559" s="24" t="s">
        <v>71</v>
      </c>
      <c r="C2559" s="22">
        <v>3</v>
      </c>
      <c r="D2559" s="25">
        <v>456090</v>
      </c>
      <c r="E2559" s="25">
        <v>456090</v>
      </c>
      <c r="F2559" s="25">
        <v>0</v>
      </c>
      <c r="G2559" s="26">
        <v>1</v>
      </c>
      <c r="H2559" s="10" t="str">
        <f t="shared" si="40"/>
        <v>COSTOS</v>
      </c>
      <c r="I2559" s="20">
        <v>2026</v>
      </c>
    </row>
    <row r="2560" spans="1:9" hidden="1" x14ac:dyDescent="0.3">
      <c r="A2560" s="23" t="s">
        <v>146</v>
      </c>
      <c r="B2560" s="23" t="s">
        <v>71</v>
      </c>
      <c r="C2560" s="22">
        <v>4</v>
      </c>
      <c r="D2560" s="25">
        <v>456090</v>
      </c>
      <c r="E2560" s="25">
        <v>456090</v>
      </c>
      <c r="F2560" s="25">
        <v>0</v>
      </c>
      <c r="G2560" s="26">
        <v>1</v>
      </c>
      <c r="H2560" s="10" t="str">
        <f t="shared" si="40"/>
        <v>COSTOS</v>
      </c>
      <c r="I2560" s="20">
        <v>2026</v>
      </c>
    </row>
    <row r="2561" spans="1:9" hidden="1" x14ac:dyDescent="0.3">
      <c r="A2561" s="24" t="s">
        <v>147</v>
      </c>
      <c r="B2561" s="24" t="s">
        <v>71</v>
      </c>
      <c r="C2561" s="22">
        <v>1</v>
      </c>
      <c r="D2561" s="25">
        <v>6757841</v>
      </c>
      <c r="E2561" s="25">
        <v>6757841</v>
      </c>
      <c r="F2561" s="25">
        <v>0</v>
      </c>
      <c r="G2561" s="26">
        <v>1</v>
      </c>
      <c r="H2561" s="10" t="str">
        <f t="shared" si="40"/>
        <v>COSTOS</v>
      </c>
      <c r="I2561" s="20">
        <v>2026</v>
      </c>
    </row>
    <row r="2562" spans="1:9" hidden="1" x14ac:dyDescent="0.3">
      <c r="A2562" s="24" t="s">
        <v>147</v>
      </c>
      <c r="B2562" s="24" t="s">
        <v>71</v>
      </c>
      <c r="C2562" s="22">
        <v>2</v>
      </c>
      <c r="D2562" s="25">
        <v>6757841</v>
      </c>
      <c r="E2562" s="25">
        <v>6757841</v>
      </c>
      <c r="F2562" s="25">
        <v>0</v>
      </c>
      <c r="G2562" s="26">
        <v>1</v>
      </c>
      <c r="H2562" s="10" t="str">
        <f t="shared" si="40"/>
        <v>COSTOS</v>
      </c>
      <c r="I2562" s="20">
        <v>2026</v>
      </c>
    </row>
    <row r="2563" spans="1:9" hidden="1" x14ac:dyDescent="0.3">
      <c r="A2563" s="24" t="s">
        <v>147</v>
      </c>
      <c r="B2563" s="24" t="s">
        <v>71</v>
      </c>
      <c r="C2563" s="22">
        <v>3</v>
      </c>
      <c r="D2563" s="25">
        <v>6757841</v>
      </c>
      <c r="E2563" s="25">
        <v>6757841</v>
      </c>
      <c r="F2563" s="25">
        <v>0</v>
      </c>
      <c r="G2563" s="26">
        <v>1</v>
      </c>
      <c r="H2563" s="10" t="str">
        <f t="shared" si="40"/>
        <v>COSTOS</v>
      </c>
      <c r="I2563" s="20">
        <v>2026</v>
      </c>
    </row>
    <row r="2564" spans="1:9" hidden="1" x14ac:dyDescent="0.3">
      <c r="A2564" s="23" t="s">
        <v>147</v>
      </c>
      <c r="B2564" s="23" t="s">
        <v>71</v>
      </c>
      <c r="C2564" s="22">
        <v>4</v>
      </c>
      <c r="D2564" s="25">
        <v>6757841</v>
      </c>
      <c r="E2564" s="25">
        <v>6757841</v>
      </c>
      <c r="F2564" s="25">
        <v>0</v>
      </c>
      <c r="G2564" s="26">
        <v>1</v>
      </c>
      <c r="H2564" s="10" t="str">
        <f t="shared" si="40"/>
        <v>COSTOS</v>
      </c>
      <c r="I2564" s="20">
        <v>2026</v>
      </c>
    </row>
    <row r="2565" spans="1:9" hidden="1" x14ac:dyDescent="0.3">
      <c r="A2565" s="24" t="s">
        <v>241</v>
      </c>
      <c r="B2565" s="24" t="s">
        <v>14</v>
      </c>
      <c r="C2565" s="22">
        <v>1</v>
      </c>
      <c r="D2565" s="25">
        <v>2000000</v>
      </c>
      <c r="E2565" s="25">
        <v>639732</v>
      </c>
      <c r="F2565" s="25">
        <v>-1360268</v>
      </c>
      <c r="G2565" s="26">
        <v>0.31986599999999998</v>
      </c>
      <c r="H2565" s="10" t="str">
        <f t="shared" si="40"/>
        <v>COSTOS</v>
      </c>
      <c r="I2565" s="20">
        <v>2026</v>
      </c>
    </row>
    <row r="2566" spans="1:9" hidden="1" x14ac:dyDescent="0.3">
      <c r="A2566" s="24" t="s">
        <v>241</v>
      </c>
      <c r="B2566" s="24" t="s">
        <v>14</v>
      </c>
      <c r="C2566" s="22">
        <v>2</v>
      </c>
      <c r="D2566" s="25">
        <v>0</v>
      </c>
      <c r="E2566" s="25">
        <v>801856</v>
      </c>
      <c r="F2566" s="25">
        <v>801856</v>
      </c>
      <c r="G2566" s="26">
        <v>0</v>
      </c>
      <c r="H2566" s="10" t="str">
        <f t="shared" si="40"/>
        <v>COSTOS</v>
      </c>
      <c r="I2566" s="20">
        <v>2026</v>
      </c>
    </row>
    <row r="2567" spans="1:9" hidden="1" x14ac:dyDescent="0.3">
      <c r="A2567" s="24" t="s">
        <v>241</v>
      </c>
      <c r="B2567" s="24" t="s">
        <v>14</v>
      </c>
      <c r="C2567" s="22">
        <v>3</v>
      </c>
      <c r="D2567" s="25">
        <v>2000000</v>
      </c>
      <c r="E2567" s="25">
        <v>539869</v>
      </c>
      <c r="F2567" s="25">
        <v>-1460131</v>
      </c>
      <c r="G2567" s="26">
        <v>0.26993450000000002</v>
      </c>
      <c r="H2567" s="10" t="str">
        <f t="shared" si="40"/>
        <v>COSTOS</v>
      </c>
      <c r="I2567" s="20">
        <v>2026</v>
      </c>
    </row>
    <row r="2568" spans="1:9" hidden="1" x14ac:dyDescent="0.3">
      <c r="A2568" s="23" t="s">
        <v>241</v>
      </c>
      <c r="B2568" s="23" t="s">
        <v>14</v>
      </c>
      <c r="C2568" s="22">
        <v>4</v>
      </c>
      <c r="D2568" s="25">
        <v>0</v>
      </c>
      <c r="E2568" s="25">
        <v>448800</v>
      </c>
      <c r="F2568" s="25">
        <v>448800</v>
      </c>
      <c r="G2568" s="26">
        <v>0</v>
      </c>
      <c r="H2568" s="10" t="str">
        <f t="shared" si="40"/>
        <v>COSTOS</v>
      </c>
      <c r="I2568" s="20">
        <v>2026</v>
      </c>
    </row>
    <row r="2569" spans="1:9" hidden="1" x14ac:dyDescent="0.3">
      <c r="A2569" s="24" t="s">
        <v>93</v>
      </c>
      <c r="B2569" s="24" t="s">
        <v>14</v>
      </c>
      <c r="C2569" s="22">
        <v>1</v>
      </c>
      <c r="D2569" s="25">
        <v>0</v>
      </c>
      <c r="E2569" s="25">
        <v>0</v>
      </c>
      <c r="F2569" s="25">
        <v>0</v>
      </c>
      <c r="G2569" s="26">
        <v>0</v>
      </c>
      <c r="H2569" s="10" t="str">
        <f t="shared" si="40"/>
        <v>COSTOS</v>
      </c>
      <c r="I2569" s="20">
        <v>2026</v>
      </c>
    </row>
    <row r="2570" spans="1:9" hidden="1" x14ac:dyDescent="0.3">
      <c r="A2570" s="24" t="s">
        <v>93</v>
      </c>
      <c r="B2570" s="24" t="s">
        <v>14</v>
      </c>
      <c r="C2570" s="22">
        <v>2</v>
      </c>
      <c r="D2570" s="25">
        <v>27600</v>
      </c>
      <c r="E2570" s="25">
        <v>0</v>
      </c>
      <c r="F2570" s="25">
        <v>-27600</v>
      </c>
      <c r="G2570" s="26">
        <v>0</v>
      </c>
      <c r="H2570" s="10" t="str">
        <f t="shared" si="40"/>
        <v>COSTOS</v>
      </c>
      <c r="I2570" s="20">
        <v>2026</v>
      </c>
    </row>
    <row r="2571" spans="1:9" hidden="1" x14ac:dyDescent="0.3">
      <c r="A2571" s="24" t="s">
        <v>93</v>
      </c>
      <c r="B2571" s="24" t="s">
        <v>14</v>
      </c>
      <c r="C2571" s="22">
        <v>3</v>
      </c>
      <c r="D2571" s="25">
        <v>27600</v>
      </c>
      <c r="E2571" s="25">
        <v>0</v>
      </c>
      <c r="F2571" s="25">
        <v>-27600</v>
      </c>
      <c r="G2571" s="26">
        <v>0</v>
      </c>
      <c r="H2571" s="10" t="str">
        <f t="shared" si="40"/>
        <v>COSTOS</v>
      </c>
      <c r="I2571" s="20">
        <v>2026</v>
      </c>
    </row>
    <row r="2572" spans="1:9" hidden="1" x14ac:dyDescent="0.3">
      <c r="A2572" s="23" t="s">
        <v>93</v>
      </c>
      <c r="B2572" s="23" t="s">
        <v>14</v>
      </c>
      <c r="C2572" s="22">
        <v>4</v>
      </c>
      <c r="D2572" s="25">
        <v>27600</v>
      </c>
      <c r="E2572" s="25">
        <v>15000</v>
      </c>
      <c r="F2572" s="25">
        <v>-12600</v>
      </c>
      <c r="G2572" s="26">
        <v>0.54347826086956519</v>
      </c>
      <c r="H2572" s="10" t="str">
        <f t="shared" si="40"/>
        <v>COSTOS</v>
      </c>
      <c r="I2572" s="20">
        <v>2026</v>
      </c>
    </row>
    <row r="2573" spans="1:9" hidden="1" x14ac:dyDescent="0.3">
      <c r="A2573" s="24" t="s">
        <v>104</v>
      </c>
      <c r="B2573" s="24" t="s">
        <v>14</v>
      </c>
      <c r="C2573" s="22">
        <v>1</v>
      </c>
      <c r="D2573" s="25">
        <v>0</v>
      </c>
      <c r="E2573" s="25">
        <v>0</v>
      </c>
      <c r="F2573" s="25">
        <v>0</v>
      </c>
      <c r="G2573" s="26">
        <v>0</v>
      </c>
      <c r="H2573" s="10" t="str">
        <f t="shared" si="40"/>
        <v>COSTOS</v>
      </c>
      <c r="I2573" s="20">
        <v>2026</v>
      </c>
    </row>
    <row r="2574" spans="1:9" hidden="1" x14ac:dyDescent="0.3">
      <c r="A2574" s="24" t="s">
        <v>104</v>
      </c>
      <c r="B2574" s="24" t="s">
        <v>14</v>
      </c>
      <c r="C2574" s="22">
        <v>2</v>
      </c>
      <c r="D2574" s="25">
        <v>27600</v>
      </c>
      <c r="E2574" s="25">
        <v>0</v>
      </c>
      <c r="F2574" s="25">
        <v>-27600</v>
      </c>
      <c r="G2574" s="26">
        <v>0</v>
      </c>
      <c r="H2574" s="10" t="str">
        <f t="shared" si="40"/>
        <v>COSTOS</v>
      </c>
      <c r="I2574" s="20">
        <v>2026</v>
      </c>
    </row>
    <row r="2575" spans="1:9" hidden="1" x14ac:dyDescent="0.3">
      <c r="A2575" s="24" t="s">
        <v>104</v>
      </c>
      <c r="B2575" s="24" t="s">
        <v>14</v>
      </c>
      <c r="C2575" s="22">
        <v>3</v>
      </c>
      <c r="D2575" s="25">
        <v>27600</v>
      </c>
      <c r="E2575" s="25">
        <v>0</v>
      </c>
      <c r="F2575" s="25">
        <v>-27600</v>
      </c>
      <c r="G2575" s="26">
        <v>0</v>
      </c>
      <c r="H2575" s="10" t="str">
        <f t="shared" si="40"/>
        <v>COSTOS</v>
      </c>
      <c r="I2575" s="20">
        <v>2026</v>
      </c>
    </row>
    <row r="2576" spans="1:9" hidden="1" x14ac:dyDescent="0.3">
      <c r="A2576" s="23" t="s">
        <v>104</v>
      </c>
      <c r="B2576" s="23" t="s">
        <v>14</v>
      </c>
      <c r="C2576" s="22">
        <v>4</v>
      </c>
      <c r="D2576" s="25">
        <v>27600</v>
      </c>
      <c r="E2576" s="25">
        <v>15000</v>
      </c>
      <c r="F2576" s="25">
        <v>-12600</v>
      </c>
      <c r="G2576" s="26">
        <v>0.54347826086956519</v>
      </c>
      <c r="H2576" s="10" t="str">
        <f t="shared" si="40"/>
        <v>COSTOS</v>
      </c>
      <c r="I2576" s="20">
        <v>2026</v>
      </c>
    </row>
    <row r="2577" spans="1:9" hidden="1" x14ac:dyDescent="0.3">
      <c r="A2577" s="24" t="s">
        <v>67</v>
      </c>
      <c r="B2577" s="24" t="s">
        <v>14</v>
      </c>
      <c r="C2577" s="22">
        <v>1</v>
      </c>
      <c r="D2577" s="25">
        <v>0</v>
      </c>
      <c r="E2577" s="25">
        <v>0</v>
      </c>
      <c r="F2577" s="25">
        <v>0</v>
      </c>
      <c r="G2577" s="26">
        <v>0</v>
      </c>
      <c r="H2577" s="10" t="str">
        <f t="shared" si="40"/>
        <v>COSTOS</v>
      </c>
      <c r="I2577" s="20">
        <v>2026</v>
      </c>
    </row>
    <row r="2578" spans="1:9" hidden="1" x14ac:dyDescent="0.3">
      <c r="A2578" s="24" t="s">
        <v>67</v>
      </c>
      <c r="B2578" s="24" t="s">
        <v>14</v>
      </c>
      <c r="C2578" s="22">
        <v>2</v>
      </c>
      <c r="D2578" s="25">
        <v>82600</v>
      </c>
      <c r="E2578" s="25">
        <v>0</v>
      </c>
      <c r="F2578" s="25">
        <v>-82600</v>
      </c>
      <c r="G2578" s="26">
        <v>0</v>
      </c>
      <c r="H2578" s="10" t="str">
        <f t="shared" si="40"/>
        <v>COSTOS</v>
      </c>
      <c r="I2578" s="20">
        <v>2026</v>
      </c>
    </row>
    <row r="2579" spans="1:9" hidden="1" x14ac:dyDescent="0.3">
      <c r="A2579" s="24" t="s">
        <v>67</v>
      </c>
      <c r="B2579" s="24" t="s">
        <v>14</v>
      </c>
      <c r="C2579" s="22">
        <v>3</v>
      </c>
      <c r="D2579" s="25">
        <v>27600</v>
      </c>
      <c r="E2579" s="25">
        <v>0</v>
      </c>
      <c r="F2579" s="25">
        <v>-27600</v>
      </c>
      <c r="G2579" s="26">
        <v>0</v>
      </c>
      <c r="H2579" s="10" t="str">
        <f t="shared" si="40"/>
        <v>COSTOS</v>
      </c>
      <c r="I2579" s="20">
        <v>2026</v>
      </c>
    </row>
    <row r="2580" spans="1:9" hidden="1" x14ac:dyDescent="0.3">
      <c r="A2580" s="21" t="s">
        <v>67</v>
      </c>
      <c r="B2580" s="21" t="s">
        <v>14</v>
      </c>
      <c r="C2580" s="22">
        <v>4</v>
      </c>
      <c r="D2580" s="25">
        <v>27600</v>
      </c>
      <c r="E2580" s="25">
        <v>40000</v>
      </c>
      <c r="F2580" s="25">
        <v>12400</v>
      </c>
      <c r="G2580" s="26">
        <v>1.4492753623188406</v>
      </c>
      <c r="H2580" s="10" t="str">
        <f t="shared" si="40"/>
        <v>COSTOS</v>
      </c>
      <c r="I2580" s="20">
        <v>2026</v>
      </c>
    </row>
    <row r="2581" spans="1:9" x14ac:dyDescent="0.3">
      <c r="A2581" s="23" t="s">
        <v>111</v>
      </c>
      <c r="B2581" s="23" t="s">
        <v>14</v>
      </c>
      <c r="C2581" s="22">
        <v>1</v>
      </c>
      <c r="D2581" s="25">
        <v>0</v>
      </c>
      <c r="E2581" s="25">
        <v>0</v>
      </c>
      <c r="F2581" s="25">
        <v>0</v>
      </c>
      <c r="G2581" s="26">
        <v>0</v>
      </c>
      <c r="H2581" s="10" t="str">
        <f t="shared" si="40"/>
        <v>COSTOS</v>
      </c>
      <c r="I2581" s="20">
        <v>2026</v>
      </c>
    </row>
    <row r="2582" spans="1:9" x14ac:dyDescent="0.3">
      <c r="A2582" s="24" t="s">
        <v>111</v>
      </c>
      <c r="B2582" s="24" t="s">
        <v>14</v>
      </c>
      <c r="C2582" s="22">
        <v>2</v>
      </c>
      <c r="D2582" s="25">
        <v>2700000</v>
      </c>
      <c r="E2582" s="25">
        <v>2963101</v>
      </c>
      <c r="F2582" s="25">
        <v>263101</v>
      </c>
      <c r="G2582" s="26">
        <v>1.0974448148148148</v>
      </c>
      <c r="H2582" s="10" t="str">
        <f t="shared" si="40"/>
        <v>COSTOS</v>
      </c>
      <c r="I2582" s="20">
        <v>2026</v>
      </c>
    </row>
    <row r="2583" spans="1:9" x14ac:dyDescent="0.3">
      <c r="A2583" s="24" t="s">
        <v>111</v>
      </c>
      <c r="B2583" s="24" t="s">
        <v>14</v>
      </c>
      <c r="C2583" s="22">
        <v>3</v>
      </c>
      <c r="D2583" s="25">
        <v>0</v>
      </c>
      <c r="E2583" s="25">
        <v>0</v>
      </c>
      <c r="F2583" s="25">
        <v>0</v>
      </c>
      <c r="G2583" s="26">
        <v>0</v>
      </c>
      <c r="H2583" s="10" t="str">
        <f t="shared" si="40"/>
        <v>COSTOS</v>
      </c>
      <c r="I2583" s="20">
        <v>2026</v>
      </c>
    </row>
    <row r="2584" spans="1:9" x14ac:dyDescent="0.3">
      <c r="A2584" s="24" t="s">
        <v>111</v>
      </c>
      <c r="B2584" s="24" t="s">
        <v>14</v>
      </c>
      <c r="C2584" s="22">
        <v>4</v>
      </c>
      <c r="D2584" s="25">
        <v>0</v>
      </c>
      <c r="E2584" s="25">
        <v>0</v>
      </c>
      <c r="F2584" s="25">
        <v>0</v>
      </c>
      <c r="G2584" s="26">
        <v>0</v>
      </c>
      <c r="H2584" s="10" t="str">
        <f t="shared" si="40"/>
        <v>COSTOS</v>
      </c>
      <c r="I2584" s="20">
        <v>2026</v>
      </c>
    </row>
    <row r="2585" spans="1:9" x14ac:dyDescent="0.3">
      <c r="A2585" s="23" t="s">
        <v>113</v>
      </c>
      <c r="B2585" s="23" t="s">
        <v>14</v>
      </c>
      <c r="C2585" s="22">
        <v>1</v>
      </c>
      <c r="D2585" s="25">
        <v>0</v>
      </c>
      <c r="E2585" s="25">
        <v>0</v>
      </c>
      <c r="F2585" s="25">
        <v>0</v>
      </c>
      <c r="G2585" s="26">
        <v>0</v>
      </c>
      <c r="H2585" s="10" t="str">
        <f t="shared" si="40"/>
        <v>COSTOS</v>
      </c>
      <c r="I2585" s="20">
        <v>2026</v>
      </c>
    </row>
    <row r="2586" spans="1:9" x14ac:dyDescent="0.3">
      <c r="A2586" s="24" t="s">
        <v>113</v>
      </c>
      <c r="B2586" s="24" t="s">
        <v>14</v>
      </c>
      <c r="C2586" s="22">
        <v>2</v>
      </c>
      <c r="D2586" s="25">
        <v>82600</v>
      </c>
      <c r="E2586" s="25">
        <v>0</v>
      </c>
      <c r="F2586" s="25">
        <v>-82600</v>
      </c>
      <c r="G2586" s="26">
        <v>0</v>
      </c>
      <c r="H2586" s="10" t="str">
        <f t="shared" si="40"/>
        <v>COSTOS</v>
      </c>
      <c r="I2586" s="20">
        <v>2026</v>
      </c>
    </row>
    <row r="2587" spans="1:9" x14ac:dyDescent="0.3">
      <c r="A2587" s="24" t="s">
        <v>113</v>
      </c>
      <c r="B2587" s="24" t="s">
        <v>14</v>
      </c>
      <c r="C2587" s="22">
        <v>3</v>
      </c>
      <c r="D2587" s="25">
        <v>27600</v>
      </c>
      <c r="E2587" s="25">
        <v>0</v>
      </c>
      <c r="F2587" s="25">
        <v>-27600</v>
      </c>
      <c r="G2587" s="26">
        <v>0</v>
      </c>
      <c r="H2587" s="10" t="str">
        <f t="shared" si="40"/>
        <v>COSTOS</v>
      </c>
      <c r="I2587" s="20">
        <v>2026</v>
      </c>
    </row>
    <row r="2588" spans="1:9" x14ac:dyDescent="0.3">
      <c r="A2588" s="24" t="s">
        <v>113</v>
      </c>
      <c r="B2588" s="24" t="s">
        <v>14</v>
      </c>
      <c r="C2588" s="22">
        <v>4</v>
      </c>
      <c r="D2588" s="25">
        <v>27600</v>
      </c>
      <c r="E2588" s="25">
        <v>30000</v>
      </c>
      <c r="F2588" s="25">
        <v>2400</v>
      </c>
      <c r="G2588" s="26">
        <v>1.0869565217391304</v>
      </c>
      <c r="H2588" s="10" t="str">
        <f t="shared" si="40"/>
        <v>COSTOS</v>
      </c>
      <c r="I2588" s="20">
        <v>2026</v>
      </c>
    </row>
    <row r="2589" spans="1:9" hidden="1" x14ac:dyDescent="0.3">
      <c r="A2589" s="23" t="s">
        <v>146</v>
      </c>
      <c r="B2589" s="23" t="s">
        <v>14</v>
      </c>
      <c r="C2589" s="22">
        <v>1</v>
      </c>
      <c r="D2589" s="25">
        <v>180024</v>
      </c>
      <c r="E2589" s="25">
        <v>180024</v>
      </c>
      <c r="F2589" s="25">
        <v>0</v>
      </c>
      <c r="G2589" s="26">
        <v>1</v>
      </c>
      <c r="H2589" s="10" t="str">
        <f t="shared" si="40"/>
        <v>COSTOS</v>
      </c>
      <c r="I2589" s="20">
        <v>2026</v>
      </c>
    </row>
    <row r="2590" spans="1:9" hidden="1" x14ac:dyDescent="0.3">
      <c r="A2590" s="24" t="s">
        <v>146</v>
      </c>
      <c r="B2590" s="24" t="s">
        <v>14</v>
      </c>
      <c r="C2590" s="22">
        <v>2</v>
      </c>
      <c r="D2590" s="25">
        <v>180024</v>
      </c>
      <c r="E2590" s="25">
        <v>180024</v>
      </c>
      <c r="F2590" s="25">
        <v>0</v>
      </c>
      <c r="G2590" s="26">
        <v>1</v>
      </c>
      <c r="H2590" s="10" t="str">
        <f t="shared" si="40"/>
        <v>COSTOS</v>
      </c>
      <c r="I2590" s="20">
        <v>2026</v>
      </c>
    </row>
    <row r="2591" spans="1:9" hidden="1" x14ac:dyDescent="0.3">
      <c r="A2591" s="24" t="s">
        <v>146</v>
      </c>
      <c r="B2591" s="24" t="s">
        <v>14</v>
      </c>
      <c r="C2591" s="22">
        <v>3</v>
      </c>
      <c r="D2591" s="25">
        <v>180024</v>
      </c>
      <c r="E2591" s="25">
        <v>180024</v>
      </c>
      <c r="F2591" s="25">
        <v>0</v>
      </c>
      <c r="G2591" s="26">
        <v>1</v>
      </c>
      <c r="H2591" s="10" t="str">
        <f t="shared" si="40"/>
        <v>COSTOS</v>
      </c>
      <c r="I2591" s="20">
        <v>2026</v>
      </c>
    </row>
    <row r="2592" spans="1:9" hidden="1" x14ac:dyDescent="0.3">
      <c r="A2592" s="24" t="s">
        <v>146</v>
      </c>
      <c r="B2592" s="24" t="s">
        <v>14</v>
      </c>
      <c r="C2592" s="22">
        <v>4</v>
      </c>
      <c r="D2592" s="25">
        <v>180024</v>
      </c>
      <c r="E2592" s="25">
        <v>230023</v>
      </c>
      <c r="F2592" s="25">
        <v>49999</v>
      </c>
      <c r="G2592" s="26">
        <v>1.2777351908634405</v>
      </c>
      <c r="H2592" s="10" t="str">
        <f t="shared" si="40"/>
        <v>COSTOS</v>
      </c>
      <c r="I2592" s="20">
        <v>2026</v>
      </c>
    </row>
    <row r="2593" spans="1:9" hidden="1" x14ac:dyDescent="0.3">
      <c r="A2593" s="23" t="s">
        <v>147</v>
      </c>
      <c r="B2593" s="23" t="s">
        <v>14</v>
      </c>
      <c r="C2593" s="22">
        <v>1</v>
      </c>
      <c r="D2593" s="25">
        <v>180023</v>
      </c>
      <c r="E2593" s="25">
        <v>180023</v>
      </c>
      <c r="F2593" s="25">
        <v>0</v>
      </c>
      <c r="G2593" s="26">
        <v>1</v>
      </c>
      <c r="H2593" s="10" t="str">
        <f t="shared" si="40"/>
        <v>COSTOS</v>
      </c>
      <c r="I2593" s="20">
        <v>2026</v>
      </c>
    </row>
    <row r="2594" spans="1:9" hidden="1" x14ac:dyDescent="0.3">
      <c r="A2594" s="24" t="s">
        <v>147</v>
      </c>
      <c r="B2594" s="24" t="s">
        <v>14</v>
      </c>
      <c r="C2594" s="22">
        <v>2</v>
      </c>
      <c r="D2594" s="25">
        <v>180023</v>
      </c>
      <c r="E2594" s="25">
        <v>180023</v>
      </c>
      <c r="F2594" s="25">
        <v>0</v>
      </c>
      <c r="G2594" s="26">
        <v>1</v>
      </c>
      <c r="H2594" s="10" t="str">
        <f t="shared" si="40"/>
        <v>COSTOS</v>
      </c>
      <c r="I2594" s="20">
        <v>2026</v>
      </c>
    </row>
    <row r="2595" spans="1:9" hidden="1" x14ac:dyDescent="0.3">
      <c r="A2595" s="24" t="s">
        <v>147</v>
      </c>
      <c r="B2595" s="24" t="s">
        <v>14</v>
      </c>
      <c r="C2595" s="22">
        <v>3</v>
      </c>
      <c r="D2595" s="25">
        <v>180023</v>
      </c>
      <c r="E2595" s="25">
        <v>180023</v>
      </c>
      <c r="F2595" s="25">
        <v>0</v>
      </c>
      <c r="G2595" s="26">
        <v>1</v>
      </c>
      <c r="H2595" s="10" t="str">
        <f t="shared" si="40"/>
        <v>COSTOS</v>
      </c>
      <c r="I2595" s="20">
        <v>2026</v>
      </c>
    </row>
    <row r="2596" spans="1:9" hidden="1" x14ac:dyDescent="0.3">
      <c r="A2596" s="24" t="s">
        <v>147</v>
      </c>
      <c r="B2596" s="24" t="s">
        <v>14</v>
      </c>
      <c r="C2596" s="22">
        <v>4</v>
      </c>
      <c r="D2596" s="25">
        <v>528224</v>
      </c>
      <c r="E2596" s="25">
        <v>528224</v>
      </c>
      <c r="F2596" s="25">
        <v>0</v>
      </c>
      <c r="G2596" s="26">
        <v>1</v>
      </c>
      <c r="H2596" s="10" t="str">
        <f t="shared" si="40"/>
        <v>COSTOS</v>
      </c>
      <c r="I2596" s="20">
        <v>2026</v>
      </c>
    </row>
    <row r="2597" spans="1:9" hidden="1" x14ac:dyDescent="0.3">
      <c r="A2597" s="24" t="s">
        <v>226</v>
      </c>
      <c r="B2597" s="24" t="s">
        <v>40</v>
      </c>
      <c r="C2597" s="22">
        <v>1</v>
      </c>
      <c r="D2597" s="25">
        <v>0</v>
      </c>
      <c r="E2597" s="25">
        <v>0</v>
      </c>
      <c r="F2597" s="25">
        <v>0</v>
      </c>
      <c r="G2597" s="26">
        <v>0</v>
      </c>
      <c r="H2597" s="10" t="str">
        <f t="shared" si="40"/>
        <v>COSTOS</v>
      </c>
      <c r="I2597" s="20">
        <v>2026</v>
      </c>
    </row>
    <row r="2598" spans="1:9" hidden="1" x14ac:dyDescent="0.3">
      <c r="A2598" s="24" t="s">
        <v>226</v>
      </c>
      <c r="B2598" s="24" t="s">
        <v>40</v>
      </c>
      <c r="C2598" s="22">
        <v>2</v>
      </c>
      <c r="D2598" s="25">
        <v>0</v>
      </c>
      <c r="E2598" s="25">
        <v>0</v>
      </c>
      <c r="F2598" s="25">
        <v>0</v>
      </c>
      <c r="G2598" s="26">
        <v>0</v>
      </c>
      <c r="H2598" s="10" t="str">
        <f t="shared" si="40"/>
        <v>COSTOS</v>
      </c>
      <c r="I2598" s="20">
        <v>2026</v>
      </c>
    </row>
    <row r="2599" spans="1:9" hidden="1" x14ac:dyDescent="0.3">
      <c r="A2599" s="24" t="s">
        <v>226</v>
      </c>
      <c r="B2599" s="24" t="s">
        <v>40</v>
      </c>
      <c r="C2599" s="22">
        <v>3</v>
      </c>
      <c r="D2599" s="25">
        <v>300000</v>
      </c>
      <c r="E2599" s="25">
        <v>16026</v>
      </c>
      <c r="F2599" s="25">
        <v>-283974</v>
      </c>
      <c r="G2599" s="26">
        <v>5.3420000000000002E-2</v>
      </c>
      <c r="H2599" s="10" t="str">
        <f t="shared" si="40"/>
        <v>COSTOS</v>
      </c>
      <c r="I2599" s="20">
        <v>2026</v>
      </c>
    </row>
    <row r="2600" spans="1:9" hidden="1" x14ac:dyDescent="0.3">
      <c r="A2600" s="23" t="s">
        <v>226</v>
      </c>
      <c r="B2600" s="23" t="s">
        <v>40</v>
      </c>
      <c r="C2600" s="22">
        <v>4</v>
      </c>
      <c r="D2600" s="25">
        <v>5200000</v>
      </c>
      <c r="E2600" s="25">
        <v>0</v>
      </c>
      <c r="F2600" s="25">
        <v>-5200000</v>
      </c>
      <c r="G2600" s="26">
        <v>0</v>
      </c>
      <c r="H2600" s="10" t="str">
        <f t="shared" si="40"/>
        <v>COSTOS</v>
      </c>
      <c r="I2600" s="20">
        <v>2026</v>
      </c>
    </row>
    <row r="2601" spans="1:9" hidden="1" x14ac:dyDescent="0.3">
      <c r="A2601" s="24" t="s">
        <v>229</v>
      </c>
      <c r="B2601" s="24" t="s">
        <v>40</v>
      </c>
      <c r="C2601" s="22">
        <v>1</v>
      </c>
      <c r="D2601" s="25">
        <v>0</v>
      </c>
      <c r="E2601" s="25">
        <v>0</v>
      </c>
      <c r="F2601" s="25">
        <v>0</v>
      </c>
      <c r="G2601" s="26">
        <v>0</v>
      </c>
      <c r="H2601" s="10" t="str">
        <f t="shared" si="40"/>
        <v>COSTOS</v>
      </c>
      <c r="I2601" s="20">
        <v>2026</v>
      </c>
    </row>
    <row r="2602" spans="1:9" hidden="1" x14ac:dyDescent="0.3">
      <c r="A2602" s="24" t="s">
        <v>229</v>
      </c>
      <c r="B2602" s="24" t="s">
        <v>40</v>
      </c>
      <c r="C2602" s="22">
        <v>2</v>
      </c>
      <c r="D2602" s="25">
        <v>15000000</v>
      </c>
      <c r="E2602" s="25">
        <v>14950000</v>
      </c>
      <c r="F2602" s="25">
        <v>-50000</v>
      </c>
      <c r="G2602" s="26">
        <v>0.9966666666666667</v>
      </c>
      <c r="H2602" s="10" t="str">
        <f t="shared" si="40"/>
        <v>COSTOS</v>
      </c>
      <c r="I2602" s="20">
        <v>2026</v>
      </c>
    </row>
    <row r="2603" spans="1:9" hidden="1" x14ac:dyDescent="0.3">
      <c r="A2603" s="24" t="s">
        <v>229</v>
      </c>
      <c r="B2603" s="24" t="s">
        <v>40</v>
      </c>
      <c r="C2603" s="22">
        <v>3</v>
      </c>
      <c r="D2603" s="25">
        <v>0</v>
      </c>
      <c r="E2603" s="25">
        <v>0</v>
      </c>
      <c r="F2603" s="25">
        <v>0</v>
      </c>
      <c r="G2603" s="26">
        <v>0</v>
      </c>
      <c r="H2603" s="10" t="str">
        <f t="shared" si="40"/>
        <v>COSTOS</v>
      </c>
      <c r="I2603" s="20">
        <v>2026</v>
      </c>
    </row>
    <row r="2604" spans="1:9" hidden="1" x14ac:dyDescent="0.3">
      <c r="A2604" s="23" t="s">
        <v>229</v>
      </c>
      <c r="B2604" s="23" t="s">
        <v>40</v>
      </c>
      <c r="C2604" s="22">
        <v>4</v>
      </c>
      <c r="D2604" s="25">
        <v>0</v>
      </c>
      <c r="E2604" s="25">
        <v>0</v>
      </c>
      <c r="F2604" s="25">
        <v>0</v>
      </c>
      <c r="G2604" s="26">
        <v>0</v>
      </c>
      <c r="H2604" s="10" t="str">
        <f t="shared" si="40"/>
        <v>COSTOS</v>
      </c>
      <c r="I2604" s="20">
        <v>2026</v>
      </c>
    </row>
    <row r="2605" spans="1:9" hidden="1" x14ac:dyDescent="0.3">
      <c r="A2605" s="24" t="s">
        <v>243</v>
      </c>
      <c r="B2605" s="24" t="s">
        <v>40</v>
      </c>
      <c r="C2605" s="22">
        <v>1</v>
      </c>
      <c r="D2605" s="25">
        <v>0</v>
      </c>
      <c r="E2605" s="25">
        <v>645608</v>
      </c>
      <c r="F2605" s="25">
        <v>645608</v>
      </c>
      <c r="G2605" s="26">
        <v>0</v>
      </c>
      <c r="H2605" s="10" t="str">
        <f t="shared" si="40"/>
        <v>COSTOS</v>
      </c>
      <c r="I2605" s="20">
        <v>2026</v>
      </c>
    </row>
    <row r="2606" spans="1:9" hidden="1" x14ac:dyDescent="0.3">
      <c r="A2606" s="24" t="s">
        <v>243</v>
      </c>
      <c r="B2606" s="24" t="s">
        <v>40</v>
      </c>
      <c r="C2606" s="22">
        <v>2</v>
      </c>
      <c r="D2606" s="25">
        <v>350000</v>
      </c>
      <c r="E2606" s="25">
        <v>0</v>
      </c>
      <c r="F2606" s="25">
        <v>-350000</v>
      </c>
      <c r="G2606" s="26">
        <v>0</v>
      </c>
      <c r="H2606" s="10" t="str">
        <f t="shared" ref="H2606:H2669" si="41">+IF(OR(A2606="ADMINISTRACION",A2606="COMERCIAL",A2606="COMERCIAL-EXPORTACIONES",A2606="LEASING DE LA BODEGA",A2606="LOGISTICA-SALIDA",A2606="OTROS GASTOS",A2606="BODEGA ALQUILADA", A2606="BODEGA CARTOPLAST", A2606="BODEGA CARTOPLAS", A2606= "GESTION HUMANA-OTROS GASTOS",A2606="FAMILIA"),"GASTOS","COSTOS")</f>
        <v>COSTOS</v>
      </c>
      <c r="I2606" s="20">
        <v>2026</v>
      </c>
    </row>
    <row r="2607" spans="1:9" hidden="1" x14ac:dyDescent="0.3">
      <c r="A2607" s="24" t="s">
        <v>243</v>
      </c>
      <c r="B2607" s="24" t="s">
        <v>40</v>
      </c>
      <c r="C2607" s="22">
        <v>3</v>
      </c>
      <c r="D2607" s="25">
        <v>0</v>
      </c>
      <c r="E2607" s="25">
        <v>0</v>
      </c>
      <c r="F2607" s="25">
        <v>0</v>
      </c>
      <c r="G2607" s="26">
        <v>0</v>
      </c>
      <c r="H2607" s="10" t="str">
        <f t="shared" si="41"/>
        <v>COSTOS</v>
      </c>
      <c r="I2607" s="20">
        <v>2026</v>
      </c>
    </row>
    <row r="2608" spans="1:9" hidden="1" x14ac:dyDescent="0.3">
      <c r="A2608" s="23" t="s">
        <v>243</v>
      </c>
      <c r="B2608" s="23" t="s">
        <v>40</v>
      </c>
      <c r="C2608" s="22">
        <v>4</v>
      </c>
      <c r="D2608" s="25">
        <v>0</v>
      </c>
      <c r="E2608" s="25">
        <v>0</v>
      </c>
      <c r="F2608" s="25">
        <v>0</v>
      </c>
      <c r="G2608" s="26">
        <v>0</v>
      </c>
      <c r="H2608" s="10" t="str">
        <f t="shared" si="41"/>
        <v>COSTOS</v>
      </c>
      <c r="I2608" s="20">
        <v>2026</v>
      </c>
    </row>
    <row r="2609" spans="1:9" hidden="1" x14ac:dyDescent="0.3">
      <c r="A2609" s="24" t="s">
        <v>231</v>
      </c>
      <c r="B2609" s="24" t="s">
        <v>40</v>
      </c>
      <c r="C2609" s="22">
        <v>1</v>
      </c>
      <c r="D2609" s="25">
        <v>0</v>
      </c>
      <c r="E2609" s="25">
        <v>0</v>
      </c>
      <c r="F2609" s="25">
        <v>0</v>
      </c>
      <c r="G2609" s="26">
        <v>0</v>
      </c>
      <c r="H2609" s="10" t="str">
        <f t="shared" si="41"/>
        <v>COSTOS</v>
      </c>
      <c r="I2609" s="20">
        <v>2026</v>
      </c>
    </row>
    <row r="2610" spans="1:9" hidden="1" x14ac:dyDescent="0.3">
      <c r="A2610" s="24" t="s">
        <v>231</v>
      </c>
      <c r="B2610" s="24" t="s">
        <v>40</v>
      </c>
      <c r="C2610" s="22">
        <v>2</v>
      </c>
      <c r="D2610" s="25">
        <v>0</v>
      </c>
      <c r="E2610" s="25">
        <v>0</v>
      </c>
      <c r="F2610" s="25">
        <v>0</v>
      </c>
      <c r="G2610" s="26">
        <v>0</v>
      </c>
      <c r="H2610" s="10" t="str">
        <f t="shared" si="41"/>
        <v>COSTOS</v>
      </c>
      <c r="I2610" s="20">
        <v>2026</v>
      </c>
    </row>
    <row r="2611" spans="1:9" hidden="1" x14ac:dyDescent="0.3">
      <c r="A2611" s="24" t="s">
        <v>231</v>
      </c>
      <c r="B2611" s="24" t="s">
        <v>40</v>
      </c>
      <c r="C2611" s="22">
        <v>3</v>
      </c>
      <c r="D2611" s="25">
        <v>0</v>
      </c>
      <c r="E2611" s="25">
        <v>0</v>
      </c>
      <c r="F2611" s="25">
        <v>0</v>
      </c>
      <c r="G2611" s="26">
        <v>0</v>
      </c>
      <c r="H2611" s="10" t="str">
        <f t="shared" si="41"/>
        <v>COSTOS</v>
      </c>
      <c r="I2611" s="20">
        <v>2026</v>
      </c>
    </row>
    <row r="2612" spans="1:9" hidden="1" x14ac:dyDescent="0.3">
      <c r="A2612" s="23" t="s">
        <v>231</v>
      </c>
      <c r="B2612" s="23" t="s">
        <v>40</v>
      </c>
      <c r="C2612" s="22">
        <v>4</v>
      </c>
      <c r="D2612" s="25">
        <v>0</v>
      </c>
      <c r="E2612" s="25">
        <v>0</v>
      </c>
      <c r="F2612" s="25">
        <v>0</v>
      </c>
      <c r="G2612" s="26">
        <v>0</v>
      </c>
      <c r="H2612" s="10" t="str">
        <f t="shared" si="41"/>
        <v>COSTOS</v>
      </c>
      <c r="I2612" s="20">
        <v>2026</v>
      </c>
    </row>
    <row r="2613" spans="1:9" hidden="1" x14ac:dyDescent="0.3">
      <c r="A2613" s="24" t="s">
        <v>246</v>
      </c>
      <c r="B2613" s="24" t="s">
        <v>40</v>
      </c>
      <c r="C2613" s="22">
        <v>1</v>
      </c>
      <c r="D2613" s="25">
        <v>0</v>
      </c>
      <c r="E2613" s="25">
        <v>0</v>
      </c>
      <c r="F2613" s="25">
        <v>0</v>
      </c>
      <c r="G2613" s="26">
        <v>0</v>
      </c>
      <c r="H2613" s="10" t="str">
        <f t="shared" si="41"/>
        <v>COSTOS</v>
      </c>
      <c r="I2613" s="20">
        <v>2026</v>
      </c>
    </row>
    <row r="2614" spans="1:9" hidden="1" x14ac:dyDescent="0.3">
      <c r="A2614" s="24" t="s">
        <v>246</v>
      </c>
      <c r="B2614" s="24" t="s">
        <v>40</v>
      </c>
      <c r="C2614" s="22">
        <v>2</v>
      </c>
      <c r="D2614" s="25">
        <v>0</v>
      </c>
      <c r="E2614" s="25">
        <v>0</v>
      </c>
      <c r="F2614" s="25">
        <v>0</v>
      </c>
      <c r="G2614" s="26">
        <v>0</v>
      </c>
      <c r="H2614" s="10" t="str">
        <f t="shared" si="41"/>
        <v>COSTOS</v>
      </c>
      <c r="I2614" s="20">
        <v>2026</v>
      </c>
    </row>
    <row r="2615" spans="1:9" hidden="1" x14ac:dyDescent="0.3">
      <c r="A2615" s="24" t="s">
        <v>246</v>
      </c>
      <c r="B2615" s="24" t="s">
        <v>40</v>
      </c>
      <c r="C2615" s="22">
        <v>3</v>
      </c>
      <c r="D2615" s="25">
        <v>1600000</v>
      </c>
      <c r="E2615" s="25">
        <v>1012960</v>
      </c>
      <c r="F2615" s="25">
        <v>-587040</v>
      </c>
      <c r="G2615" s="26">
        <v>0.6331</v>
      </c>
      <c r="H2615" s="10" t="str">
        <f t="shared" si="41"/>
        <v>COSTOS</v>
      </c>
      <c r="I2615" s="20">
        <v>2026</v>
      </c>
    </row>
    <row r="2616" spans="1:9" hidden="1" x14ac:dyDescent="0.3">
      <c r="A2616" s="23" t="s">
        <v>246</v>
      </c>
      <c r="B2616" s="23" t="s">
        <v>40</v>
      </c>
      <c r="C2616" s="22">
        <v>4</v>
      </c>
      <c r="D2616" s="25">
        <v>4800000</v>
      </c>
      <c r="E2616" s="25">
        <v>0</v>
      </c>
      <c r="F2616" s="25">
        <v>-4800000</v>
      </c>
      <c r="G2616" s="26">
        <v>0</v>
      </c>
      <c r="H2616" s="10" t="str">
        <f t="shared" si="41"/>
        <v>COSTOS</v>
      </c>
      <c r="I2616" s="20">
        <v>2026</v>
      </c>
    </row>
    <row r="2617" spans="1:9" hidden="1" x14ac:dyDescent="0.3">
      <c r="A2617" s="24" t="s">
        <v>67</v>
      </c>
      <c r="B2617" s="24" t="s">
        <v>40</v>
      </c>
      <c r="C2617" s="22">
        <v>1</v>
      </c>
      <c r="D2617" s="25">
        <v>2970902</v>
      </c>
      <c r="E2617" s="25">
        <v>2970902</v>
      </c>
      <c r="F2617" s="25">
        <v>0</v>
      </c>
      <c r="G2617" s="26">
        <v>1</v>
      </c>
      <c r="H2617" s="10" t="str">
        <f t="shared" si="41"/>
        <v>COSTOS</v>
      </c>
      <c r="I2617" s="20">
        <v>2026</v>
      </c>
    </row>
    <row r="2618" spans="1:9" hidden="1" x14ac:dyDescent="0.3">
      <c r="A2618" s="24" t="s">
        <v>67</v>
      </c>
      <c r="B2618" s="24" t="s">
        <v>40</v>
      </c>
      <c r="C2618" s="22">
        <v>2</v>
      </c>
      <c r="D2618" s="25">
        <v>0</v>
      </c>
      <c r="E2618" s="25">
        <v>0</v>
      </c>
      <c r="F2618" s="25">
        <v>0</v>
      </c>
      <c r="G2618" s="26">
        <v>0</v>
      </c>
      <c r="H2618" s="10" t="str">
        <f t="shared" si="41"/>
        <v>COSTOS</v>
      </c>
      <c r="I2618" s="20">
        <v>2026</v>
      </c>
    </row>
    <row r="2619" spans="1:9" hidden="1" x14ac:dyDescent="0.3">
      <c r="A2619" s="24" t="s">
        <v>67</v>
      </c>
      <c r="B2619" s="24" t="s">
        <v>40</v>
      </c>
      <c r="C2619" s="22">
        <v>3</v>
      </c>
      <c r="D2619" s="25">
        <v>0</v>
      </c>
      <c r="E2619" s="25">
        <v>0</v>
      </c>
      <c r="F2619" s="25">
        <v>0</v>
      </c>
      <c r="G2619" s="26">
        <v>0</v>
      </c>
      <c r="H2619" s="10" t="str">
        <f t="shared" si="41"/>
        <v>COSTOS</v>
      </c>
      <c r="I2619" s="20">
        <v>2026</v>
      </c>
    </row>
    <row r="2620" spans="1:9" hidden="1" x14ac:dyDescent="0.3">
      <c r="A2620" s="23" t="s">
        <v>67</v>
      </c>
      <c r="B2620" s="23" t="s">
        <v>40</v>
      </c>
      <c r="C2620" s="22">
        <v>4</v>
      </c>
      <c r="D2620" s="25">
        <v>0</v>
      </c>
      <c r="E2620" s="25">
        <v>0</v>
      </c>
      <c r="F2620" s="25">
        <v>0</v>
      </c>
      <c r="G2620" s="26">
        <v>0</v>
      </c>
      <c r="H2620" s="10" t="str">
        <f t="shared" si="41"/>
        <v>COSTOS</v>
      </c>
      <c r="I2620" s="20">
        <v>2026</v>
      </c>
    </row>
    <row r="2621" spans="1:9" hidden="1" x14ac:dyDescent="0.3">
      <c r="A2621" s="24" t="s">
        <v>242</v>
      </c>
      <c r="B2621" s="24" t="s">
        <v>72</v>
      </c>
      <c r="C2621" s="22">
        <v>1</v>
      </c>
      <c r="D2621" s="25">
        <v>0</v>
      </c>
      <c r="E2621" s="25">
        <v>0</v>
      </c>
      <c r="F2621" s="25">
        <v>0</v>
      </c>
      <c r="G2621" s="26">
        <v>0</v>
      </c>
      <c r="H2621" s="10" t="str">
        <f t="shared" si="41"/>
        <v>GASTOS</v>
      </c>
      <c r="I2621" s="20">
        <v>2026</v>
      </c>
    </row>
    <row r="2622" spans="1:9" hidden="1" x14ac:dyDescent="0.3">
      <c r="A2622" s="24" t="s">
        <v>242</v>
      </c>
      <c r="B2622" s="24" t="s">
        <v>72</v>
      </c>
      <c r="C2622" s="22">
        <v>2</v>
      </c>
      <c r="D2622" s="25">
        <v>0</v>
      </c>
      <c r="E2622" s="25">
        <v>0</v>
      </c>
      <c r="F2622" s="25">
        <v>0</v>
      </c>
      <c r="G2622" s="26">
        <v>0</v>
      </c>
      <c r="H2622" s="10" t="str">
        <f t="shared" si="41"/>
        <v>GASTOS</v>
      </c>
      <c r="I2622" s="20">
        <v>2026</v>
      </c>
    </row>
    <row r="2623" spans="1:9" hidden="1" x14ac:dyDescent="0.3">
      <c r="A2623" s="24" t="s">
        <v>242</v>
      </c>
      <c r="B2623" s="24" t="s">
        <v>72</v>
      </c>
      <c r="C2623" s="22">
        <v>3</v>
      </c>
      <c r="D2623" s="25">
        <v>0</v>
      </c>
      <c r="E2623" s="25">
        <v>0</v>
      </c>
      <c r="F2623" s="25">
        <v>0</v>
      </c>
      <c r="G2623" s="26">
        <v>0</v>
      </c>
      <c r="H2623" s="10" t="str">
        <f t="shared" si="41"/>
        <v>GASTOS</v>
      </c>
      <c r="I2623" s="20">
        <v>2026</v>
      </c>
    </row>
    <row r="2624" spans="1:9" hidden="1" x14ac:dyDescent="0.3">
      <c r="A2624" s="23" t="s">
        <v>242</v>
      </c>
      <c r="B2624" s="23" t="s">
        <v>72</v>
      </c>
      <c r="C2624" s="22">
        <v>4</v>
      </c>
      <c r="D2624" s="25">
        <v>0</v>
      </c>
      <c r="E2624" s="25">
        <v>0</v>
      </c>
      <c r="F2624" s="25">
        <v>0</v>
      </c>
      <c r="G2624" s="26">
        <v>0</v>
      </c>
      <c r="H2624" s="10" t="str">
        <f t="shared" si="41"/>
        <v>GASTOS</v>
      </c>
      <c r="I2624" s="20">
        <v>2026</v>
      </c>
    </row>
    <row r="2625" spans="1:9" hidden="1" x14ac:dyDescent="0.3">
      <c r="A2625" s="24" t="s">
        <v>146</v>
      </c>
      <c r="B2625" s="24" t="s">
        <v>72</v>
      </c>
      <c r="C2625" s="22">
        <v>1</v>
      </c>
      <c r="D2625" s="25">
        <v>1138635</v>
      </c>
      <c r="E2625" s="25">
        <v>1138635</v>
      </c>
      <c r="F2625" s="25">
        <v>0</v>
      </c>
      <c r="G2625" s="26">
        <v>1</v>
      </c>
      <c r="H2625" s="10" t="str">
        <f t="shared" si="41"/>
        <v>COSTOS</v>
      </c>
      <c r="I2625" s="20">
        <v>2026</v>
      </c>
    </row>
    <row r="2626" spans="1:9" hidden="1" x14ac:dyDescent="0.3">
      <c r="A2626" s="24" t="s">
        <v>146</v>
      </c>
      <c r="B2626" s="24" t="s">
        <v>72</v>
      </c>
      <c r="C2626" s="22">
        <v>2</v>
      </c>
      <c r="D2626" s="25">
        <v>4778841</v>
      </c>
      <c r="E2626" s="25">
        <v>4778841</v>
      </c>
      <c r="F2626" s="25">
        <v>0</v>
      </c>
      <c r="G2626" s="26">
        <v>1</v>
      </c>
      <c r="H2626" s="10" t="str">
        <f t="shared" si="41"/>
        <v>COSTOS</v>
      </c>
      <c r="I2626" s="20">
        <v>2026</v>
      </c>
    </row>
    <row r="2627" spans="1:9" hidden="1" x14ac:dyDescent="0.3">
      <c r="A2627" s="24" t="s">
        <v>146</v>
      </c>
      <c r="B2627" s="24" t="s">
        <v>72</v>
      </c>
      <c r="C2627" s="22">
        <v>3</v>
      </c>
      <c r="D2627" s="25">
        <v>1087445</v>
      </c>
      <c r="E2627" s="25">
        <v>1087445</v>
      </c>
      <c r="F2627" s="25">
        <v>0</v>
      </c>
      <c r="G2627" s="26">
        <v>1</v>
      </c>
      <c r="H2627" s="10" t="str">
        <f t="shared" si="41"/>
        <v>COSTOS</v>
      </c>
      <c r="I2627" s="20">
        <v>2026</v>
      </c>
    </row>
    <row r="2628" spans="1:9" hidden="1" x14ac:dyDescent="0.3">
      <c r="A2628" s="23" t="s">
        <v>146</v>
      </c>
      <c r="B2628" s="23" t="s">
        <v>72</v>
      </c>
      <c r="C2628" s="22">
        <v>4</v>
      </c>
      <c r="D2628" s="25">
        <v>1338461</v>
      </c>
      <c r="E2628" s="25">
        <v>1393643</v>
      </c>
      <c r="F2628" s="25">
        <v>55182</v>
      </c>
      <c r="G2628" s="26">
        <v>1.0412279476204387</v>
      </c>
      <c r="H2628" s="10" t="str">
        <f t="shared" si="41"/>
        <v>COSTOS</v>
      </c>
      <c r="I2628" s="20">
        <v>2026</v>
      </c>
    </row>
    <row r="2629" spans="1:9" hidden="1" x14ac:dyDescent="0.3">
      <c r="A2629" s="24" t="s">
        <v>147</v>
      </c>
      <c r="B2629" s="24" t="s">
        <v>72</v>
      </c>
      <c r="C2629" s="22">
        <v>1</v>
      </c>
      <c r="D2629" s="25">
        <v>3671954</v>
      </c>
      <c r="E2629" s="25">
        <v>3671954</v>
      </c>
      <c r="F2629" s="25">
        <v>0</v>
      </c>
      <c r="G2629" s="26">
        <v>1</v>
      </c>
      <c r="H2629" s="10" t="str">
        <f t="shared" si="41"/>
        <v>COSTOS</v>
      </c>
      <c r="I2629" s="20">
        <v>2026</v>
      </c>
    </row>
    <row r="2630" spans="1:9" hidden="1" x14ac:dyDescent="0.3">
      <c r="A2630" s="24" t="s">
        <v>147</v>
      </c>
      <c r="B2630" s="24" t="s">
        <v>72</v>
      </c>
      <c r="C2630" s="22">
        <v>2</v>
      </c>
      <c r="D2630" s="25">
        <v>4990492</v>
      </c>
      <c r="E2630" s="25">
        <v>4990492</v>
      </c>
      <c r="F2630" s="25">
        <v>0</v>
      </c>
      <c r="G2630" s="26">
        <v>1</v>
      </c>
      <c r="H2630" s="10" t="str">
        <f t="shared" si="41"/>
        <v>COSTOS</v>
      </c>
      <c r="I2630" s="20">
        <v>2026</v>
      </c>
    </row>
    <row r="2631" spans="1:9" hidden="1" x14ac:dyDescent="0.3">
      <c r="A2631" s="24" t="s">
        <v>147</v>
      </c>
      <c r="B2631" s="24" t="s">
        <v>72</v>
      </c>
      <c r="C2631" s="22">
        <v>3</v>
      </c>
      <c r="D2631" s="25">
        <v>5064002</v>
      </c>
      <c r="E2631" s="25">
        <v>5064002</v>
      </c>
      <c r="F2631" s="25">
        <v>0</v>
      </c>
      <c r="G2631" s="26">
        <v>1</v>
      </c>
      <c r="H2631" s="10" t="str">
        <f t="shared" si="41"/>
        <v>COSTOS</v>
      </c>
      <c r="I2631" s="20">
        <v>2026</v>
      </c>
    </row>
    <row r="2632" spans="1:9" hidden="1" x14ac:dyDescent="0.3">
      <c r="A2632" s="23" t="s">
        <v>147</v>
      </c>
      <c r="B2632" s="23" t="s">
        <v>72</v>
      </c>
      <c r="C2632" s="22">
        <v>4</v>
      </c>
      <c r="D2632" s="25">
        <v>4575482</v>
      </c>
      <c r="E2632" s="25">
        <v>5183001</v>
      </c>
      <c r="F2632" s="25">
        <v>607519</v>
      </c>
      <c r="G2632" s="26">
        <v>1.1327770494999216</v>
      </c>
      <c r="H2632" s="10" t="str">
        <f t="shared" si="41"/>
        <v>COSTOS</v>
      </c>
      <c r="I2632" s="20">
        <v>2026</v>
      </c>
    </row>
    <row r="2633" spans="1:9" hidden="1" x14ac:dyDescent="0.3">
      <c r="A2633" s="24" t="s">
        <v>242</v>
      </c>
      <c r="B2633" s="24" t="s">
        <v>73</v>
      </c>
      <c r="C2633" s="22">
        <v>1</v>
      </c>
      <c r="D2633" s="25">
        <v>0</v>
      </c>
      <c r="E2633" s="25">
        <v>0</v>
      </c>
      <c r="F2633" s="25">
        <v>0</v>
      </c>
      <c r="G2633" s="26">
        <v>0</v>
      </c>
      <c r="H2633" s="10" t="str">
        <f t="shared" si="41"/>
        <v>GASTOS</v>
      </c>
      <c r="I2633" s="20">
        <v>2026</v>
      </c>
    </row>
    <row r="2634" spans="1:9" hidden="1" x14ac:dyDescent="0.3">
      <c r="A2634" s="24" t="s">
        <v>242</v>
      </c>
      <c r="B2634" s="24" t="s">
        <v>73</v>
      </c>
      <c r="C2634" s="22">
        <v>2</v>
      </c>
      <c r="D2634" s="25">
        <v>0</v>
      </c>
      <c r="E2634" s="25">
        <v>0</v>
      </c>
      <c r="F2634" s="25">
        <v>0</v>
      </c>
      <c r="G2634" s="26">
        <v>0</v>
      </c>
      <c r="H2634" s="10" t="str">
        <f t="shared" si="41"/>
        <v>GASTOS</v>
      </c>
      <c r="I2634" s="20">
        <v>2026</v>
      </c>
    </row>
    <row r="2635" spans="1:9" hidden="1" x14ac:dyDescent="0.3">
      <c r="A2635" s="24" t="s">
        <v>242</v>
      </c>
      <c r="B2635" s="24" t="s">
        <v>73</v>
      </c>
      <c r="C2635" s="22">
        <v>3</v>
      </c>
      <c r="D2635" s="25">
        <v>0</v>
      </c>
      <c r="E2635" s="25">
        <v>0</v>
      </c>
      <c r="F2635" s="25">
        <v>0</v>
      </c>
      <c r="G2635" s="26">
        <v>0</v>
      </c>
      <c r="H2635" s="10" t="str">
        <f t="shared" si="41"/>
        <v>GASTOS</v>
      </c>
      <c r="I2635" s="20">
        <v>2026</v>
      </c>
    </row>
    <row r="2636" spans="1:9" hidden="1" x14ac:dyDescent="0.3">
      <c r="A2636" s="23" t="s">
        <v>242</v>
      </c>
      <c r="B2636" s="23" t="s">
        <v>73</v>
      </c>
      <c r="C2636" s="22">
        <v>4</v>
      </c>
      <c r="D2636" s="25">
        <v>0</v>
      </c>
      <c r="E2636" s="25">
        <v>0</v>
      </c>
      <c r="F2636" s="25">
        <v>0</v>
      </c>
      <c r="G2636" s="26">
        <v>0</v>
      </c>
      <c r="H2636" s="10" t="str">
        <f t="shared" si="41"/>
        <v>GASTOS</v>
      </c>
      <c r="I2636" s="20">
        <v>2026</v>
      </c>
    </row>
    <row r="2637" spans="1:9" hidden="1" x14ac:dyDescent="0.3">
      <c r="A2637" s="24" t="s">
        <v>146</v>
      </c>
      <c r="B2637" s="24" t="s">
        <v>73</v>
      </c>
      <c r="C2637" s="22">
        <v>1</v>
      </c>
      <c r="D2637" s="25">
        <v>30742853</v>
      </c>
      <c r="E2637" s="25">
        <v>30742853</v>
      </c>
      <c r="F2637" s="25">
        <v>0</v>
      </c>
      <c r="G2637" s="26">
        <v>1</v>
      </c>
      <c r="H2637" s="10" t="str">
        <f t="shared" si="41"/>
        <v>COSTOS</v>
      </c>
      <c r="I2637" s="20">
        <v>2026</v>
      </c>
    </row>
    <row r="2638" spans="1:9" hidden="1" x14ac:dyDescent="0.3">
      <c r="A2638" s="24" t="s">
        <v>146</v>
      </c>
      <c r="B2638" s="24" t="s">
        <v>73</v>
      </c>
      <c r="C2638" s="22">
        <v>2</v>
      </c>
      <c r="D2638" s="25">
        <v>38479945</v>
      </c>
      <c r="E2638" s="25">
        <v>38479945</v>
      </c>
      <c r="F2638" s="25">
        <v>0</v>
      </c>
      <c r="G2638" s="26">
        <v>1</v>
      </c>
      <c r="H2638" s="10" t="str">
        <f t="shared" si="41"/>
        <v>COSTOS</v>
      </c>
      <c r="I2638" s="20">
        <v>2026</v>
      </c>
    </row>
    <row r="2639" spans="1:9" hidden="1" x14ac:dyDescent="0.3">
      <c r="A2639" s="24" t="s">
        <v>146</v>
      </c>
      <c r="B2639" s="24" t="s">
        <v>73</v>
      </c>
      <c r="C2639" s="22">
        <v>3</v>
      </c>
      <c r="D2639" s="25">
        <v>38154124</v>
      </c>
      <c r="E2639" s="25">
        <v>38154124</v>
      </c>
      <c r="F2639" s="25">
        <v>0</v>
      </c>
      <c r="G2639" s="26">
        <v>1</v>
      </c>
      <c r="H2639" s="10" t="str">
        <f t="shared" si="41"/>
        <v>COSTOS</v>
      </c>
      <c r="I2639" s="20">
        <v>2026</v>
      </c>
    </row>
    <row r="2640" spans="1:9" hidden="1" x14ac:dyDescent="0.3">
      <c r="A2640" s="23" t="s">
        <v>146</v>
      </c>
      <c r="B2640" s="23" t="s">
        <v>73</v>
      </c>
      <c r="C2640" s="22">
        <v>4</v>
      </c>
      <c r="D2640" s="25">
        <v>42788774</v>
      </c>
      <c r="E2640" s="25">
        <v>43443886</v>
      </c>
      <c r="F2640" s="25">
        <v>655112</v>
      </c>
      <c r="G2640" s="26">
        <v>1.015310370893076</v>
      </c>
      <c r="H2640" s="10" t="str">
        <f t="shared" si="41"/>
        <v>COSTOS</v>
      </c>
      <c r="I2640" s="20">
        <v>2026</v>
      </c>
    </row>
    <row r="2641" spans="1:9" hidden="1" x14ac:dyDescent="0.3">
      <c r="A2641" s="24" t="s">
        <v>147</v>
      </c>
      <c r="B2641" s="24" t="s">
        <v>73</v>
      </c>
      <c r="C2641" s="22">
        <v>1</v>
      </c>
      <c r="D2641" s="25">
        <v>11451302</v>
      </c>
      <c r="E2641" s="25">
        <v>11451302</v>
      </c>
      <c r="F2641" s="25">
        <v>0</v>
      </c>
      <c r="G2641" s="26">
        <v>1</v>
      </c>
      <c r="H2641" s="10" t="str">
        <f t="shared" si="41"/>
        <v>COSTOS</v>
      </c>
      <c r="I2641" s="20">
        <v>2026</v>
      </c>
    </row>
    <row r="2642" spans="1:9" hidden="1" x14ac:dyDescent="0.3">
      <c r="A2642" s="24" t="s">
        <v>147</v>
      </c>
      <c r="B2642" s="24" t="s">
        <v>73</v>
      </c>
      <c r="C2642" s="22">
        <v>2</v>
      </c>
      <c r="D2642" s="25">
        <v>17034375</v>
      </c>
      <c r="E2642" s="25">
        <v>17034375</v>
      </c>
      <c r="F2642" s="25">
        <v>0</v>
      </c>
      <c r="G2642" s="26">
        <v>1</v>
      </c>
      <c r="H2642" s="10" t="str">
        <f t="shared" si="41"/>
        <v>COSTOS</v>
      </c>
      <c r="I2642" s="20">
        <v>2026</v>
      </c>
    </row>
    <row r="2643" spans="1:9" hidden="1" x14ac:dyDescent="0.3">
      <c r="A2643" s="24" t="s">
        <v>147</v>
      </c>
      <c r="B2643" s="24" t="s">
        <v>73</v>
      </c>
      <c r="C2643" s="22">
        <v>3</v>
      </c>
      <c r="D2643" s="25">
        <v>15952668</v>
      </c>
      <c r="E2643" s="25">
        <v>15952668</v>
      </c>
      <c r="F2643" s="25">
        <v>0</v>
      </c>
      <c r="G2643" s="26">
        <v>1</v>
      </c>
      <c r="H2643" s="10" t="str">
        <f t="shared" si="41"/>
        <v>COSTOS</v>
      </c>
      <c r="I2643" s="20">
        <v>2026</v>
      </c>
    </row>
    <row r="2644" spans="1:9" hidden="1" x14ac:dyDescent="0.3">
      <c r="A2644" s="23" t="s">
        <v>147</v>
      </c>
      <c r="B2644" s="23" t="s">
        <v>73</v>
      </c>
      <c r="C2644" s="22">
        <v>4</v>
      </c>
      <c r="D2644" s="25">
        <v>14812781</v>
      </c>
      <c r="E2644" s="25">
        <v>17378490</v>
      </c>
      <c r="F2644" s="25">
        <v>2565709</v>
      </c>
      <c r="G2644" s="26">
        <v>1.1732091360832244</v>
      </c>
      <c r="H2644" s="10" t="str">
        <f t="shared" si="41"/>
        <v>COSTOS</v>
      </c>
      <c r="I2644" s="20">
        <v>2026</v>
      </c>
    </row>
    <row r="2645" spans="1:9" hidden="1" x14ac:dyDescent="0.3">
      <c r="A2645" s="24" t="s">
        <v>226</v>
      </c>
      <c r="B2645" s="24" t="s">
        <v>16</v>
      </c>
      <c r="C2645" s="22">
        <v>1</v>
      </c>
      <c r="D2645" s="25">
        <v>30000</v>
      </c>
      <c r="E2645" s="25">
        <v>0</v>
      </c>
      <c r="F2645" s="25">
        <v>-30000</v>
      </c>
      <c r="G2645" s="26">
        <v>0</v>
      </c>
      <c r="H2645" s="10" t="str">
        <f t="shared" si="41"/>
        <v>COSTOS</v>
      </c>
      <c r="I2645" s="20">
        <v>2026</v>
      </c>
    </row>
    <row r="2646" spans="1:9" hidden="1" x14ac:dyDescent="0.3">
      <c r="A2646" s="24" t="s">
        <v>226</v>
      </c>
      <c r="B2646" s="24" t="s">
        <v>16</v>
      </c>
      <c r="C2646" s="22">
        <v>2</v>
      </c>
      <c r="D2646" s="25">
        <v>30000</v>
      </c>
      <c r="E2646" s="25">
        <v>0</v>
      </c>
      <c r="F2646" s="25">
        <v>-30000</v>
      </c>
      <c r="G2646" s="26">
        <v>0</v>
      </c>
      <c r="H2646" s="10" t="str">
        <f t="shared" si="41"/>
        <v>COSTOS</v>
      </c>
      <c r="I2646" s="20">
        <v>2026</v>
      </c>
    </row>
    <row r="2647" spans="1:9" hidden="1" x14ac:dyDescent="0.3">
      <c r="A2647" s="24" t="s">
        <v>226</v>
      </c>
      <c r="B2647" s="24" t="s">
        <v>16</v>
      </c>
      <c r="C2647" s="22">
        <v>3</v>
      </c>
      <c r="D2647" s="25">
        <v>50000</v>
      </c>
      <c r="E2647" s="25">
        <v>0</v>
      </c>
      <c r="F2647" s="25">
        <v>-50000</v>
      </c>
      <c r="G2647" s="26">
        <v>0</v>
      </c>
      <c r="H2647" s="10" t="str">
        <f t="shared" si="41"/>
        <v>COSTOS</v>
      </c>
      <c r="I2647" s="20">
        <v>2026</v>
      </c>
    </row>
    <row r="2648" spans="1:9" hidden="1" x14ac:dyDescent="0.3">
      <c r="A2648" s="23" t="s">
        <v>226</v>
      </c>
      <c r="B2648" s="23" t="s">
        <v>16</v>
      </c>
      <c r="C2648" s="22">
        <v>4</v>
      </c>
      <c r="D2648" s="25">
        <v>30000</v>
      </c>
      <c r="E2648" s="25">
        <v>14000</v>
      </c>
      <c r="F2648" s="25">
        <v>-16000</v>
      </c>
      <c r="G2648" s="26">
        <v>0.46666666666666667</v>
      </c>
      <c r="H2648" s="10" t="str">
        <f t="shared" si="41"/>
        <v>COSTOS</v>
      </c>
      <c r="I2648" s="20">
        <v>2026</v>
      </c>
    </row>
    <row r="2649" spans="1:9" hidden="1" x14ac:dyDescent="0.3">
      <c r="A2649" s="24" t="s">
        <v>240</v>
      </c>
      <c r="B2649" s="24" t="s">
        <v>16</v>
      </c>
      <c r="C2649" s="22">
        <v>1</v>
      </c>
      <c r="D2649" s="25">
        <v>0</v>
      </c>
      <c r="E2649" s="25">
        <v>27500</v>
      </c>
      <c r="F2649" s="25">
        <v>27500</v>
      </c>
      <c r="G2649" s="26">
        <v>0</v>
      </c>
      <c r="H2649" s="10" t="str">
        <f t="shared" si="41"/>
        <v>COSTOS</v>
      </c>
      <c r="I2649" s="20">
        <v>2026</v>
      </c>
    </row>
    <row r="2650" spans="1:9" hidden="1" x14ac:dyDescent="0.3">
      <c r="A2650" s="24" t="s">
        <v>240</v>
      </c>
      <c r="B2650" s="24" t="s">
        <v>16</v>
      </c>
      <c r="C2650" s="22">
        <v>2</v>
      </c>
      <c r="D2650" s="25">
        <v>0</v>
      </c>
      <c r="E2650" s="25">
        <v>0</v>
      </c>
      <c r="F2650" s="25">
        <v>0</v>
      </c>
      <c r="G2650" s="26">
        <v>0</v>
      </c>
      <c r="H2650" s="10" t="str">
        <f t="shared" si="41"/>
        <v>COSTOS</v>
      </c>
      <c r="I2650" s="20">
        <v>2026</v>
      </c>
    </row>
    <row r="2651" spans="1:9" hidden="1" x14ac:dyDescent="0.3">
      <c r="A2651" s="24" t="s">
        <v>240</v>
      </c>
      <c r="B2651" s="24" t="s">
        <v>16</v>
      </c>
      <c r="C2651" s="22">
        <v>3</v>
      </c>
      <c r="D2651" s="25">
        <v>0</v>
      </c>
      <c r="E2651" s="25">
        <v>10350</v>
      </c>
      <c r="F2651" s="25">
        <v>10350</v>
      </c>
      <c r="G2651" s="26">
        <v>0</v>
      </c>
      <c r="H2651" s="10" t="str">
        <f t="shared" si="41"/>
        <v>COSTOS</v>
      </c>
      <c r="I2651" s="20">
        <v>2026</v>
      </c>
    </row>
    <row r="2652" spans="1:9" hidden="1" x14ac:dyDescent="0.3">
      <c r="A2652" s="23" t="s">
        <v>240</v>
      </c>
      <c r="B2652" s="23" t="s">
        <v>16</v>
      </c>
      <c r="C2652" s="22">
        <v>4</v>
      </c>
      <c r="D2652" s="25">
        <v>0</v>
      </c>
      <c r="E2652" s="25">
        <v>0</v>
      </c>
      <c r="F2652" s="25">
        <v>0</v>
      </c>
      <c r="G2652" s="26">
        <v>0</v>
      </c>
      <c r="H2652" s="10" t="str">
        <f t="shared" si="41"/>
        <v>COSTOS</v>
      </c>
      <c r="I2652" s="20">
        <v>2026</v>
      </c>
    </row>
    <row r="2653" spans="1:9" hidden="1" x14ac:dyDescent="0.3">
      <c r="A2653" s="24" t="s">
        <v>87</v>
      </c>
      <c r="B2653" s="24" t="s">
        <v>16</v>
      </c>
      <c r="C2653" s="22">
        <v>1</v>
      </c>
      <c r="D2653" s="25">
        <v>30000</v>
      </c>
      <c r="E2653" s="25">
        <v>0</v>
      </c>
      <c r="F2653" s="25">
        <v>-30000</v>
      </c>
      <c r="G2653" s="26">
        <v>0</v>
      </c>
      <c r="H2653" s="10" t="str">
        <f t="shared" si="41"/>
        <v>COSTOS</v>
      </c>
      <c r="I2653" s="20">
        <v>2026</v>
      </c>
    </row>
    <row r="2654" spans="1:9" hidden="1" x14ac:dyDescent="0.3">
      <c r="A2654" s="24" t="s">
        <v>87</v>
      </c>
      <c r="B2654" s="24" t="s">
        <v>16</v>
      </c>
      <c r="C2654" s="22">
        <v>2</v>
      </c>
      <c r="D2654" s="25">
        <v>30000</v>
      </c>
      <c r="E2654" s="25">
        <v>0</v>
      </c>
      <c r="F2654" s="25">
        <v>-30000</v>
      </c>
      <c r="G2654" s="26">
        <v>0</v>
      </c>
      <c r="H2654" s="10" t="str">
        <f t="shared" si="41"/>
        <v>COSTOS</v>
      </c>
      <c r="I2654" s="20">
        <v>2026</v>
      </c>
    </row>
    <row r="2655" spans="1:9" hidden="1" x14ac:dyDescent="0.3">
      <c r="A2655" s="24" t="s">
        <v>87</v>
      </c>
      <c r="B2655" s="24" t="s">
        <v>16</v>
      </c>
      <c r="C2655" s="22">
        <v>3</v>
      </c>
      <c r="D2655" s="25">
        <v>50000</v>
      </c>
      <c r="E2655" s="25">
        <v>25000</v>
      </c>
      <c r="F2655" s="25">
        <v>-25000</v>
      </c>
      <c r="G2655" s="26">
        <v>0.5</v>
      </c>
      <c r="H2655" s="10" t="str">
        <f t="shared" si="41"/>
        <v>COSTOS</v>
      </c>
      <c r="I2655" s="20">
        <v>2026</v>
      </c>
    </row>
    <row r="2656" spans="1:9" hidden="1" x14ac:dyDescent="0.3">
      <c r="A2656" s="23" t="s">
        <v>87</v>
      </c>
      <c r="B2656" s="23" t="s">
        <v>16</v>
      </c>
      <c r="C2656" s="22">
        <v>4</v>
      </c>
      <c r="D2656" s="25">
        <v>30000</v>
      </c>
      <c r="E2656" s="25">
        <v>0</v>
      </c>
      <c r="F2656" s="25">
        <v>-30000</v>
      </c>
      <c r="G2656" s="26">
        <v>0</v>
      </c>
      <c r="H2656" s="10" t="str">
        <f t="shared" si="41"/>
        <v>COSTOS</v>
      </c>
      <c r="I2656" s="20">
        <v>2026</v>
      </c>
    </row>
    <row r="2657" spans="1:9" hidden="1" x14ac:dyDescent="0.3">
      <c r="A2657" s="24" t="s">
        <v>241</v>
      </c>
      <c r="B2657" s="24" t="s">
        <v>16</v>
      </c>
      <c r="C2657" s="22">
        <v>1</v>
      </c>
      <c r="D2657" s="25">
        <v>0</v>
      </c>
      <c r="E2657" s="25">
        <v>285000</v>
      </c>
      <c r="F2657" s="25">
        <v>285000</v>
      </c>
      <c r="G2657" s="26">
        <v>0</v>
      </c>
      <c r="H2657" s="10" t="str">
        <f t="shared" si="41"/>
        <v>COSTOS</v>
      </c>
      <c r="I2657" s="20">
        <v>2026</v>
      </c>
    </row>
    <row r="2658" spans="1:9" hidden="1" x14ac:dyDescent="0.3">
      <c r="A2658" s="24" t="s">
        <v>241</v>
      </c>
      <c r="B2658" s="24" t="s">
        <v>16</v>
      </c>
      <c r="C2658" s="22">
        <v>2</v>
      </c>
      <c r="D2658" s="25">
        <v>0</v>
      </c>
      <c r="E2658" s="25">
        <v>299500</v>
      </c>
      <c r="F2658" s="25">
        <v>299500</v>
      </c>
      <c r="G2658" s="26">
        <v>0</v>
      </c>
      <c r="H2658" s="10" t="str">
        <f t="shared" si="41"/>
        <v>COSTOS</v>
      </c>
      <c r="I2658" s="20">
        <v>2026</v>
      </c>
    </row>
    <row r="2659" spans="1:9" hidden="1" x14ac:dyDescent="0.3">
      <c r="A2659" s="24" t="s">
        <v>241</v>
      </c>
      <c r="B2659" s="24" t="s">
        <v>16</v>
      </c>
      <c r="C2659" s="22">
        <v>3</v>
      </c>
      <c r="D2659" s="25">
        <v>0</v>
      </c>
      <c r="E2659" s="25">
        <v>299500</v>
      </c>
      <c r="F2659" s="25">
        <v>299500</v>
      </c>
      <c r="G2659" s="26">
        <v>0</v>
      </c>
      <c r="H2659" s="10" t="str">
        <f t="shared" si="41"/>
        <v>COSTOS</v>
      </c>
      <c r="I2659" s="20">
        <v>2026</v>
      </c>
    </row>
    <row r="2660" spans="1:9" hidden="1" x14ac:dyDescent="0.3">
      <c r="A2660" s="23" t="s">
        <v>241</v>
      </c>
      <c r="B2660" s="23" t="s">
        <v>16</v>
      </c>
      <c r="C2660" s="22">
        <v>4</v>
      </c>
      <c r="D2660" s="25">
        <v>0</v>
      </c>
      <c r="E2660" s="25">
        <v>0</v>
      </c>
      <c r="F2660" s="25">
        <v>0</v>
      </c>
      <c r="G2660" s="26">
        <v>0</v>
      </c>
      <c r="H2660" s="10" t="str">
        <f t="shared" si="41"/>
        <v>COSTOS</v>
      </c>
      <c r="I2660" s="20">
        <v>2026</v>
      </c>
    </row>
    <row r="2661" spans="1:9" hidden="1" x14ac:dyDescent="0.3">
      <c r="A2661" s="24" t="s">
        <v>229</v>
      </c>
      <c r="B2661" s="24" t="s">
        <v>16</v>
      </c>
      <c r="C2661" s="22">
        <v>1</v>
      </c>
      <c r="D2661" s="25">
        <v>0</v>
      </c>
      <c r="E2661" s="25">
        <v>0</v>
      </c>
      <c r="F2661" s="25">
        <v>0</v>
      </c>
      <c r="G2661" s="26">
        <v>0</v>
      </c>
      <c r="H2661" s="10" t="str">
        <f t="shared" si="41"/>
        <v>COSTOS</v>
      </c>
      <c r="I2661" s="20">
        <v>2026</v>
      </c>
    </row>
    <row r="2662" spans="1:9" hidden="1" x14ac:dyDescent="0.3">
      <c r="A2662" s="24" t="s">
        <v>229</v>
      </c>
      <c r="B2662" s="24" t="s">
        <v>16</v>
      </c>
      <c r="C2662" s="22">
        <v>2</v>
      </c>
      <c r="D2662" s="25">
        <v>0</v>
      </c>
      <c r="E2662" s="25">
        <v>0</v>
      </c>
      <c r="F2662" s="25">
        <v>0</v>
      </c>
      <c r="G2662" s="26">
        <v>0</v>
      </c>
      <c r="H2662" s="10" t="str">
        <f t="shared" si="41"/>
        <v>COSTOS</v>
      </c>
      <c r="I2662" s="20">
        <v>2026</v>
      </c>
    </row>
    <row r="2663" spans="1:9" hidden="1" x14ac:dyDescent="0.3">
      <c r="A2663" s="24" t="s">
        <v>229</v>
      </c>
      <c r="B2663" s="24" t="s">
        <v>16</v>
      </c>
      <c r="C2663" s="22">
        <v>3</v>
      </c>
      <c r="D2663" s="25">
        <v>0</v>
      </c>
      <c r="E2663" s="25">
        <v>0</v>
      </c>
      <c r="F2663" s="25">
        <v>0</v>
      </c>
      <c r="G2663" s="26">
        <v>0</v>
      </c>
      <c r="H2663" s="10" t="str">
        <f t="shared" si="41"/>
        <v>COSTOS</v>
      </c>
      <c r="I2663" s="20">
        <v>2026</v>
      </c>
    </row>
    <row r="2664" spans="1:9" hidden="1" x14ac:dyDescent="0.3">
      <c r="A2664" s="23" t="s">
        <v>229</v>
      </c>
      <c r="B2664" s="23" t="s">
        <v>16</v>
      </c>
      <c r="C2664" s="22">
        <v>4</v>
      </c>
      <c r="D2664" s="25">
        <v>0</v>
      </c>
      <c r="E2664" s="25">
        <v>0</v>
      </c>
      <c r="F2664" s="25">
        <v>0</v>
      </c>
      <c r="G2664" s="26">
        <v>0</v>
      </c>
      <c r="H2664" s="10" t="str">
        <f t="shared" si="41"/>
        <v>COSTOS</v>
      </c>
      <c r="I2664" s="20">
        <v>2026</v>
      </c>
    </row>
    <row r="2665" spans="1:9" hidden="1" x14ac:dyDescent="0.3">
      <c r="A2665" s="24" t="s">
        <v>93</v>
      </c>
      <c r="B2665" s="24" t="s">
        <v>16</v>
      </c>
      <c r="C2665" s="22">
        <v>1</v>
      </c>
      <c r="D2665" s="25">
        <v>0</v>
      </c>
      <c r="E2665" s="25">
        <v>10000</v>
      </c>
      <c r="F2665" s="25">
        <v>10000</v>
      </c>
      <c r="G2665" s="26">
        <v>0</v>
      </c>
      <c r="H2665" s="10" t="str">
        <f t="shared" si="41"/>
        <v>COSTOS</v>
      </c>
      <c r="I2665" s="20">
        <v>2026</v>
      </c>
    </row>
    <row r="2666" spans="1:9" hidden="1" x14ac:dyDescent="0.3">
      <c r="A2666" s="24" t="s">
        <v>93</v>
      </c>
      <c r="B2666" s="24" t="s">
        <v>16</v>
      </c>
      <c r="C2666" s="22">
        <v>2</v>
      </c>
      <c r="D2666" s="25">
        <v>0</v>
      </c>
      <c r="E2666" s="25">
        <v>0</v>
      </c>
      <c r="F2666" s="25">
        <v>0</v>
      </c>
      <c r="G2666" s="26">
        <v>0</v>
      </c>
      <c r="H2666" s="10" t="str">
        <f t="shared" si="41"/>
        <v>COSTOS</v>
      </c>
      <c r="I2666" s="20">
        <v>2026</v>
      </c>
    </row>
    <row r="2667" spans="1:9" hidden="1" x14ac:dyDescent="0.3">
      <c r="A2667" s="24" t="s">
        <v>93</v>
      </c>
      <c r="B2667" s="24" t="s">
        <v>16</v>
      </c>
      <c r="C2667" s="22">
        <v>3</v>
      </c>
      <c r="D2667" s="25">
        <v>0</v>
      </c>
      <c r="E2667" s="25">
        <v>0</v>
      </c>
      <c r="F2667" s="25">
        <v>0</v>
      </c>
      <c r="G2667" s="26">
        <v>0</v>
      </c>
      <c r="H2667" s="10" t="str">
        <f t="shared" si="41"/>
        <v>COSTOS</v>
      </c>
      <c r="I2667" s="20">
        <v>2026</v>
      </c>
    </row>
    <row r="2668" spans="1:9" hidden="1" x14ac:dyDescent="0.3">
      <c r="A2668" s="23" t="s">
        <v>93</v>
      </c>
      <c r="B2668" s="23" t="s">
        <v>16</v>
      </c>
      <c r="C2668" s="22">
        <v>4</v>
      </c>
      <c r="D2668" s="25">
        <v>0</v>
      </c>
      <c r="E2668" s="25">
        <v>0</v>
      </c>
      <c r="F2668" s="25">
        <v>0</v>
      </c>
      <c r="G2668" s="26">
        <v>0</v>
      </c>
      <c r="H2668" s="10" t="str">
        <f t="shared" si="41"/>
        <v>COSTOS</v>
      </c>
      <c r="I2668" s="20">
        <v>2026</v>
      </c>
    </row>
    <row r="2669" spans="1:9" hidden="1" x14ac:dyDescent="0.3">
      <c r="A2669" s="24" t="s">
        <v>243</v>
      </c>
      <c r="B2669" s="24" t="s">
        <v>16</v>
      </c>
      <c r="C2669" s="22">
        <v>1</v>
      </c>
      <c r="D2669" s="25">
        <v>50000</v>
      </c>
      <c r="E2669" s="25">
        <v>12000</v>
      </c>
      <c r="F2669" s="25">
        <v>-38000</v>
      </c>
      <c r="G2669" s="26">
        <v>0.24</v>
      </c>
      <c r="H2669" s="10" t="str">
        <f t="shared" si="41"/>
        <v>COSTOS</v>
      </c>
      <c r="I2669" s="20">
        <v>2026</v>
      </c>
    </row>
    <row r="2670" spans="1:9" hidden="1" x14ac:dyDescent="0.3">
      <c r="A2670" s="24" t="s">
        <v>243</v>
      </c>
      <c r="B2670" s="24" t="s">
        <v>16</v>
      </c>
      <c r="C2670" s="22">
        <v>2</v>
      </c>
      <c r="D2670" s="25">
        <v>0</v>
      </c>
      <c r="E2670" s="25">
        <v>55000</v>
      </c>
      <c r="F2670" s="25">
        <v>55000</v>
      </c>
      <c r="G2670" s="26">
        <v>0</v>
      </c>
      <c r="H2670" s="10" t="str">
        <f t="shared" ref="H2670:H2733" si="42">+IF(OR(A2670="ADMINISTRACION",A2670="COMERCIAL",A2670="COMERCIAL-EXPORTACIONES",A2670="LEASING DE LA BODEGA",A2670="LOGISTICA-SALIDA",A2670="OTROS GASTOS",A2670="BODEGA ALQUILADA", A2670="BODEGA CARTOPLAST", A2670="BODEGA CARTOPLAS", A2670= "GESTION HUMANA-OTROS GASTOS",A2670="FAMILIA"),"GASTOS","COSTOS")</f>
        <v>COSTOS</v>
      </c>
      <c r="I2670" s="20">
        <v>2026</v>
      </c>
    </row>
    <row r="2671" spans="1:9" hidden="1" x14ac:dyDescent="0.3">
      <c r="A2671" s="24" t="s">
        <v>243</v>
      </c>
      <c r="B2671" s="24" t="s">
        <v>16</v>
      </c>
      <c r="C2671" s="22">
        <v>3</v>
      </c>
      <c r="D2671" s="25">
        <v>0</v>
      </c>
      <c r="E2671" s="25">
        <v>12000</v>
      </c>
      <c r="F2671" s="25">
        <v>12000</v>
      </c>
      <c r="G2671" s="26">
        <v>0</v>
      </c>
      <c r="H2671" s="10" t="str">
        <f t="shared" si="42"/>
        <v>COSTOS</v>
      </c>
      <c r="I2671" s="20">
        <v>2026</v>
      </c>
    </row>
    <row r="2672" spans="1:9" hidden="1" x14ac:dyDescent="0.3">
      <c r="A2672" s="23" t="s">
        <v>243</v>
      </c>
      <c r="B2672" s="23" t="s">
        <v>16</v>
      </c>
      <c r="C2672" s="22">
        <v>4</v>
      </c>
      <c r="D2672" s="25">
        <v>100000</v>
      </c>
      <c r="E2672" s="25">
        <v>0</v>
      </c>
      <c r="F2672" s="25">
        <v>-100000</v>
      </c>
      <c r="G2672" s="26">
        <v>0</v>
      </c>
      <c r="H2672" s="10" t="str">
        <f t="shared" si="42"/>
        <v>COSTOS</v>
      </c>
      <c r="I2672" s="20">
        <v>2026</v>
      </c>
    </row>
    <row r="2673" spans="1:9" hidden="1" x14ac:dyDescent="0.3">
      <c r="A2673" s="24" t="s">
        <v>244</v>
      </c>
      <c r="B2673" s="24" t="s">
        <v>16</v>
      </c>
      <c r="C2673" s="22">
        <v>1</v>
      </c>
      <c r="D2673" s="25">
        <v>130000</v>
      </c>
      <c r="E2673" s="25">
        <v>2000</v>
      </c>
      <c r="F2673" s="25">
        <v>-128000</v>
      </c>
      <c r="G2673" s="26">
        <v>1.5384615384615385E-2</v>
      </c>
      <c r="H2673" s="10" t="str">
        <f t="shared" si="42"/>
        <v>COSTOS</v>
      </c>
      <c r="I2673" s="20">
        <v>2026</v>
      </c>
    </row>
    <row r="2674" spans="1:9" hidden="1" x14ac:dyDescent="0.3">
      <c r="A2674" s="24" t="s">
        <v>244</v>
      </c>
      <c r="B2674" s="24" t="s">
        <v>16</v>
      </c>
      <c r="C2674" s="22">
        <v>2</v>
      </c>
      <c r="D2674" s="25">
        <v>130000</v>
      </c>
      <c r="E2674" s="25">
        <v>0</v>
      </c>
      <c r="F2674" s="25">
        <v>-130000</v>
      </c>
      <c r="G2674" s="26">
        <v>0</v>
      </c>
      <c r="H2674" s="10" t="str">
        <f t="shared" si="42"/>
        <v>COSTOS</v>
      </c>
      <c r="I2674" s="20">
        <v>2026</v>
      </c>
    </row>
    <row r="2675" spans="1:9" hidden="1" x14ac:dyDescent="0.3">
      <c r="A2675" s="24" t="s">
        <v>244</v>
      </c>
      <c r="B2675" s="24" t="s">
        <v>16</v>
      </c>
      <c r="C2675" s="22">
        <v>3</v>
      </c>
      <c r="D2675" s="25">
        <v>130000</v>
      </c>
      <c r="E2675" s="25">
        <v>24000</v>
      </c>
      <c r="F2675" s="25">
        <v>-106000</v>
      </c>
      <c r="G2675" s="26">
        <v>0.18461538461538463</v>
      </c>
      <c r="H2675" s="10" t="str">
        <f t="shared" si="42"/>
        <v>COSTOS</v>
      </c>
      <c r="I2675" s="20">
        <v>2026</v>
      </c>
    </row>
    <row r="2676" spans="1:9" hidden="1" x14ac:dyDescent="0.3">
      <c r="A2676" s="23" t="s">
        <v>244</v>
      </c>
      <c r="B2676" s="23" t="s">
        <v>16</v>
      </c>
      <c r="C2676" s="22">
        <v>4</v>
      </c>
      <c r="D2676" s="25">
        <v>130000</v>
      </c>
      <c r="E2676" s="25">
        <v>0</v>
      </c>
      <c r="F2676" s="25">
        <v>-130000</v>
      </c>
      <c r="G2676" s="26">
        <v>0</v>
      </c>
      <c r="H2676" s="10" t="str">
        <f t="shared" si="42"/>
        <v>COSTOS</v>
      </c>
      <c r="I2676" s="20">
        <v>2026</v>
      </c>
    </row>
    <row r="2677" spans="1:9" hidden="1" x14ac:dyDescent="0.3">
      <c r="A2677" s="24" t="s">
        <v>231</v>
      </c>
      <c r="B2677" s="24" t="s">
        <v>16</v>
      </c>
      <c r="C2677" s="22">
        <v>1</v>
      </c>
      <c r="D2677" s="25">
        <v>0</v>
      </c>
      <c r="E2677" s="25">
        <v>0</v>
      </c>
      <c r="F2677" s="25">
        <v>0</v>
      </c>
      <c r="G2677" s="26">
        <v>0</v>
      </c>
      <c r="H2677" s="10" t="str">
        <f t="shared" si="42"/>
        <v>COSTOS</v>
      </c>
      <c r="I2677" s="20">
        <v>2026</v>
      </c>
    </row>
    <row r="2678" spans="1:9" hidden="1" x14ac:dyDescent="0.3">
      <c r="A2678" s="24" t="s">
        <v>231</v>
      </c>
      <c r="B2678" s="24" t="s">
        <v>16</v>
      </c>
      <c r="C2678" s="22">
        <v>2</v>
      </c>
      <c r="D2678" s="25">
        <v>0</v>
      </c>
      <c r="E2678" s="25">
        <v>0</v>
      </c>
      <c r="F2678" s="25">
        <v>0</v>
      </c>
      <c r="G2678" s="26">
        <v>0</v>
      </c>
      <c r="H2678" s="10" t="str">
        <f t="shared" si="42"/>
        <v>COSTOS</v>
      </c>
      <c r="I2678" s="20">
        <v>2026</v>
      </c>
    </row>
    <row r="2679" spans="1:9" hidden="1" x14ac:dyDescent="0.3">
      <c r="A2679" s="24" t="s">
        <v>231</v>
      </c>
      <c r="B2679" s="24" t="s">
        <v>16</v>
      </c>
      <c r="C2679" s="22">
        <v>3</v>
      </c>
      <c r="D2679" s="25">
        <v>130000</v>
      </c>
      <c r="E2679" s="25">
        <v>0</v>
      </c>
      <c r="F2679" s="25">
        <v>-130000</v>
      </c>
      <c r="G2679" s="26">
        <v>0</v>
      </c>
      <c r="H2679" s="10" t="str">
        <f t="shared" si="42"/>
        <v>COSTOS</v>
      </c>
      <c r="I2679" s="20">
        <v>2026</v>
      </c>
    </row>
    <row r="2680" spans="1:9" hidden="1" x14ac:dyDescent="0.3">
      <c r="A2680" s="23" t="s">
        <v>231</v>
      </c>
      <c r="B2680" s="23" t="s">
        <v>16</v>
      </c>
      <c r="C2680" s="22">
        <v>4</v>
      </c>
      <c r="D2680" s="25">
        <v>0</v>
      </c>
      <c r="E2680" s="25">
        <v>0</v>
      </c>
      <c r="F2680" s="25">
        <v>0</v>
      </c>
      <c r="G2680" s="26">
        <v>0</v>
      </c>
      <c r="H2680" s="10" t="str">
        <f t="shared" si="42"/>
        <v>COSTOS</v>
      </c>
      <c r="I2680" s="20">
        <v>2026</v>
      </c>
    </row>
    <row r="2681" spans="1:9" hidden="1" x14ac:dyDescent="0.3">
      <c r="A2681" s="24" t="s">
        <v>246</v>
      </c>
      <c r="B2681" s="24" t="s">
        <v>16</v>
      </c>
      <c r="C2681" s="22">
        <v>1</v>
      </c>
      <c r="D2681" s="25">
        <v>130000</v>
      </c>
      <c r="E2681" s="25">
        <v>0</v>
      </c>
      <c r="F2681" s="25">
        <v>-130000</v>
      </c>
      <c r="G2681" s="26">
        <v>0</v>
      </c>
      <c r="H2681" s="10" t="str">
        <f t="shared" si="42"/>
        <v>COSTOS</v>
      </c>
      <c r="I2681" s="20">
        <v>2026</v>
      </c>
    </row>
    <row r="2682" spans="1:9" hidden="1" x14ac:dyDescent="0.3">
      <c r="A2682" s="24" t="s">
        <v>246</v>
      </c>
      <c r="B2682" s="24" t="s">
        <v>16</v>
      </c>
      <c r="C2682" s="22">
        <v>2</v>
      </c>
      <c r="D2682" s="25">
        <v>130000</v>
      </c>
      <c r="E2682" s="25">
        <v>0</v>
      </c>
      <c r="F2682" s="25">
        <v>-130000</v>
      </c>
      <c r="G2682" s="26">
        <v>0</v>
      </c>
      <c r="H2682" s="10" t="str">
        <f t="shared" si="42"/>
        <v>COSTOS</v>
      </c>
      <c r="I2682" s="20">
        <v>2026</v>
      </c>
    </row>
    <row r="2683" spans="1:9" hidden="1" x14ac:dyDescent="0.3">
      <c r="A2683" s="24" t="s">
        <v>246</v>
      </c>
      <c r="B2683" s="24" t="s">
        <v>16</v>
      </c>
      <c r="C2683" s="22">
        <v>3</v>
      </c>
      <c r="D2683" s="25">
        <v>130000</v>
      </c>
      <c r="E2683" s="25">
        <v>0</v>
      </c>
      <c r="F2683" s="25">
        <v>-130000</v>
      </c>
      <c r="G2683" s="26">
        <v>0</v>
      </c>
      <c r="H2683" s="10" t="str">
        <f t="shared" si="42"/>
        <v>COSTOS</v>
      </c>
      <c r="I2683" s="20">
        <v>2026</v>
      </c>
    </row>
    <row r="2684" spans="1:9" hidden="1" x14ac:dyDescent="0.3">
      <c r="A2684" s="23" t="s">
        <v>246</v>
      </c>
      <c r="B2684" s="23" t="s">
        <v>16</v>
      </c>
      <c r="C2684" s="22">
        <v>4</v>
      </c>
      <c r="D2684" s="25">
        <v>130000</v>
      </c>
      <c r="E2684" s="25">
        <v>0</v>
      </c>
      <c r="F2684" s="25">
        <v>-130000</v>
      </c>
      <c r="G2684" s="26">
        <v>0</v>
      </c>
      <c r="H2684" s="10" t="str">
        <f t="shared" si="42"/>
        <v>COSTOS</v>
      </c>
      <c r="I2684" s="20">
        <v>2026</v>
      </c>
    </row>
    <row r="2685" spans="1:9" hidden="1" x14ac:dyDescent="0.3">
      <c r="A2685" s="24" t="s">
        <v>101</v>
      </c>
      <c r="B2685" s="24" t="s">
        <v>16</v>
      </c>
      <c r="C2685" s="22">
        <v>1</v>
      </c>
      <c r="D2685" s="25">
        <v>0</v>
      </c>
      <c r="E2685" s="25">
        <v>0</v>
      </c>
      <c r="F2685" s="25">
        <v>0</v>
      </c>
      <c r="G2685" s="26">
        <v>0</v>
      </c>
      <c r="H2685" s="10" t="str">
        <f t="shared" si="42"/>
        <v>COSTOS</v>
      </c>
      <c r="I2685" s="20">
        <v>2026</v>
      </c>
    </row>
    <row r="2686" spans="1:9" hidden="1" x14ac:dyDescent="0.3">
      <c r="A2686" s="24" t="s">
        <v>101</v>
      </c>
      <c r="B2686" s="24" t="s">
        <v>16</v>
      </c>
      <c r="C2686" s="22">
        <v>2</v>
      </c>
      <c r="D2686" s="25">
        <v>464000</v>
      </c>
      <c r="E2686" s="25">
        <v>464000</v>
      </c>
      <c r="F2686" s="25">
        <v>0</v>
      </c>
      <c r="G2686" s="26">
        <v>1</v>
      </c>
      <c r="H2686" s="10" t="str">
        <f t="shared" si="42"/>
        <v>COSTOS</v>
      </c>
      <c r="I2686" s="20">
        <v>2026</v>
      </c>
    </row>
    <row r="2687" spans="1:9" hidden="1" x14ac:dyDescent="0.3">
      <c r="A2687" s="24" t="s">
        <v>101</v>
      </c>
      <c r="B2687" s="24" t="s">
        <v>16</v>
      </c>
      <c r="C2687" s="22">
        <v>3</v>
      </c>
      <c r="D2687" s="25">
        <v>142000</v>
      </c>
      <c r="E2687" s="25">
        <v>142000</v>
      </c>
      <c r="F2687" s="25">
        <v>0</v>
      </c>
      <c r="G2687" s="26">
        <v>1</v>
      </c>
      <c r="H2687" s="10" t="str">
        <f t="shared" si="42"/>
        <v>COSTOS</v>
      </c>
      <c r="I2687" s="20">
        <v>2026</v>
      </c>
    </row>
    <row r="2688" spans="1:9" hidden="1" x14ac:dyDescent="0.3">
      <c r="A2688" s="23" t="s">
        <v>101</v>
      </c>
      <c r="B2688" s="23" t="s">
        <v>16</v>
      </c>
      <c r="C2688" s="22">
        <v>4</v>
      </c>
      <c r="D2688" s="25">
        <v>186000</v>
      </c>
      <c r="E2688" s="25">
        <v>208000</v>
      </c>
      <c r="F2688" s="25">
        <v>22000</v>
      </c>
      <c r="G2688" s="26">
        <v>1.1182795698924732</v>
      </c>
      <c r="H2688" s="10" t="str">
        <f t="shared" si="42"/>
        <v>COSTOS</v>
      </c>
      <c r="I2688" s="20">
        <v>2026</v>
      </c>
    </row>
    <row r="2689" spans="1:9" hidden="1" x14ac:dyDescent="0.3">
      <c r="A2689" s="24" t="s">
        <v>104</v>
      </c>
      <c r="B2689" s="24" t="s">
        <v>16</v>
      </c>
      <c r="C2689" s="22">
        <v>1</v>
      </c>
      <c r="D2689" s="25">
        <v>0</v>
      </c>
      <c r="E2689" s="25">
        <v>39900</v>
      </c>
      <c r="F2689" s="25">
        <v>39900</v>
      </c>
      <c r="G2689" s="26">
        <v>0</v>
      </c>
      <c r="H2689" s="10" t="str">
        <f t="shared" si="42"/>
        <v>COSTOS</v>
      </c>
      <c r="I2689" s="20">
        <v>2026</v>
      </c>
    </row>
    <row r="2690" spans="1:9" hidden="1" x14ac:dyDescent="0.3">
      <c r="A2690" s="24" t="s">
        <v>104</v>
      </c>
      <c r="B2690" s="24" t="s">
        <v>16</v>
      </c>
      <c r="C2690" s="22">
        <v>2</v>
      </c>
      <c r="D2690" s="25">
        <v>0</v>
      </c>
      <c r="E2690" s="25">
        <v>0</v>
      </c>
      <c r="F2690" s="25">
        <v>0</v>
      </c>
      <c r="G2690" s="26">
        <v>0</v>
      </c>
      <c r="H2690" s="10" t="str">
        <f t="shared" si="42"/>
        <v>COSTOS</v>
      </c>
      <c r="I2690" s="20">
        <v>2026</v>
      </c>
    </row>
    <row r="2691" spans="1:9" hidden="1" x14ac:dyDescent="0.3">
      <c r="A2691" s="24" t="s">
        <v>104</v>
      </c>
      <c r="B2691" s="24" t="s">
        <v>16</v>
      </c>
      <c r="C2691" s="22">
        <v>3</v>
      </c>
      <c r="D2691" s="25">
        <v>0</v>
      </c>
      <c r="E2691" s="25">
        <v>81950</v>
      </c>
      <c r="F2691" s="25">
        <v>81950</v>
      </c>
      <c r="G2691" s="26">
        <v>0</v>
      </c>
      <c r="H2691" s="10" t="str">
        <f t="shared" si="42"/>
        <v>COSTOS</v>
      </c>
      <c r="I2691" s="20">
        <v>2026</v>
      </c>
    </row>
    <row r="2692" spans="1:9" hidden="1" x14ac:dyDescent="0.3">
      <c r="A2692" s="23" t="s">
        <v>104</v>
      </c>
      <c r="B2692" s="23" t="s">
        <v>16</v>
      </c>
      <c r="C2692" s="22">
        <v>4</v>
      </c>
      <c r="D2692" s="25">
        <v>0</v>
      </c>
      <c r="E2692" s="25">
        <v>0</v>
      </c>
      <c r="F2692" s="25">
        <v>0</v>
      </c>
      <c r="G2692" s="26">
        <v>0</v>
      </c>
      <c r="H2692" s="10" t="str">
        <f t="shared" si="42"/>
        <v>COSTOS</v>
      </c>
      <c r="I2692" s="20">
        <v>2026</v>
      </c>
    </row>
    <row r="2693" spans="1:9" hidden="1" x14ac:dyDescent="0.3">
      <c r="A2693" s="24" t="s">
        <v>105</v>
      </c>
      <c r="B2693" s="24" t="s">
        <v>16</v>
      </c>
      <c r="C2693" s="22">
        <v>2</v>
      </c>
      <c r="D2693" s="25">
        <v>0</v>
      </c>
      <c r="E2693" s="25">
        <v>27000</v>
      </c>
      <c r="F2693" s="25">
        <v>27000</v>
      </c>
      <c r="G2693" s="26">
        <v>0</v>
      </c>
      <c r="H2693" s="10" t="str">
        <f t="shared" si="42"/>
        <v>COSTOS</v>
      </c>
      <c r="I2693" s="20">
        <v>2026</v>
      </c>
    </row>
    <row r="2694" spans="1:9" hidden="1" x14ac:dyDescent="0.3">
      <c r="A2694" s="24" t="s">
        <v>105</v>
      </c>
      <c r="B2694" s="24" t="s">
        <v>16</v>
      </c>
      <c r="C2694" s="22">
        <v>3</v>
      </c>
      <c r="D2694" s="25">
        <v>0</v>
      </c>
      <c r="E2694" s="25">
        <v>0</v>
      </c>
      <c r="F2694" s="25">
        <v>0</v>
      </c>
      <c r="G2694" s="26">
        <v>0</v>
      </c>
      <c r="H2694" s="10" t="str">
        <f t="shared" si="42"/>
        <v>COSTOS</v>
      </c>
      <c r="I2694" s="20">
        <v>2026</v>
      </c>
    </row>
    <row r="2695" spans="1:9" hidden="1" x14ac:dyDescent="0.3">
      <c r="A2695" s="24" t="s">
        <v>105</v>
      </c>
      <c r="B2695" s="24" t="s">
        <v>16</v>
      </c>
      <c r="C2695" s="22">
        <v>4</v>
      </c>
      <c r="D2695" s="25">
        <v>0</v>
      </c>
      <c r="E2695" s="25">
        <v>0</v>
      </c>
      <c r="F2695" s="25">
        <v>0</v>
      </c>
      <c r="G2695" s="26">
        <v>0</v>
      </c>
      <c r="H2695" s="10" t="str">
        <f t="shared" si="42"/>
        <v>COSTOS</v>
      </c>
      <c r="I2695" s="20">
        <v>2026</v>
      </c>
    </row>
    <row r="2696" spans="1:9" hidden="1" x14ac:dyDescent="0.3">
      <c r="A2696" s="23" t="s">
        <v>237</v>
      </c>
      <c r="B2696" s="23" t="s">
        <v>16</v>
      </c>
      <c r="C2696" s="22">
        <v>2</v>
      </c>
      <c r="D2696" s="25">
        <v>0</v>
      </c>
      <c r="E2696" s="25">
        <v>12000</v>
      </c>
      <c r="F2696" s="25">
        <v>12000</v>
      </c>
      <c r="G2696" s="26">
        <v>0</v>
      </c>
      <c r="H2696" s="10" t="str">
        <f t="shared" si="42"/>
        <v>COSTOS</v>
      </c>
      <c r="I2696" s="20">
        <v>2026</v>
      </c>
    </row>
    <row r="2697" spans="1:9" hidden="1" x14ac:dyDescent="0.3">
      <c r="A2697" s="24" t="s">
        <v>237</v>
      </c>
      <c r="B2697" s="24" t="s">
        <v>16</v>
      </c>
      <c r="C2697" s="22">
        <v>3</v>
      </c>
      <c r="D2697" s="25">
        <v>0</v>
      </c>
      <c r="E2697" s="25">
        <v>0</v>
      </c>
      <c r="F2697" s="25">
        <v>0</v>
      </c>
      <c r="G2697" s="26">
        <v>0</v>
      </c>
      <c r="H2697" s="10" t="str">
        <f t="shared" si="42"/>
        <v>COSTOS</v>
      </c>
      <c r="I2697" s="20">
        <v>2026</v>
      </c>
    </row>
    <row r="2698" spans="1:9" hidden="1" x14ac:dyDescent="0.3">
      <c r="A2698" s="24" t="s">
        <v>237</v>
      </c>
      <c r="B2698" s="24" t="s">
        <v>16</v>
      </c>
      <c r="C2698" s="22">
        <v>4</v>
      </c>
      <c r="D2698" s="25">
        <v>0</v>
      </c>
      <c r="E2698" s="25">
        <v>0</v>
      </c>
      <c r="F2698" s="25">
        <v>0</v>
      </c>
      <c r="G2698" s="26">
        <v>0</v>
      </c>
      <c r="H2698" s="10" t="str">
        <f t="shared" si="42"/>
        <v>COSTOS</v>
      </c>
      <c r="I2698" s="20">
        <v>2026</v>
      </c>
    </row>
    <row r="2699" spans="1:9" hidden="1" x14ac:dyDescent="0.3">
      <c r="A2699" s="24" t="s">
        <v>67</v>
      </c>
      <c r="B2699" s="24" t="s">
        <v>16</v>
      </c>
      <c r="C2699" s="22">
        <v>1</v>
      </c>
      <c r="D2699" s="25">
        <v>6000000</v>
      </c>
      <c r="E2699" s="25">
        <v>6630000</v>
      </c>
      <c r="F2699" s="25">
        <v>630000</v>
      </c>
      <c r="G2699" s="26">
        <v>1.105</v>
      </c>
      <c r="H2699" s="10" t="str">
        <f t="shared" si="42"/>
        <v>COSTOS</v>
      </c>
      <c r="I2699" s="20">
        <v>2026</v>
      </c>
    </row>
    <row r="2700" spans="1:9" hidden="1" x14ac:dyDescent="0.3">
      <c r="A2700" s="23" t="s">
        <v>67</v>
      </c>
      <c r="B2700" s="23" t="s">
        <v>16</v>
      </c>
      <c r="C2700" s="22">
        <v>2</v>
      </c>
      <c r="D2700" s="25">
        <v>6000000</v>
      </c>
      <c r="E2700" s="25">
        <v>5022770</v>
      </c>
      <c r="F2700" s="25">
        <v>-977230</v>
      </c>
      <c r="G2700" s="26">
        <v>0.83712833333333336</v>
      </c>
      <c r="H2700" s="10" t="str">
        <f t="shared" si="42"/>
        <v>COSTOS</v>
      </c>
      <c r="I2700" s="20">
        <v>2026</v>
      </c>
    </row>
    <row r="2701" spans="1:9" hidden="1" x14ac:dyDescent="0.3">
      <c r="A2701" s="24" t="s">
        <v>67</v>
      </c>
      <c r="B2701" s="24" t="s">
        <v>16</v>
      </c>
      <c r="C2701" s="22">
        <v>3</v>
      </c>
      <c r="D2701" s="25">
        <v>6000000</v>
      </c>
      <c r="E2701" s="25">
        <v>6199500</v>
      </c>
      <c r="F2701" s="25">
        <v>199500</v>
      </c>
      <c r="G2701" s="26">
        <v>1.03325</v>
      </c>
      <c r="H2701" s="10" t="str">
        <f t="shared" si="42"/>
        <v>COSTOS</v>
      </c>
      <c r="I2701" s="20">
        <v>2026</v>
      </c>
    </row>
    <row r="2702" spans="1:9" hidden="1" x14ac:dyDescent="0.3">
      <c r="A2702" s="24" t="s">
        <v>67</v>
      </c>
      <c r="B2702" s="24" t="s">
        <v>16</v>
      </c>
      <c r="C2702" s="22">
        <v>4</v>
      </c>
      <c r="D2702" s="25">
        <v>6000000</v>
      </c>
      <c r="E2702" s="25">
        <v>5563000</v>
      </c>
      <c r="F2702" s="25">
        <v>-437000</v>
      </c>
      <c r="G2702" s="26">
        <v>0.92716666666666669</v>
      </c>
      <c r="H2702" s="10" t="str">
        <f t="shared" si="42"/>
        <v>COSTOS</v>
      </c>
      <c r="I2702" s="20">
        <v>2026</v>
      </c>
    </row>
    <row r="2703" spans="1:9" x14ac:dyDescent="0.3">
      <c r="A2703" s="24" t="s">
        <v>113</v>
      </c>
      <c r="B2703" s="24" t="s">
        <v>16</v>
      </c>
      <c r="C2703" s="22">
        <v>1</v>
      </c>
      <c r="D2703" s="25">
        <v>10510</v>
      </c>
      <c r="E2703" s="25">
        <v>0</v>
      </c>
      <c r="F2703" s="25">
        <v>-10510</v>
      </c>
      <c r="G2703" s="26">
        <v>0</v>
      </c>
      <c r="H2703" s="10" t="str">
        <f t="shared" si="42"/>
        <v>COSTOS</v>
      </c>
      <c r="I2703" s="20">
        <v>2026</v>
      </c>
    </row>
    <row r="2704" spans="1:9" x14ac:dyDescent="0.3">
      <c r="A2704" s="23" t="s">
        <v>113</v>
      </c>
      <c r="B2704" s="23" t="s">
        <v>16</v>
      </c>
      <c r="C2704" s="22">
        <v>2</v>
      </c>
      <c r="D2704" s="25">
        <v>0</v>
      </c>
      <c r="E2704" s="25">
        <v>32200</v>
      </c>
      <c r="F2704" s="25">
        <v>32200</v>
      </c>
      <c r="G2704" s="26">
        <v>0</v>
      </c>
      <c r="H2704" s="10" t="str">
        <f t="shared" si="42"/>
        <v>COSTOS</v>
      </c>
      <c r="I2704" s="20">
        <v>2026</v>
      </c>
    </row>
    <row r="2705" spans="1:9" x14ac:dyDescent="0.3">
      <c r="A2705" s="24" t="s">
        <v>113</v>
      </c>
      <c r="B2705" s="24" t="s">
        <v>16</v>
      </c>
      <c r="C2705" s="22">
        <v>3</v>
      </c>
      <c r="D2705" s="25">
        <v>73570</v>
      </c>
      <c r="E2705" s="25">
        <v>0</v>
      </c>
      <c r="F2705" s="25">
        <v>-73570</v>
      </c>
      <c r="G2705" s="26">
        <v>0</v>
      </c>
      <c r="H2705" s="10" t="str">
        <f t="shared" si="42"/>
        <v>COSTOS</v>
      </c>
      <c r="I2705" s="20">
        <v>2026</v>
      </c>
    </row>
    <row r="2706" spans="1:9" x14ac:dyDescent="0.3">
      <c r="A2706" s="24" t="s">
        <v>113</v>
      </c>
      <c r="B2706" s="24" t="s">
        <v>16</v>
      </c>
      <c r="C2706" s="22">
        <v>4</v>
      </c>
      <c r="D2706" s="25">
        <v>10510</v>
      </c>
      <c r="E2706" s="25">
        <v>18100</v>
      </c>
      <c r="F2706" s="25">
        <v>7590</v>
      </c>
      <c r="G2706" s="26">
        <v>1.7221693625118935</v>
      </c>
      <c r="H2706" s="10" t="str">
        <f t="shared" si="42"/>
        <v>COSTOS</v>
      </c>
      <c r="I2706" s="20">
        <v>2026</v>
      </c>
    </row>
    <row r="2707" spans="1:9" x14ac:dyDescent="0.3">
      <c r="A2707" s="24" t="s">
        <v>114</v>
      </c>
      <c r="B2707" s="24" t="s">
        <v>16</v>
      </c>
      <c r="C2707" s="22">
        <v>1</v>
      </c>
      <c r="D2707" s="25">
        <v>0</v>
      </c>
      <c r="E2707" s="25">
        <v>20000</v>
      </c>
      <c r="F2707" s="25">
        <v>20000</v>
      </c>
      <c r="G2707" s="26">
        <v>0</v>
      </c>
      <c r="H2707" s="10" t="str">
        <f t="shared" si="42"/>
        <v>COSTOS</v>
      </c>
      <c r="I2707" s="20">
        <v>2026</v>
      </c>
    </row>
    <row r="2708" spans="1:9" x14ac:dyDescent="0.3">
      <c r="A2708" s="23" t="s">
        <v>114</v>
      </c>
      <c r="B2708" s="23" t="s">
        <v>16</v>
      </c>
      <c r="C2708" s="22">
        <v>2</v>
      </c>
      <c r="D2708" s="25">
        <v>0</v>
      </c>
      <c r="E2708" s="25">
        <v>0</v>
      </c>
      <c r="F2708" s="25">
        <v>0</v>
      </c>
      <c r="G2708" s="26">
        <v>0</v>
      </c>
      <c r="H2708" s="10" t="str">
        <f t="shared" si="42"/>
        <v>COSTOS</v>
      </c>
      <c r="I2708" s="20">
        <v>2026</v>
      </c>
    </row>
    <row r="2709" spans="1:9" x14ac:dyDescent="0.3">
      <c r="A2709" s="24" t="s">
        <v>114</v>
      </c>
      <c r="B2709" s="24" t="s">
        <v>16</v>
      </c>
      <c r="C2709" s="22">
        <v>3</v>
      </c>
      <c r="D2709" s="25">
        <v>0</v>
      </c>
      <c r="E2709" s="25">
        <v>0</v>
      </c>
      <c r="F2709" s="25">
        <v>0</v>
      </c>
      <c r="G2709" s="26">
        <v>0</v>
      </c>
      <c r="H2709" s="10" t="str">
        <f t="shared" si="42"/>
        <v>COSTOS</v>
      </c>
      <c r="I2709" s="20">
        <v>2026</v>
      </c>
    </row>
    <row r="2710" spans="1:9" x14ac:dyDescent="0.3">
      <c r="A2710" s="24" t="s">
        <v>114</v>
      </c>
      <c r="B2710" s="24" t="s">
        <v>16</v>
      </c>
      <c r="C2710" s="22">
        <v>4</v>
      </c>
      <c r="D2710" s="25">
        <v>0</v>
      </c>
      <c r="E2710" s="25">
        <v>0</v>
      </c>
      <c r="F2710" s="25">
        <v>0</v>
      </c>
      <c r="G2710" s="26">
        <v>0</v>
      </c>
      <c r="H2710" s="10" t="str">
        <f t="shared" si="42"/>
        <v>COSTOS</v>
      </c>
      <c r="I2710" s="20">
        <v>2026</v>
      </c>
    </row>
    <row r="2711" spans="1:9" x14ac:dyDescent="0.3">
      <c r="A2711" s="24" t="s">
        <v>115</v>
      </c>
      <c r="B2711" s="24" t="s">
        <v>16</v>
      </c>
      <c r="C2711" s="22">
        <v>1</v>
      </c>
      <c r="D2711" s="25">
        <v>0</v>
      </c>
      <c r="E2711" s="25">
        <v>12000</v>
      </c>
      <c r="F2711" s="25">
        <v>12000</v>
      </c>
      <c r="G2711" s="26">
        <v>0</v>
      </c>
      <c r="H2711" s="10" t="str">
        <f t="shared" si="42"/>
        <v>COSTOS</v>
      </c>
      <c r="I2711" s="20">
        <v>2026</v>
      </c>
    </row>
    <row r="2712" spans="1:9" x14ac:dyDescent="0.3">
      <c r="A2712" s="23" t="s">
        <v>115</v>
      </c>
      <c r="B2712" s="23" t="s">
        <v>16</v>
      </c>
      <c r="C2712" s="22">
        <v>2</v>
      </c>
      <c r="D2712" s="25">
        <v>0</v>
      </c>
      <c r="E2712" s="25">
        <v>40000</v>
      </c>
      <c r="F2712" s="25">
        <v>40000</v>
      </c>
      <c r="G2712" s="26">
        <v>0</v>
      </c>
      <c r="H2712" s="10" t="str">
        <f t="shared" si="42"/>
        <v>COSTOS</v>
      </c>
      <c r="I2712" s="20">
        <v>2026</v>
      </c>
    </row>
    <row r="2713" spans="1:9" x14ac:dyDescent="0.3">
      <c r="A2713" s="24" t="s">
        <v>115</v>
      </c>
      <c r="B2713" s="24" t="s">
        <v>16</v>
      </c>
      <c r="C2713" s="22">
        <v>3</v>
      </c>
      <c r="D2713" s="25">
        <v>0</v>
      </c>
      <c r="E2713" s="25">
        <v>0</v>
      </c>
      <c r="F2713" s="25">
        <v>0</v>
      </c>
      <c r="G2713" s="26">
        <v>0</v>
      </c>
      <c r="H2713" s="10" t="str">
        <f t="shared" si="42"/>
        <v>COSTOS</v>
      </c>
      <c r="I2713" s="20">
        <v>2026</v>
      </c>
    </row>
    <row r="2714" spans="1:9" x14ac:dyDescent="0.3">
      <c r="A2714" s="24" t="s">
        <v>115</v>
      </c>
      <c r="B2714" s="24" t="s">
        <v>16</v>
      </c>
      <c r="C2714" s="22">
        <v>4</v>
      </c>
      <c r="D2714" s="25">
        <v>0</v>
      </c>
      <c r="E2714" s="25">
        <v>0</v>
      </c>
      <c r="F2714" s="25">
        <v>0</v>
      </c>
      <c r="G2714" s="26">
        <v>0</v>
      </c>
      <c r="H2714" s="10" t="str">
        <f t="shared" si="42"/>
        <v>COSTOS</v>
      </c>
      <c r="I2714" s="20">
        <v>2026</v>
      </c>
    </row>
    <row r="2715" spans="1:9" x14ac:dyDescent="0.3">
      <c r="A2715" s="24" t="s">
        <v>123</v>
      </c>
      <c r="B2715" s="24" t="s">
        <v>16</v>
      </c>
      <c r="C2715" s="22">
        <v>3</v>
      </c>
      <c r="D2715" s="25">
        <v>0</v>
      </c>
      <c r="E2715" s="25">
        <v>130000</v>
      </c>
      <c r="F2715" s="25">
        <v>130000</v>
      </c>
      <c r="G2715" s="26">
        <v>0</v>
      </c>
      <c r="H2715" s="10" t="str">
        <f t="shared" si="42"/>
        <v>COSTOS</v>
      </c>
      <c r="I2715" s="20">
        <v>2026</v>
      </c>
    </row>
    <row r="2716" spans="1:9" x14ac:dyDescent="0.3">
      <c r="A2716" s="23" t="s">
        <v>123</v>
      </c>
      <c r="B2716" s="23" t="s">
        <v>16</v>
      </c>
      <c r="C2716" s="22">
        <v>4</v>
      </c>
      <c r="D2716" s="25">
        <v>0</v>
      </c>
      <c r="E2716" s="25">
        <v>0</v>
      </c>
      <c r="F2716" s="25">
        <v>0</v>
      </c>
      <c r="G2716" s="26">
        <v>0</v>
      </c>
      <c r="H2716" s="10" t="str">
        <f t="shared" si="42"/>
        <v>COSTOS</v>
      </c>
      <c r="I2716" s="20">
        <v>2026</v>
      </c>
    </row>
    <row r="2717" spans="1:9" x14ac:dyDescent="0.3">
      <c r="A2717" s="24" t="s">
        <v>154</v>
      </c>
      <c r="B2717" s="24" t="s">
        <v>16</v>
      </c>
      <c r="C2717" s="22">
        <v>4</v>
      </c>
      <c r="D2717" s="25">
        <v>0</v>
      </c>
      <c r="E2717" s="25">
        <v>80000</v>
      </c>
      <c r="F2717" s="25">
        <v>80000</v>
      </c>
      <c r="G2717" s="26">
        <v>0</v>
      </c>
      <c r="H2717" s="10" t="str">
        <f t="shared" si="42"/>
        <v>COSTOS</v>
      </c>
      <c r="I2717" s="20">
        <v>2026</v>
      </c>
    </row>
    <row r="2718" spans="1:9" x14ac:dyDescent="0.3">
      <c r="A2718" s="24" t="s">
        <v>129</v>
      </c>
      <c r="B2718" s="24" t="s">
        <v>16</v>
      </c>
      <c r="C2718" s="22">
        <v>2</v>
      </c>
      <c r="D2718" s="25">
        <v>0</v>
      </c>
      <c r="E2718" s="25">
        <v>80000</v>
      </c>
      <c r="F2718" s="25">
        <v>80000</v>
      </c>
      <c r="G2718" s="26">
        <v>0</v>
      </c>
      <c r="H2718" s="10" t="str">
        <f t="shared" si="42"/>
        <v>COSTOS</v>
      </c>
      <c r="I2718" s="20">
        <v>2026</v>
      </c>
    </row>
    <row r="2719" spans="1:9" x14ac:dyDescent="0.3">
      <c r="A2719" s="24" t="s">
        <v>129</v>
      </c>
      <c r="B2719" s="24" t="s">
        <v>16</v>
      </c>
      <c r="C2719" s="22">
        <v>3</v>
      </c>
      <c r="D2719" s="25">
        <v>0</v>
      </c>
      <c r="E2719" s="25">
        <v>40000</v>
      </c>
      <c r="F2719" s="25">
        <v>40000</v>
      </c>
      <c r="G2719" s="26">
        <v>0</v>
      </c>
      <c r="H2719" s="10" t="str">
        <f t="shared" si="42"/>
        <v>COSTOS</v>
      </c>
      <c r="I2719" s="20">
        <v>2026</v>
      </c>
    </row>
    <row r="2720" spans="1:9" x14ac:dyDescent="0.3">
      <c r="A2720" s="23" t="s">
        <v>129</v>
      </c>
      <c r="B2720" s="23" t="s">
        <v>16</v>
      </c>
      <c r="C2720" s="22">
        <v>4</v>
      </c>
      <c r="D2720" s="25">
        <v>0</v>
      </c>
      <c r="E2720" s="25">
        <v>0</v>
      </c>
      <c r="F2720" s="25">
        <v>0</v>
      </c>
      <c r="G2720" s="26">
        <v>0</v>
      </c>
      <c r="H2720" s="10" t="str">
        <f t="shared" si="42"/>
        <v>COSTOS</v>
      </c>
      <c r="I2720" s="20">
        <v>2026</v>
      </c>
    </row>
    <row r="2721" spans="1:9" x14ac:dyDescent="0.3">
      <c r="A2721" s="24" t="s">
        <v>135</v>
      </c>
      <c r="B2721" s="24" t="s">
        <v>16</v>
      </c>
      <c r="C2721" s="22">
        <v>1</v>
      </c>
      <c r="D2721" s="25">
        <v>0</v>
      </c>
      <c r="E2721" s="25">
        <v>10000</v>
      </c>
      <c r="F2721" s="25">
        <v>10000</v>
      </c>
      <c r="G2721" s="26">
        <v>0</v>
      </c>
      <c r="H2721" s="10" t="str">
        <f t="shared" si="42"/>
        <v>COSTOS</v>
      </c>
      <c r="I2721" s="20">
        <v>2026</v>
      </c>
    </row>
    <row r="2722" spans="1:9" x14ac:dyDescent="0.3">
      <c r="A2722" s="24" t="s">
        <v>135</v>
      </c>
      <c r="B2722" s="24" t="s">
        <v>16</v>
      </c>
      <c r="C2722" s="22">
        <v>2</v>
      </c>
      <c r="D2722" s="25">
        <v>0</v>
      </c>
      <c r="E2722" s="25">
        <v>36000</v>
      </c>
      <c r="F2722" s="25">
        <v>36000</v>
      </c>
      <c r="G2722" s="26">
        <v>0</v>
      </c>
      <c r="H2722" s="10" t="str">
        <f t="shared" si="42"/>
        <v>COSTOS</v>
      </c>
      <c r="I2722" s="20">
        <v>2026</v>
      </c>
    </row>
    <row r="2723" spans="1:9" x14ac:dyDescent="0.3">
      <c r="A2723" s="24" t="s">
        <v>135</v>
      </c>
      <c r="B2723" s="24" t="s">
        <v>16</v>
      </c>
      <c r="C2723" s="22">
        <v>3</v>
      </c>
      <c r="D2723" s="25">
        <v>0</v>
      </c>
      <c r="E2723" s="25">
        <v>0</v>
      </c>
      <c r="F2723" s="25">
        <v>0</v>
      </c>
      <c r="G2723" s="26">
        <v>0</v>
      </c>
      <c r="H2723" s="10" t="str">
        <f t="shared" si="42"/>
        <v>COSTOS</v>
      </c>
      <c r="I2723" s="20">
        <v>2026</v>
      </c>
    </row>
    <row r="2724" spans="1:9" x14ac:dyDescent="0.3">
      <c r="A2724" s="23" t="s">
        <v>135</v>
      </c>
      <c r="B2724" s="23" t="s">
        <v>16</v>
      </c>
      <c r="C2724" s="22">
        <v>4</v>
      </c>
      <c r="D2724" s="25">
        <v>0</v>
      </c>
      <c r="E2724" s="25">
        <v>6000</v>
      </c>
      <c r="F2724" s="25">
        <v>6000</v>
      </c>
      <c r="G2724" s="26">
        <v>0</v>
      </c>
      <c r="H2724" s="10" t="str">
        <f t="shared" si="42"/>
        <v>COSTOS</v>
      </c>
      <c r="I2724" s="20">
        <v>2026</v>
      </c>
    </row>
    <row r="2725" spans="1:9" x14ac:dyDescent="0.3">
      <c r="A2725" s="24" t="s">
        <v>136</v>
      </c>
      <c r="B2725" s="24" t="s">
        <v>16</v>
      </c>
      <c r="C2725" s="22">
        <v>3</v>
      </c>
      <c r="D2725" s="25">
        <v>0</v>
      </c>
      <c r="E2725" s="25">
        <v>12000</v>
      </c>
      <c r="F2725" s="25">
        <v>12000</v>
      </c>
      <c r="G2725" s="26">
        <v>0</v>
      </c>
      <c r="H2725" s="10" t="str">
        <f t="shared" si="42"/>
        <v>COSTOS</v>
      </c>
      <c r="I2725" s="20">
        <v>2026</v>
      </c>
    </row>
    <row r="2726" spans="1:9" x14ac:dyDescent="0.3">
      <c r="A2726" s="24" t="s">
        <v>136</v>
      </c>
      <c r="B2726" s="24" t="s">
        <v>16</v>
      </c>
      <c r="C2726" s="22">
        <v>4</v>
      </c>
      <c r="D2726" s="25">
        <v>0</v>
      </c>
      <c r="E2726" s="25">
        <v>0</v>
      </c>
      <c r="F2726" s="25">
        <v>0</v>
      </c>
      <c r="G2726" s="26">
        <v>0</v>
      </c>
      <c r="H2726" s="10" t="str">
        <f t="shared" si="42"/>
        <v>COSTOS</v>
      </c>
      <c r="I2726" s="20">
        <v>2026</v>
      </c>
    </row>
    <row r="2727" spans="1:9" x14ac:dyDescent="0.3">
      <c r="A2727" s="24" t="s">
        <v>139</v>
      </c>
      <c r="B2727" s="24" t="s">
        <v>16</v>
      </c>
      <c r="C2727" s="22">
        <v>1</v>
      </c>
      <c r="D2727" s="25">
        <v>3175845</v>
      </c>
      <c r="E2727" s="25">
        <v>1853886</v>
      </c>
      <c r="F2727" s="25">
        <v>-1321959</v>
      </c>
      <c r="G2727" s="26">
        <v>0.58374574325888073</v>
      </c>
      <c r="H2727" s="10" t="str">
        <f t="shared" si="42"/>
        <v>COSTOS</v>
      </c>
      <c r="I2727" s="20">
        <v>2026</v>
      </c>
    </row>
    <row r="2728" spans="1:9" x14ac:dyDescent="0.3">
      <c r="A2728" s="23" t="s">
        <v>139</v>
      </c>
      <c r="B2728" s="23" t="s">
        <v>16</v>
      </c>
      <c r="C2728" s="22">
        <v>2</v>
      </c>
      <c r="D2728" s="25">
        <v>12997515</v>
      </c>
      <c r="E2728" s="25">
        <v>12997515</v>
      </c>
      <c r="F2728" s="25">
        <v>0</v>
      </c>
      <c r="G2728" s="26">
        <v>1</v>
      </c>
      <c r="H2728" s="10" t="str">
        <f t="shared" si="42"/>
        <v>COSTOS</v>
      </c>
      <c r="I2728" s="20">
        <v>2026</v>
      </c>
    </row>
    <row r="2729" spans="1:9" x14ac:dyDescent="0.3">
      <c r="A2729" s="24" t="s">
        <v>139</v>
      </c>
      <c r="B2729" s="24" t="s">
        <v>16</v>
      </c>
      <c r="C2729" s="22">
        <v>3</v>
      </c>
      <c r="D2729" s="25">
        <v>22000</v>
      </c>
      <c r="E2729" s="25">
        <v>22000</v>
      </c>
      <c r="F2729" s="25">
        <v>0</v>
      </c>
      <c r="G2729" s="26">
        <v>1</v>
      </c>
      <c r="H2729" s="10" t="str">
        <f t="shared" si="42"/>
        <v>COSTOS</v>
      </c>
      <c r="I2729" s="20">
        <v>2026</v>
      </c>
    </row>
    <row r="2730" spans="1:9" x14ac:dyDescent="0.3">
      <c r="A2730" s="24" t="s">
        <v>139</v>
      </c>
      <c r="B2730" s="24" t="s">
        <v>16</v>
      </c>
      <c r="C2730" s="22">
        <v>4</v>
      </c>
      <c r="D2730" s="25">
        <v>9387417</v>
      </c>
      <c r="E2730" s="25">
        <v>5421541</v>
      </c>
      <c r="F2730" s="25">
        <v>-3965876</v>
      </c>
      <c r="G2730" s="26">
        <v>0.57753277605543674</v>
      </c>
      <c r="H2730" s="10" t="str">
        <f t="shared" si="42"/>
        <v>COSTOS</v>
      </c>
      <c r="I2730" s="20">
        <v>2026</v>
      </c>
    </row>
    <row r="2731" spans="1:9" x14ac:dyDescent="0.3">
      <c r="A2731" s="24" t="s">
        <v>142</v>
      </c>
      <c r="B2731" s="24" t="s">
        <v>16</v>
      </c>
      <c r="C2731" s="22">
        <v>3</v>
      </c>
      <c r="D2731" s="25">
        <v>0</v>
      </c>
      <c r="E2731" s="25">
        <v>80000</v>
      </c>
      <c r="F2731" s="25">
        <v>80000</v>
      </c>
      <c r="G2731" s="26">
        <v>0</v>
      </c>
      <c r="H2731" s="10" t="str">
        <f t="shared" si="42"/>
        <v>COSTOS</v>
      </c>
      <c r="I2731" s="20">
        <v>2026</v>
      </c>
    </row>
    <row r="2732" spans="1:9" x14ac:dyDescent="0.3">
      <c r="A2732" s="23" t="s">
        <v>142</v>
      </c>
      <c r="B2732" s="23" t="s">
        <v>16</v>
      </c>
      <c r="C2732" s="22">
        <v>4</v>
      </c>
      <c r="D2732" s="25">
        <v>0</v>
      </c>
      <c r="E2732" s="25">
        <v>0</v>
      </c>
      <c r="F2732" s="25">
        <v>0</v>
      </c>
      <c r="G2732" s="26">
        <v>0</v>
      </c>
      <c r="H2732" s="10" t="str">
        <f t="shared" si="42"/>
        <v>COSTOS</v>
      </c>
      <c r="I2732" s="20">
        <v>2026</v>
      </c>
    </row>
    <row r="2733" spans="1:9" x14ac:dyDescent="0.3">
      <c r="A2733" s="24" t="s">
        <v>175</v>
      </c>
      <c r="B2733" s="24" t="s">
        <v>16</v>
      </c>
      <c r="C2733" s="22">
        <v>4</v>
      </c>
      <c r="D2733" s="25">
        <v>0</v>
      </c>
      <c r="E2733" s="25">
        <v>32000</v>
      </c>
      <c r="F2733" s="25">
        <v>32000</v>
      </c>
      <c r="G2733" s="26">
        <v>0</v>
      </c>
      <c r="H2733" s="10" t="str">
        <f t="shared" si="42"/>
        <v>COSTOS</v>
      </c>
      <c r="I2733" s="20">
        <v>2026</v>
      </c>
    </row>
    <row r="2734" spans="1:9" hidden="1" x14ac:dyDescent="0.3">
      <c r="A2734" s="24" t="s">
        <v>146</v>
      </c>
      <c r="B2734" s="24" t="s">
        <v>16</v>
      </c>
      <c r="C2734" s="22">
        <v>1</v>
      </c>
      <c r="D2734" s="25">
        <v>0</v>
      </c>
      <c r="E2734" s="25">
        <v>0</v>
      </c>
      <c r="F2734" s="25">
        <v>0</v>
      </c>
      <c r="G2734" s="26">
        <v>0</v>
      </c>
      <c r="H2734" s="10" t="str">
        <f t="shared" ref="H2734:H2797" si="43">+IF(OR(A2734="ADMINISTRACION",A2734="COMERCIAL",A2734="COMERCIAL-EXPORTACIONES",A2734="LEASING DE LA BODEGA",A2734="LOGISTICA-SALIDA",A2734="OTROS GASTOS",A2734="BODEGA ALQUILADA", A2734="BODEGA CARTOPLAST", A2734="BODEGA CARTOPLAS", A2734= "GESTION HUMANA-OTROS GASTOS",A2734="FAMILIA"),"GASTOS","COSTOS")</f>
        <v>COSTOS</v>
      </c>
      <c r="I2734" s="20">
        <v>2026</v>
      </c>
    </row>
    <row r="2735" spans="1:9" hidden="1" x14ac:dyDescent="0.3">
      <c r="A2735" s="24" t="s">
        <v>146</v>
      </c>
      <c r="B2735" s="24" t="s">
        <v>16</v>
      </c>
      <c r="C2735" s="22">
        <v>2</v>
      </c>
      <c r="D2735" s="25">
        <v>0</v>
      </c>
      <c r="E2735" s="25">
        <v>0</v>
      </c>
      <c r="F2735" s="25">
        <v>0</v>
      </c>
      <c r="G2735" s="26">
        <v>0</v>
      </c>
      <c r="H2735" s="10" t="str">
        <f t="shared" si="43"/>
        <v>COSTOS</v>
      </c>
      <c r="I2735" s="20">
        <v>2026</v>
      </c>
    </row>
    <row r="2736" spans="1:9" hidden="1" x14ac:dyDescent="0.3">
      <c r="A2736" s="23" t="s">
        <v>146</v>
      </c>
      <c r="B2736" s="23" t="s">
        <v>16</v>
      </c>
      <c r="C2736" s="22">
        <v>3</v>
      </c>
      <c r="D2736" s="25">
        <v>0</v>
      </c>
      <c r="E2736" s="25">
        <v>0</v>
      </c>
      <c r="F2736" s="25">
        <v>0</v>
      </c>
      <c r="G2736" s="26">
        <v>0</v>
      </c>
      <c r="H2736" s="10" t="str">
        <f t="shared" si="43"/>
        <v>COSTOS</v>
      </c>
      <c r="I2736" s="20">
        <v>2026</v>
      </c>
    </row>
    <row r="2737" spans="1:9" hidden="1" x14ac:dyDescent="0.3">
      <c r="A2737" s="24" t="s">
        <v>146</v>
      </c>
      <c r="B2737" s="24" t="s">
        <v>16</v>
      </c>
      <c r="C2737" s="22">
        <v>4</v>
      </c>
      <c r="D2737" s="25">
        <v>0</v>
      </c>
      <c r="E2737" s="25">
        <v>18000</v>
      </c>
      <c r="F2737" s="25">
        <v>18000</v>
      </c>
      <c r="G2737" s="26">
        <v>0</v>
      </c>
      <c r="H2737" s="10" t="str">
        <f t="shared" si="43"/>
        <v>COSTOS</v>
      </c>
      <c r="I2737" s="20">
        <v>2026</v>
      </c>
    </row>
    <row r="2738" spans="1:9" hidden="1" x14ac:dyDescent="0.3">
      <c r="A2738" s="24" t="s">
        <v>147</v>
      </c>
      <c r="B2738" s="24" t="s">
        <v>16</v>
      </c>
      <c r="C2738" s="22">
        <v>1</v>
      </c>
      <c r="D2738" s="25">
        <v>20000</v>
      </c>
      <c r="E2738" s="25">
        <v>20000</v>
      </c>
      <c r="F2738" s="25">
        <v>0</v>
      </c>
      <c r="G2738" s="26">
        <v>1</v>
      </c>
      <c r="H2738" s="10" t="str">
        <f t="shared" si="43"/>
        <v>COSTOS</v>
      </c>
      <c r="I2738" s="20">
        <v>2026</v>
      </c>
    </row>
    <row r="2739" spans="1:9" hidden="1" x14ac:dyDescent="0.3">
      <c r="A2739" s="24" t="s">
        <v>147</v>
      </c>
      <c r="B2739" s="24" t="s">
        <v>16</v>
      </c>
      <c r="C2739" s="22">
        <v>2</v>
      </c>
      <c r="D2739" s="25">
        <v>40000</v>
      </c>
      <c r="E2739" s="25">
        <v>40000</v>
      </c>
      <c r="F2739" s="25">
        <v>0</v>
      </c>
      <c r="G2739" s="26">
        <v>1</v>
      </c>
      <c r="H2739" s="10" t="str">
        <f t="shared" si="43"/>
        <v>COSTOS</v>
      </c>
      <c r="I2739" s="20">
        <v>2026</v>
      </c>
    </row>
    <row r="2740" spans="1:9" hidden="1" x14ac:dyDescent="0.3">
      <c r="A2740" s="23" t="s">
        <v>147</v>
      </c>
      <c r="B2740" s="23" t="s">
        <v>16</v>
      </c>
      <c r="C2740" s="22">
        <v>3</v>
      </c>
      <c r="D2740" s="25">
        <v>10000</v>
      </c>
      <c r="E2740" s="25">
        <v>10000</v>
      </c>
      <c r="F2740" s="25">
        <v>0</v>
      </c>
      <c r="G2740" s="26">
        <v>1</v>
      </c>
      <c r="H2740" s="10" t="str">
        <f t="shared" si="43"/>
        <v>COSTOS</v>
      </c>
      <c r="I2740" s="20">
        <v>2026</v>
      </c>
    </row>
    <row r="2741" spans="1:9" hidden="1" x14ac:dyDescent="0.3">
      <c r="A2741" s="24" t="s">
        <v>147</v>
      </c>
      <c r="B2741" s="24" t="s">
        <v>16</v>
      </c>
      <c r="C2741" s="22">
        <v>4</v>
      </c>
      <c r="D2741" s="25">
        <v>20000</v>
      </c>
      <c r="E2741" s="25">
        <v>7995</v>
      </c>
      <c r="F2741" s="25">
        <v>-12005</v>
      </c>
      <c r="G2741" s="26">
        <v>0.39974999999999999</v>
      </c>
      <c r="H2741" s="10" t="str">
        <f t="shared" si="43"/>
        <v>COSTOS</v>
      </c>
      <c r="I2741" s="20">
        <v>2026</v>
      </c>
    </row>
    <row r="2742" spans="1:9" hidden="1" x14ac:dyDescent="0.3">
      <c r="A2742" s="24" t="s">
        <v>146</v>
      </c>
      <c r="B2742" s="24" t="s">
        <v>74</v>
      </c>
      <c r="C2742" s="22">
        <v>1</v>
      </c>
      <c r="D2742" s="25">
        <v>4576</v>
      </c>
      <c r="E2742" s="25">
        <v>4576</v>
      </c>
      <c r="F2742" s="25">
        <v>0</v>
      </c>
      <c r="G2742" s="26">
        <v>1</v>
      </c>
      <c r="H2742" s="10" t="str">
        <f t="shared" si="43"/>
        <v>COSTOS</v>
      </c>
      <c r="I2742" s="20">
        <v>2026</v>
      </c>
    </row>
    <row r="2743" spans="1:9" hidden="1" x14ac:dyDescent="0.3">
      <c r="A2743" s="24" t="s">
        <v>146</v>
      </c>
      <c r="B2743" s="24" t="s">
        <v>74</v>
      </c>
      <c r="C2743" s="22">
        <v>2</v>
      </c>
      <c r="D2743" s="25">
        <v>4583</v>
      </c>
      <c r="E2743" s="25">
        <v>4583</v>
      </c>
      <c r="F2743" s="25">
        <v>0</v>
      </c>
      <c r="G2743" s="26">
        <v>1</v>
      </c>
      <c r="H2743" s="10" t="str">
        <f t="shared" si="43"/>
        <v>COSTOS</v>
      </c>
      <c r="I2743" s="20">
        <v>2026</v>
      </c>
    </row>
    <row r="2744" spans="1:9" hidden="1" x14ac:dyDescent="0.3">
      <c r="A2744" s="23" t="s">
        <v>146</v>
      </c>
      <c r="B2744" s="23" t="s">
        <v>74</v>
      </c>
      <c r="C2744" s="22">
        <v>3</v>
      </c>
      <c r="D2744" s="25">
        <v>4632</v>
      </c>
      <c r="E2744" s="25">
        <v>4632</v>
      </c>
      <c r="F2744" s="25">
        <v>0</v>
      </c>
      <c r="G2744" s="26">
        <v>1</v>
      </c>
      <c r="H2744" s="10" t="str">
        <f t="shared" si="43"/>
        <v>COSTOS</v>
      </c>
      <c r="I2744" s="20">
        <v>2026</v>
      </c>
    </row>
    <row r="2745" spans="1:9" hidden="1" x14ac:dyDescent="0.3">
      <c r="A2745" s="24" t="s">
        <v>146</v>
      </c>
      <c r="B2745" s="24" t="s">
        <v>74</v>
      </c>
      <c r="C2745" s="22">
        <v>4</v>
      </c>
      <c r="D2745" s="25">
        <v>4685</v>
      </c>
      <c r="E2745" s="25">
        <v>4676</v>
      </c>
      <c r="F2745" s="25">
        <v>-9</v>
      </c>
      <c r="G2745" s="26">
        <v>0.99807897545357527</v>
      </c>
      <c r="H2745" s="10" t="str">
        <f t="shared" si="43"/>
        <v>COSTOS</v>
      </c>
      <c r="I2745" s="20">
        <v>2026</v>
      </c>
    </row>
    <row r="2746" spans="1:9" hidden="1" x14ac:dyDescent="0.3">
      <c r="A2746" s="24" t="s">
        <v>147</v>
      </c>
      <c r="B2746" s="24" t="s">
        <v>74</v>
      </c>
      <c r="C2746" s="22">
        <v>1</v>
      </c>
      <c r="D2746" s="25">
        <v>3892238</v>
      </c>
      <c r="E2746" s="25">
        <v>3892238</v>
      </c>
      <c r="F2746" s="25">
        <v>0</v>
      </c>
      <c r="G2746" s="26">
        <v>1</v>
      </c>
      <c r="H2746" s="10" t="str">
        <f t="shared" si="43"/>
        <v>COSTOS</v>
      </c>
      <c r="I2746" s="20">
        <v>2026</v>
      </c>
    </row>
    <row r="2747" spans="1:9" hidden="1" x14ac:dyDescent="0.3">
      <c r="A2747" s="24" t="s">
        <v>147</v>
      </c>
      <c r="B2747" s="24" t="s">
        <v>74</v>
      </c>
      <c r="C2747" s="22">
        <v>2</v>
      </c>
      <c r="D2747" s="25">
        <v>7656788</v>
      </c>
      <c r="E2747" s="25">
        <v>7656788</v>
      </c>
      <c r="F2747" s="25">
        <v>0</v>
      </c>
      <c r="G2747" s="26">
        <v>1</v>
      </c>
      <c r="H2747" s="10" t="str">
        <f t="shared" si="43"/>
        <v>COSTOS</v>
      </c>
      <c r="I2747" s="20">
        <v>2026</v>
      </c>
    </row>
    <row r="2748" spans="1:9" hidden="1" x14ac:dyDescent="0.3">
      <c r="A2748" s="23" t="s">
        <v>147</v>
      </c>
      <c r="B2748" s="23" t="s">
        <v>74</v>
      </c>
      <c r="C2748" s="22">
        <v>3</v>
      </c>
      <c r="D2748" s="25">
        <v>8222554</v>
      </c>
      <c r="E2748" s="25">
        <v>8222554</v>
      </c>
      <c r="F2748" s="25">
        <v>0</v>
      </c>
      <c r="G2748" s="26">
        <v>1</v>
      </c>
      <c r="H2748" s="10" t="str">
        <f t="shared" si="43"/>
        <v>COSTOS</v>
      </c>
      <c r="I2748" s="20">
        <v>2026</v>
      </c>
    </row>
    <row r="2749" spans="1:9" hidden="1" x14ac:dyDescent="0.3">
      <c r="A2749" s="24" t="s">
        <v>147</v>
      </c>
      <c r="B2749" s="24" t="s">
        <v>74</v>
      </c>
      <c r="C2749" s="22">
        <v>4</v>
      </c>
      <c r="D2749" s="25">
        <v>6590526</v>
      </c>
      <c r="E2749" s="25">
        <v>7562144</v>
      </c>
      <c r="F2749" s="25">
        <v>971618</v>
      </c>
      <c r="G2749" s="26">
        <v>1.1474264724848973</v>
      </c>
      <c r="H2749" s="10" t="str">
        <f t="shared" si="43"/>
        <v>COSTOS</v>
      </c>
      <c r="I2749" s="20">
        <v>2026</v>
      </c>
    </row>
    <row r="2750" spans="1:9" hidden="1" x14ac:dyDescent="0.3">
      <c r="A2750" s="24" t="s">
        <v>83</v>
      </c>
      <c r="B2750" s="24" t="s">
        <v>53</v>
      </c>
      <c r="C2750" s="22">
        <v>1</v>
      </c>
      <c r="D2750" s="25">
        <v>3225128</v>
      </c>
      <c r="E2750" s="25">
        <v>3225128</v>
      </c>
      <c r="F2750" s="25">
        <v>0</v>
      </c>
      <c r="G2750" s="26">
        <v>1</v>
      </c>
      <c r="H2750" s="10" t="str">
        <f t="shared" si="43"/>
        <v>COSTOS</v>
      </c>
      <c r="I2750" s="20">
        <v>2026</v>
      </c>
    </row>
    <row r="2751" spans="1:9" hidden="1" x14ac:dyDescent="0.3">
      <c r="A2751" s="24" t="s">
        <v>83</v>
      </c>
      <c r="B2751" s="24" t="s">
        <v>53</v>
      </c>
      <c r="C2751" s="22">
        <v>2</v>
      </c>
      <c r="D2751" s="25">
        <v>36476174</v>
      </c>
      <c r="E2751" s="25">
        <v>36476174</v>
      </c>
      <c r="F2751" s="25">
        <v>0</v>
      </c>
      <c r="G2751" s="26">
        <v>1</v>
      </c>
      <c r="H2751" s="10" t="str">
        <f t="shared" si="43"/>
        <v>COSTOS</v>
      </c>
      <c r="I2751" s="20">
        <v>2026</v>
      </c>
    </row>
    <row r="2752" spans="1:9" hidden="1" x14ac:dyDescent="0.3">
      <c r="A2752" s="24" t="s">
        <v>83</v>
      </c>
      <c r="B2752" s="23" t="s">
        <v>53</v>
      </c>
      <c r="C2752" s="22">
        <v>3</v>
      </c>
      <c r="D2752" s="25">
        <v>45989456</v>
      </c>
      <c r="E2752" s="25">
        <v>45989456</v>
      </c>
      <c r="F2752" s="25">
        <v>0</v>
      </c>
      <c r="G2752" s="26">
        <v>1</v>
      </c>
      <c r="H2752" s="10" t="str">
        <f t="shared" si="43"/>
        <v>COSTOS</v>
      </c>
      <c r="I2752" s="20">
        <v>2026</v>
      </c>
    </row>
    <row r="2753" spans="1:9" hidden="1" x14ac:dyDescent="0.3">
      <c r="A2753" s="24" t="s">
        <v>83</v>
      </c>
      <c r="B2753" s="24" t="s">
        <v>53</v>
      </c>
      <c r="C2753" s="22">
        <v>4</v>
      </c>
      <c r="D2753" s="25">
        <v>34909937</v>
      </c>
      <c r="E2753" s="25">
        <v>46634837</v>
      </c>
      <c r="F2753" s="25">
        <v>11724900</v>
      </c>
      <c r="G2753" s="26">
        <v>1.3358613909844639</v>
      </c>
      <c r="H2753" s="10" t="str">
        <f t="shared" si="43"/>
        <v>COSTOS</v>
      </c>
      <c r="I2753" s="20">
        <v>2026</v>
      </c>
    </row>
    <row r="2754" spans="1:9" hidden="1" x14ac:dyDescent="0.3">
      <c r="A2754" s="24" t="s">
        <v>7</v>
      </c>
      <c r="B2754" s="24" t="s">
        <v>8</v>
      </c>
      <c r="C2754" s="22">
        <v>1</v>
      </c>
      <c r="D2754" s="25">
        <v>3558750</v>
      </c>
      <c r="E2754" s="25">
        <v>3558750</v>
      </c>
      <c r="F2754" s="25">
        <v>0</v>
      </c>
      <c r="G2754" s="26">
        <v>1</v>
      </c>
      <c r="H2754" s="10" t="str">
        <f t="shared" si="43"/>
        <v>GASTOS</v>
      </c>
      <c r="I2754" s="20">
        <v>2026</v>
      </c>
    </row>
    <row r="2755" spans="1:9" hidden="1" x14ac:dyDescent="0.3">
      <c r="A2755" s="24" t="s">
        <v>7</v>
      </c>
      <c r="B2755" s="24" t="s">
        <v>8</v>
      </c>
      <c r="C2755" s="22">
        <v>2</v>
      </c>
      <c r="D2755" s="25">
        <v>4377263</v>
      </c>
      <c r="E2755" s="25">
        <v>4377263</v>
      </c>
      <c r="F2755" s="25">
        <v>0</v>
      </c>
      <c r="G2755" s="26">
        <v>1</v>
      </c>
      <c r="H2755" s="10" t="str">
        <f t="shared" si="43"/>
        <v>GASTOS</v>
      </c>
      <c r="I2755" s="20">
        <v>2026</v>
      </c>
    </row>
    <row r="2756" spans="1:9" hidden="1" x14ac:dyDescent="0.3">
      <c r="A2756" s="23" t="s">
        <v>7</v>
      </c>
      <c r="B2756" s="23" t="s">
        <v>8</v>
      </c>
      <c r="C2756" s="22">
        <v>3</v>
      </c>
      <c r="D2756" s="25">
        <v>4377263</v>
      </c>
      <c r="E2756" s="25">
        <v>4377263</v>
      </c>
      <c r="F2756" s="25">
        <v>0</v>
      </c>
      <c r="G2756" s="26">
        <v>1</v>
      </c>
      <c r="H2756" s="10" t="str">
        <f t="shared" si="43"/>
        <v>GASTOS</v>
      </c>
      <c r="I2756" s="20">
        <v>2026</v>
      </c>
    </row>
    <row r="2757" spans="1:9" hidden="1" x14ac:dyDescent="0.3">
      <c r="A2757" s="24" t="s">
        <v>7</v>
      </c>
      <c r="B2757" s="24" t="s">
        <v>8</v>
      </c>
      <c r="C2757" s="22">
        <v>4</v>
      </c>
      <c r="D2757" s="25">
        <v>4377263</v>
      </c>
      <c r="E2757" s="25">
        <v>4377263</v>
      </c>
      <c r="F2757" s="25">
        <v>0</v>
      </c>
      <c r="G2757" s="26">
        <v>1</v>
      </c>
      <c r="H2757" s="10" t="str">
        <f t="shared" si="43"/>
        <v>GASTOS</v>
      </c>
      <c r="I2757" s="20">
        <v>2026</v>
      </c>
    </row>
    <row r="2758" spans="1:9" hidden="1" x14ac:dyDescent="0.3">
      <c r="A2758" s="24" t="s">
        <v>248</v>
      </c>
      <c r="B2758" s="24" t="s">
        <v>9</v>
      </c>
      <c r="C2758" s="22">
        <v>1</v>
      </c>
      <c r="D2758" s="25">
        <v>1300000</v>
      </c>
      <c r="E2758" s="25">
        <v>1300000</v>
      </c>
      <c r="F2758" s="25">
        <v>0</v>
      </c>
      <c r="G2758" s="26">
        <v>1</v>
      </c>
      <c r="H2758" s="10" t="str">
        <f t="shared" si="43"/>
        <v>GASTOS</v>
      </c>
      <c r="I2758" s="20">
        <v>2026</v>
      </c>
    </row>
    <row r="2759" spans="1:9" hidden="1" x14ac:dyDescent="0.3">
      <c r="A2759" s="24" t="s">
        <v>248</v>
      </c>
      <c r="B2759" s="24" t="s">
        <v>9</v>
      </c>
      <c r="C2759" s="22">
        <v>2</v>
      </c>
      <c r="D2759" s="25">
        <v>0</v>
      </c>
      <c r="E2759" s="25">
        <v>0</v>
      </c>
      <c r="F2759" s="25">
        <v>0</v>
      </c>
      <c r="G2759" s="26">
        <v>0</v>
      </c>
      <c r="H2759" s="10" t="str">
        <f t="shared" si="43"/>
        <v>GASTOS</v>
      </c>
      <c r="I2759" s="20">
        <v>2026</v>
      </c>
    </row>
    <row r="2760" spans="1:9" hidden="1" x14ac:dyDescent="0.3">
      <c r="A2760" s="23" t="s">
        <v>248</v>
      </c>
      <c r="B2760" s="23" t="s">
        <v>9</v>
      </c>
      <c r="C2760" s="22">
        <v>3</v>
      </c>
      <c r="D2760" s="25">
        <v>0</v>
      </c>
      <c r="E2760" s="25">
        <v>0</v>
      </c>
      <c r="F2760" s="25">
        <v>0</v>
      </c>
      <c r="G2760" s="26">
        <v>0</v>
      </c>
      <c r="H2760" s="10" t="str">
        <f t="shared" si="43"/>
        <v>GASTOS</v>
      </c>
      <c r="I2760" s="20">
        <v>2026</v>
      </c>
    </row>
    <row r="2761" spans="1:9" hidden="1" x14ac:dyDescent="0.3">
      <c r="A2761" s="24" t="s">
        <v>248</v>
      </c>
      <c r="B2761" s="24" t="s">
        <v>9</v>
      </c>
      <c r="C2761" s="22">
        <v>4</v>
      </c>
      <c r="D2761" s="25">
        <v>0</v>
      </c>
      <c r="E2761" s="25">
        <v>0</v>
      </c>
      <c r="F2761" s="25">
        <v>0</v>
      </c>
      <c r="G2761" s="26">
        <v>0</v>
      </c>
      <c r="H2761" s="10" t="str">
        <f t="shared" si="43"/>
        <v>GASTOS</v>
      </c>
      <c r="I2761" s="20">
        <v>2026</v>
      </c>
    </row>
    <row r="2762" spans="1:9" hidden="1" x14ac:dyDescent="0.3">
      <c r="A2762" s="24" t="s">
        <v>56</v>
      </c>
      <c r="B2762" s="24" t="s">
        <v>10</v>
      </c>
      <c r="C2762" s="22">
        <v>1</v>
      </c>
      <c r="D2762" s="25">
        <v>0</v>
      </c>
      <c r="E2762" s="25">
        <v>0</v>
      </c>
      <c r="F2762" s="25">
        <v>0</v>
      </c>
      <c r="G2762" s="26">
        <v>0</v>
      </c>
      <c r="H2762" s="10" t="str">
        <f t="shared" si="43"/>
        <v>GASTOS</v>
      </c>
      <c r="I2762" s="20">
        <v>2026</v>
      </c>
    </row>
    <row r="2763" spans="1:9" hidden="1" x14ac:dyDescent="0.3">
      <c r="A2763" s="24" t="s">
        <v>56</v>
      </c>
      <c r="B2763" s="24" t="s">
        <v>10</v>
      </c>
      <c r="C2763" s="22">
        <v>2</v>
      </c>
      <c r="D2763" s="25">
        <v>0</v>
      </c>
      <c r="E2763" s="25">
        <v>0</v>
      </c>
      <c r="F2763" s="25">
        <v>0</v>
      </c>
      <c r="G2763" s="26">
        <v>0</v>
      </c>
      <c r="H2763" s="10" t="str">
        <f t="shared" si="43"/>
        <v>GASTOS</v>
      </c>
      <c r="I2763" s="20">
        <v>2026</v>
      </c>
    </row>
    <row r="2764" spans="1:9" hidden="1" x14ac:dyDescent="0.3">
      <c r="A2764" s="23" t="s">
        <v>56</v>
      </c>
      <c r="B2764" s="23" t="s">
        <v>10</v>
      </c>
      <c r="C2764" s="22">
        <v>3</v>
      </c>
      <c r="D2764" s="25">
        <v>0</v>
      </c>
      <c r="E2764" s="25">
        <v>0</v>
      </c>
      <c r="F2764" s="25">
        <v>0</v>
      </c>
      <c r="G2764" s="26">
        <v>0</v>
      </c>
      <c r="H2764" s="10" t="str">
        <f t="shared" si="43"/>
        <v>GASTOS</v>
      </c>
      <c r="I2764" s="20">
        <v>2026</v>
      </c>
    </row>
    <row r="2765" spans="1:9" hidden="1" x14ac:dyDescent="0.3">
      <c r="A2765" s="24" t="s">
        <v>56</v>
      </c>
      <c r="B2765" s="24" t="s">
        <v>10</v>
      </c>
      <c r="C2765" s="22">
        <v>4</v>
      </c>
      <c r="D2765" s="25">
        <v>0</v>
      </c>
      <c r="E2765" s="25">
        <v>0</v>
      </c>
      <c r="F2765" s="25">
        <v>0</v>
      </c>
      <c r="G2765" s="26">
        <v>0</v>
      </c>
      <c r="H2765" s="10" t="str">
        <f t="shared" si="43"/>
        <v>GASTOS</v>
      </c>
      <c r="I2765" s="20">
        <v>2026</v>
      </c>
    </row>
    <row r="2766" spans="1:9" hidden="1" x14ac:dyDescent="0.3">
      <c r="A2766" s="24" t="s">
        <v>248</v>
      </c>
      <c r="B2766" s="24" t="s">
        <v>10</v>
      </c>
      <c r="C2766" s="22">
        <v>1</v>
      </c>
      <c r="D2766" s="25">
        <v>1750905</v>
      </c>
      <c r="E2766" s="25">
        <v>1750905</v>
      </c>
      <c r="F2766" s="25">
        <v>0</v>
      </c>
      <c r="G2766" s="26">
        <v>1</v>
      </c>
      <c r="H2766" s="10" t="str">
        <f t="shared" si="43"/>
        <v>GASTOS</v>
      </c>
      <c r="I2766" s="20">
        <v>2026</v>
      </c>
    </row>
    <row r="2767" spans="1:9" hidden="1" x14ac:dyDescent="0.3">
      <c r="A2767" s="24" t="s">
        <v>248</v>
      </c>
      <c r="B2767" s="24" t="s">
        <v>10</v>
      </c>
      <c r="C2767" s="22">
        <v>2</v>
      </c>
      <c r="D2767" s="25">
        <v>1750905</v>
      </c>
      <c r="E2767" s="25">
        <v>1750905</v>
      </c>
      <c r="F2767" s="25">
        <v>0</v>
      </c>
      <c r="G2767" s="26">
        <v>1</v>
      </c>
      <c r="H2767" s="10" t="str">
        <f t="shared" si="43"/>
        <v>GASTOS</v>
      </c>
      <c r="I2767" s="20">
        <v>2026</v>
      </c>
    </row>
    <row r="2768" spans="1:9" hidden="1" x14ac:dyDescent="0.3">
      <c r="A2768" s="23" t="s">
        <v>248</v>
      </c>
      <c r="B2768" s="23" t="s">
        <v>10</v>
      </c>
      <c r="C2768" s="22">
        <v>3</v>
      </c>
      <c r="D2768" s="25">
        <v>1750905</v>
      </c>
      <c r="E2768" s="25">
        <v>1750905</v>
      </c>
      <c r="F2768" s="25">
        <v>0</v>
      </c>
      <c r="G2768" s="26">
        <v>1</v>
      </c>
      <c r="H2768" s="10" t="str">
        <f t="shared" si="43"/>
        <v>GASTOS</v>
      </c>
      <c r="I2768" s="20">
        <v>2026</v>
      </c>
    </row>
    <row r="2769" spans="1:9" hidden="1" x14ac:dyDescent="0.3">
      <c r="A2769" s="24" t="s">
        <v>248</v>
      </c>
      <c r="B2769" s="24" t="s">
        <v>10</v>
      </c>
      <c r="C2769" s="22">
        <v>4</v>
      </c>
      <c r="D2769" s="25">
        <v>1750905</v>
      </c>
      <c r="E2769" s="25">
        <v>1750905</v>
      </c>
      <c r="F2769" s="25">
        <v>0</v>
      </c>
      <c r="G2769" s="26">
        <v>1</v>
      </c>
      <c r="H2769" s="10" t="str">
        <f t="shared" si="43"/>
        <v>GASTOS</v>
      </c>
      <c r="I2769" s="20">
        <v>2026</v>
      </c>
    </row>
    <row r="2770" spans="1:9" hidden="1" x14ac:dyDescent="0.3">
      <c r="A2770" s="24" t="s">
        <v>7</v>
      </c>
      <c r="B2770" s="24" t="s">
        <v>11</v>
      </c>
      <c r="C2770" s="22">
        <v>1</v>
      </c>
      <c r="D2770" s="25">
        <v>1138215</v>
      </c>
      <c r="E2770" s="25">
        <v>211800</v>
      </c>
      <c r="F2770" s="25">
        <v>-926415</v>
      </c>
      <c r="G2770" s="26">
        <v>0.18608083710019638</v>
      </c>
      <c r="H2770" s="10" t="str">
        <f t="shared" si="43"/>
        <v>GASTOS</v>
      </c>
      <c r="I2770" s="20">
        <v>2026</v>
      </c>
    </row>
    <row r="2771" spans="1:9" hidden="1" x14ac:dyDescent="0.3">
      <c r="A2771" s="24" t="s">
        <v>7</v>
      </c>
      <c r="B2771" s="24" t="s">
        <v>11</v>
      </c>
      <c r="C2771" s="22">
        <v>2</v>
      </c>
      <c r="D2771" s="25">
        <v>1138215</v>
      </c>
      <c r="E2771" s="25">
        <v>1339649</v>
      </c>
      <c r="F2771" s="25">
        <v>201434</v>
      </c>
      <c r="G2771" s="26">
        <v>1.1769735946196456</v>
      </c>
      <c r="H2771" s="10" t="str">
        <f t="shared" si="43"/>
        <v>GASTOS</v>
      </c>
      <c r="I2771" s="20">
        <v>2026</v>
      </c>
    </row>
    <row r="2772" spans="1:9" hidden="1" x14ac:dyDescent="0.3">
      <c r="A2772" s="23" t="s">
        <v>7</v>
      </c>
      <c r="B2772" s="23" t="s">
        <v>11</v>
      </c>
      <c r="C2772" s="22">
        <v>3</v>
      </c>
      <c r="D2772" s="25">
        <v>1138215</v>
      </c>
      <c r="E2772" s="25">
        <v>0</v>
      </c>
      <c r="F2772" s="25">
        <v>-1138215</v>
      </c>
      <c r="G2772" s="26">
        <v>0</v>
      </c>
      <c r="H2772" s="10" t="str">
        <f t="shared" si="43"/>
        <v>GASTOS</v>
      </c>
      <c r="I2772" s="20">
        <v>2026</v>
      </c>
    </row>
    <row r="2773" spans="1:9" hidden="1" x14ac:dyDescent="0.3">
      <c r="A2773" s="24" t="s">
        <v>7</v>
      </c>
      <c r="B2773" s="24" t="s">
        <v>11</v>
      </c>
      <c r="C2773" s="22">
        <v>4</v>
      </c>
      <c r="D2773" s="25">
        <v>1138215</v>
      </c>
      <c r="E2773" s="25">
        <v>2679298</v>
      </c>
      <c r="F2773" s="25">
        <v>1541083</v>
      </c>
      <c r="G2773" s="26">
        <v>2.3539471892392916</v>
      </c>
      <c r="H2773" s="10" t="str">
        <f t="shared" si="43"/>
        <v>GASTOS</v>
      </c>
      <c r="I2773" s="20">
        <v>2026</v>
      </c>
    </row>
    <row r="2774" spans="1:9" hidden="1" x14ac:dyDescent="0.3">
      <c r="A2774" s="24" t="s">
        <v>248</v>
      </c>
      <c r="B2774" s="24" t="s">
        <v>11</v>
      </c>
      <c r="C2774" s="22">
        <v>1</v>
      </c>
      <c r="D2774" s="25">
        <v>0</v>
      </c>
      <c r="E2774" s="25">
        <v>0</v>
      </c>
      <c r="F2774" s="25">
        <v>0</v>
      </c>
      <c r="G2774" s="26">
        <v>0</v>
      </c>
      <c r="H2774" s="10" t="str">
        <f t="shared" si="43"/>
        <v>GASTOS</v>
      </c>
      <c r="I2774" s="20">
        <v>2026</v>
      </c>
    </row>
    <row r="2775" spans="1:9" hidden="1" x14ac:dyDescent="0.3">
      <c r="A2775" s="23" t="s">
        <v>248</v>
      </c>
      <c r="B2775" s="23" t="s">
        <v>11</v>
      </c>
      <c r="C2775" s="22">
        <v>2</v>
      </c>
      <c r="D2775" s="25">
        <v>0</v>
      </c>
      <c r="E2775" s="25">
        <v>0</v>
      </c>
      <c r="F2775" s="25">
        <v>0</v>
      </c>
      <c r="G2775" s="26">
        <v>0</v>
      </c>
      <c r="H2775" s="10" t="str">
        <f t="shared" si="43"/>
        <v>GASTOS</v>
      </c>
      <c r="I2775" s="20">
        <v>2026</v>
      </c>
    </row>
    <row r="2776" spans="1:9" hidden="1" x14ac:dyDescent="0.3">
      <c r="A2776" s="24" t="s">
        <v>248</v>
      </c>
      <c r="B2776" s="24" t="s">
        <v>11</v>
      </c>
      <c r="C2776" s="22">
        <v>3</v>
      </c>
      <c r="D2776" s="25">
        <v>0</v>
      </c>
      <c r="E2776" s="25">
        <v>0</v>
      </c>
      <c r="F2776" s="25">
        <v>0</v>
      </c>
      <c r="G2776" s="26">
        <v>0</v>
      </c>
      <c r="H2776" s="10" t="str">
        <f t="shared" si="43"/>
        <v>GASTOS</v>
      </c>
      <c r="I2776" s="20">
        <v>2026</v>
      </c>
    </row>
    <row r="2777" spans="1:9" hidden="1" x14ac:dyDescent="0.3">
      <c r="A2777" s="24" t="s">
        <v>248</v>
      </c>
      <c r="B2777" s="24" t="s">
        <v>11</v>
      </c>
      <c r="C2777" s="22">
        <v>4</v>
      </c>
      <c r="D2777" s="25">
        <v>0</v>
      </c>
      <c r="E2777" s="25">
        <v>0</v>
      </c>
      <c r="F2777" s="25">
        <v>0</v>
      </c>
      <c r="G2777" s="26">
        <v>0</v>
      </c>
      <c r="H2777" s="10" t="str">
        <f t="shared" si="43"/>
        <v>GASTOS</v>
      </c>
      <c r="I2777" s="20">
        <v>2026</v>
      </c>
    </row>
    <row r="2778" spans="1:9" hidden="1" x14ac:dyDescent="0.3">
      <c r="A2778" s="24" t="s">
        <v>7</v>
      </c>
      <c r="B2778" s="24" t="s">
        <v>162</v>
      </c>
      <c r="C2778" s="22">
        <v>1</v>
      </c>
      <c r="D2778" s="25">
        <v>4270500</v>
      </c>
      <c r="E2778" s="25">
        <v>4270500</v>
      </c>
      <c r="F2778" s="25">
        <v>0</v>
      </c>
      <c r="G2778" s="26">
        <v>1</v>
      </c>
      <c r="H2778" s="10" t="str">
        <f t="shared" si="43"/>
        <v>GASTOS</v>
      </c>
      <c r="I2778" s="20">
        <v>2026</v>
      </c>
    </row>
    <row r="2779" spans="1:9" hidden="1" x14ac:dyDescent="0.3">
      <c r="A2779" s="23" t="s">
        <v>7</v>
      </c>
      <c r="B2779" s="23" t="s">
        <v>162</v>
      </c>
      <c r="C2779" s="22">
        <v>2</v>
      </c>
      <c r="D2779" s="25">
        <v>4270500</v>
      </c>
      <c r="E2779" s="25">
        <v>4270500</v>
      </c>
      <c r="F2779" s="25">
        <v>0</v>
      </c>
      <c r="G2779" s="26">
        <v>1</v>
      </c>
      <c r="H2779" s="10" t="str">
        <f t="shared" si="43"/>
        <v>GASTOS</v>
      </c>
      <c r="I2779" s="20">
        <v>2026</v>
      </c>
    </row>
    <row r="2780" spans="1:9" hidden="1" x14ac:dyDescent="0.3">
      <c r="A2780" s="24" t="s">
        <v>7</v>
      </c>
      <c r="B2780" s="24" t="s">
        <v>162</v>
      </c>
      <c r="C2780" s="22">
        <v>3</v>
      </c>
      <c r="D2780" s="25">
        <v>1750905</v>
      </c>
      <c r="E2780" s="25">
        <v>1750905</v>
      </c>
      <c r="F2780" s="25">
        <v>0</v>
      </c>
      <c r="G2780" s="26">
        <v>1</v>
      </c>
      <c r="H2780" s="10" t="str">
        <f t="shared" si="43"/>
        <v>GASTOS</v>
      </c>
      <c r="I2780" s="20">
        <v>2026</v>
      </c>
    </row>
    <row r="2781" spans="1:9" hidden="1" x14ac:dyDescent="0.3">
      <c r="A2781" s="24" t="s">
        <v>7</v>
      </c>
      <c r="B2781" s="24" t="s">
        <v>162</v>
      </c>
      <c r="C2781" s="22">
        <v>4</v>
      </c>
      <c r="D2781" s="25">
        <v>1750905</v>
      </c>
      <c r="E2781" s="25">
        <v>1750905</v>
      </c>
      <c r="F2781" s="25">
        <v>0</v>
      </c>
      <c r="G2781" s="26">
        <v>1</v>
      </c>
      <c r="H2781" s="10" t="str">
        <f t="shared" si="43"/>
        <v>GASTOS</v>
      </c>
      <c r="I2781" s="20">
        <v>2026</v>
      </c>
    </row>
    <row r="2782" spans="1:9" hidden="1" x14ac:dyDescent="0.3">
      <c r="A2782" s="24" t="s">
        <v>7</v>
      </c>
      <c r="B2782" s="24" t="s">
        <v>163</v>
      </c>
      <c r="C2782" s="22">
        <v>1</v>
      </c>
      <c r="D2782" s="25">
        <v>0</v>
      </c>
      <c r="E2782" s="25">
        <v>0</v>
      </c>
      <c r="F2782" s="25">
        <v>0</v>
      </c>
      <c r="G2782" s="26">
        <v>0</v>
      </c>
      <c r="H2782" s="10" t="str">
        <f t="shared" si="43"/>
        <v>GASTOS</v>
      </c>
      <c r="I2782" s="20">
        <v>2026</v>
      </c>
    </row>
    <row r="2783" spans="1:9" hidden="1" x14ac:dyDescent="0.3">
      <c r="A2783" s="23" t="s">
        <v>7</v>
      </c>
      <c r="B2783" s="23" t="s">
        <v>163</v>
      </c>
      <c r="C2783" s="22">
        <v>2</v>
      </c>
      <c r="D2783" s="25">
        <v>0</v>
      </c>
      <c r="E2783" s="25">
        <v>0</v>
      </c>
      <c r="F2783" s="25">
        <v>0</v>
      </c>
      <c r="G2783" s="26">
        <v>0</v>
      </c>
      <c r="H2783" s="10" t="str">
        <f t="shared" si="43"/>
        <v>GASTOS</v>
      </c>
      <c r="I2783" s="20">
        <v>2026</v>
      </c>
    </row>
    <row r="2784" spans="1:9" hidden="1" x14ac:dyDescent="0.3">
      <c r="A2784" s="24" t="s">
        <v>7</v>
      </c>
      <c r="B2784" s="24" t="s">
        <v>163</v>
      </c>
      <c r="C2784" s="22">
        <v>3</v>
      </c>
      <c r="D2784" s="25">
        <v>0</v>
      </c>
      <c r="E2784" s="25">
        <v>0</v>
      </c>
      <c r="F2784" s="25">
        <v>0</v>
      </c>
      <c r="G2784" s="26">
        <v>0</v>
      </c>
      <c r="H2784" s="10" t="str">
        <f t="shared" si="43"/>
        <v>GASTOS</v>
      </c>
      <c r="I2784" s="20">
        <v>2026</v>
      </c>
    </row>
    <row r="2785" spans="1:9" hidden="1" x14ac:dyDescent="0.3">
      <c r="A2785" s="24" t="s">
        <v>7</v>
      </c>
      <c r="B2785" s="24" t="s">
        <v>163</v>
      </c>
      <c r="C2785" s="22">
        <v>4</v>
      </c>
      <c r="D2785" s="25">
        <v>0</v>
      </c>
      <c r="E2785" s="25">
        <v>0</v>
      </c>
      <c r="F2785" s="25">
        <v>0</v>
      </c>
      <c r="G2785" s="26">
        <v>0</v>
      </c>
      <c r="H2785" s="10" t="str">
        <f t="shared" si="43"/>
        <v>GASTOS</v>
      </c>
      <c r="I2785" s="20">
        <v>2026</v>
      </c>
    </row>
    <row r="2786" spans="1:9" hidden="1" x14ac:dyDescent="0.3">
      <c r="A2786" s="24" t="s">
        <v>219</v>
      </c>
      <c r="B2786" s="24" t="s">
        <v>109</v>
      </c>
      <c r="C2786" s="22">
        <v>1</v>
      </c>
      <c r="D2786" s="25">
        <v>0</v>
      </c>
      <c r="E2786" s="25">
        <v>0</v>
      </c>
      <c r="F2786" s="25">
        <v>0</v>
      </c>
      <c r="G2786" s="26">
        <v>0</v>
      </c>
      <c r="H2786" s="10" t="str">
        <f t="shared" si="43"/>
        <v>GASTOS</v>
      </c>
      <c r="I2786" s="20">
        <v>2026</v>
      </c>
    </row>
    <row r="2787" spans="1:9" hidden="1" x14ac:dyDescent="0.3">
      <c r="A2787" s="23" t="s">
        <v>219</v>
      </c>
      <c r="B2787" s="23" t="s">
        <v>109</v>
      </c>
      <c r="C2787" s="22">
        <v>2</v>
      </c>
      <c r="D2787" s="25">
        <v>42758025</v>
      </c>
      <c r="E2787" s="25">
        <v>42758025</v>
      </c>
      <c r="F2787" s="25">
        <v>0</v>
      </c>
      <c r="G2787" s="26">
        <v>1</v>
      </c>
      <c r="H2787" s="10" t="str">
        <f t="shared" si="43"/>
        <v>GASTOS</v>
      </c>
      <c r="I2787" s="20">
        <v>2026</v>
      </c>
    </row>
    <row r="2788" spans="1:9" hidden="1" x14ac:dyDescent="0.3">
      <c r="A2788" s="24" t="s">
        <v>219</v>
      </c>
      <c r="B2788" s="24" t="s">
        <v>109</v>
      </c>
      <c r="C2788" s="22">
        <v>3</v>
      </c>
      <c r="D2788" s="25">
        <v>0</v>
      </c>
      <c r="E2788" s="25">
        <v>0</v>
      </c>
      <c r="F2788" s="25">
        <v>0</v>
      </c>
      <c r="G2788" s="26">
        <v>0</v>
      </c>
      <c r="H2788" s="10" t="str">
        <f t="shared" si="43"/>
        <v>GASTOS</v>
      </c>
      <c r="I2788" s="20">
        <v>2026</v>
      </c>
    </row>
    <row r="2789" spans="1:9" hidden="1" x14ac:dyDescent="0.3">
      <c r="A2789" s="24" t="s">
        <v>219</v>
      </c>
      <c r="B2789" s="24" t="s">
        <v>109</v>
      </c>
      <c r="C2789" s="22">
        <v>4</v>
      </c>
      <c r="D2789" s="25">
        <v>0</v>
      </c>
      <c r="E2789" s="25">
        <v>0</v>
      </c>
      <c r="F2789" s="25">
        <v>0</v>
      </c>
      <c r="G2789" s="26">
        <v>0</v>
      </c>
      <c r="H2789" s="10" t="str">
        <f t="shared" si="43"/>
        <v>GASTOS</v>
      </c>
      <c r="I2789" s="20">
        <v>2026</v>
      </c>
    </row>
    <row r="2790" spans="1:9" hidden="1" x14ac:dyDescent="0.3">
      <c r="A2790" s="24" t="s">
        <v>242</v>
      </c>
      <c r="B2790" s="24" t="s">
        <v>109</v>
      </c>
      <c r="C2790" s="22">
        <v>1</v>
      </c>
      <c r="D2790" s="25">
        <v>0</v>
      </c>
      <c r="E2790" s="25">
        <v>0</v>
      </c>
      <c r="F2790" s="25">
        <v>0</v>
      </c>
      <c r="G2790" s="26">
        <v>0</v>
      </c>
      <c r="H2790" s="10" t="str">
        <f t="shared" si="43"/>
        <v>GASTOS</v>
      </c>
      <c r="I2790" s="20">
        <v>2026</v>
      </c>
    </row>
    <row r="2791" spans="1:9" hidden="1" x14ac:dyDescent="0.3">
      <c r="A2791" s="23" t="s">
        <v>242</v>
      </c>
      <c r="B2791" s="23" t="s">
        <v>109</v>
      </c>
      <c r="C2791" s="22">
        <v>2</v>
      </c>
      <c r="D2791" s="25">
        <v>28417310</v>
      </c>
      <c r="E2791" s="25">
        <v>28417310</v>
      </c>
      <c r="F2791" s="25">
        <v>0</v>
      </c>
      <c r="G2791" s="26">
        <v>1</v>
      </c>
      <c r="H2791" s="10" t="str">
        <f t="shared" si="43"/>
        <v>GASTOS</v>
      </c>
      <c r="I2791" s="20">
        <v>2026</v>
      </c>
    </row>
    <row r="2792" spans="1:9" hidden="1" x14ac:dyDescent="0.3">
      <c r="A2792" s="24" t="s">
        <v>242</v>
      </c>
      <c r="B2792" s="24" t="s">
        <v>109</v>
      </c>
      <c r="C2792" s="22">
        <v>3</v>
      </c>
      <c r="D2792" s="25">
        <v>0</v>
      </c>
      <c r="E2792" s="25">
        <v>0</v>
      </c>
      <c r="F2792" s="25">
        <v>0</v>
      </c>
      <c r="G2792" s="26">
        <v>0</v>
      </c>
      <c r="H2792" s="10" t="str">
        <f t="shared" si="43"/>
        <v>GASTOS</v>
      </c>
      <c r="I2792" s="20">
        <v>2026</v>
      </c>
    </row>
    <row r="2793" spans="1:9" hidden="1" x14ac:dyDescent="0.3">
      <c r="A2793" s="23" t="s">
        <v>242</v>
      </c>
      <c r="B2793" s="23" t="s">
        <v>109</v>
      </c>
      <c r="C2793" s="22">
        <v>4</v>
      </c>
      <c r="D2793" s="25">
        <v>0</v>
      </c>
      <c r="E2793" s="25">
        <v>0</v>
      </c>
      <c r="F2793" s="25">
        <v>0</v>
      </c>
      <c r="G2793" s="26">
        <v>0</v>
      </c>
      <c r="H2793" s="10" t="str">
        <f t="shared" si="43"/>
        <v>GASTOS</v>
      </c>
      <c r="I2793" s="20">
        <v>2026</v>
      </c>
    </row>
    <row r="2794" spans="1:9" hidden="1" x14ac:dyDescent="0.3">
      <c r="A2794" s="24" t="s">
        <v>56</v>
      </c>
      <c r="B2794" s="24" t="s">
        <v>149</v>
      </c>
      <c r="C2794" s="22">
        <v>1</v>
      </c>
      <c r="D2794" s="25">
        <v>0</v>
      </c>
      <c r="E2794" s="25">
        <v>0</v>
      </c>
      <c r="F2794" s="25">
        <v>0</v>
      </c>
      <c r="G2794" s="26">
        <v>0</v>
      </c>
      <c r="H2794" s="10" t="str">
        <f t="shared" si="43"/>
        <v>GASTOS</v>
      </c>
      <c r="I2794" s="20">
        <v>2026</v>
      </c>
    </row>
    <row r="2795" spans="1:9" hidden="1" x14ac:dyDescent="0.3">
      <c r="A2795" s="24" t="s">
        <v>56</v>
      </c>
      <c r="B2795" s="24" t="s">
        <v>149</v>
      </c>
      <c r="C2795" s="22">
        <v>2</v>
      </c>
      <c r="D2795" s="25">
        <v>0</v>
      </c>
      <c r="E2795" s="25">
        <v>0</v>
      </c>
      <c r="F2795" s="25">
        <v>0</v>
      </c>
      <c r="G2795" s="26">
        <v>0</v>
      </c>
      <c r="H2795" s="10" t="str">
        <f t="shared" si="43"/>
        <v>GASTOS</v>
      </c>
      <c r="I2795" s="20">
        <v>2026</v>
      </c>
    </row>
    <row r="2796" spans="1:9" hidden="1" x14ac:dyDescent="0.3">
      <c r="A2796" s="24" t="s">
        <v>56</v>
      </c>
      <c r="B2796" s="24" t="s">
        <v>149</v>
      </c>
      <c r="C2796" s="22">
        <v>3</v>
      </c>
      <c r="D2796" s="25">
        <v>0</v>
      </c>
      <c r="E2796" s="25">
        <v>0</v>
      </c>
      <c r="F2796" s="25">
        <v>0</v>
      </c>
      <c r="G2796" s="26">
        <v>0</v>
      </c>
      <c r="H2796" s="10" t="str">
        <f t="shared" si="43"/>
        <v>GASTOS</v>
      </c>
      <c r="I2796" s="20">
        <v>2026</v>
      </c>
    </row>
    <row r="2797" spans="1:9" hidden="1" x14ac:dyDescent="0.3">
      <c r="A2797" s="23" t="s">
        <v>56</v>
      </c>
      <c r="B2797" s="23" t="s">
        <v>149</v>
      </c>
      <c r="C2797" s="22">
        <v>4</v>
      </c>
      <c r="D2797" s="25">
        <v>7704900</v>
      </c>
      <c r="E2797" s="25">
        <v>7704900</v>
      </c>
      <c r="F2797" s="25">
        <v>0</v>
      </c>
      <c r="G2797" s="26">
        <v>1</v>
      </c>
      <c r="H2797" s="10" t="str">
        <f t="shared" si="43"/>
        <v>GASTOS</v>
      </c>
      <c r="I2797" s="20">
        <v>2026</v>
      </c>
    </row>
    <row r="2798" spans="1:9" hidden="1" x14ac:dyDescent="0.3">
      <c r="A2798" s="24" t="s">
        <v>56</v>
      </c>
      <c r="B2798" s="24" t="s">
        <v>234</v>
      </c>
      <c r="C2798" s="22">
        <v>1</v>
      </c>
      <c r="D2798" s="25">
        <v>0</v>
      </c>
      <c r="E2798" s="25">
        <v>0</v>
      </c>
      <c r="F2798" s="25">
        <v>0</v>
      </c>
      <c r="G2798" s="26">
        <v>0</v>
      </c>
      <c r="H2798" s="10" t="str">
        <f t="shared" ref="H2798:H2861" si="44">+IF(OR(A2798="ADMINISTRACION",A2798="COMERCIAL",A2798="COMERCIAL-EXPORTACIONES",A2798="LEASING DE LA BODEGA",A2798="LOGISTICA-SALIDA",A2798="OTROS GASTOS",A2798="BODEGA ALQUILADA", A2798="BODEGA CARTOPLAST", A2798="BODEGA CARTOPLAS", A2798= "GESTION HUMANA-OTROS GASTOS",A2798="FAMILIA"),"GASTOS","COSTOS")</f>
        <v>GASTOS</v>
      </c>
      <c r="I2798" s="20">
        <v>2026</v>
      </c>
    </row>
    <row r="2799" spans="1:9" hidden="1" x14ac:dyDescent="0.3">
      <c r="A2799" s="24" t="s">
        <v>56</v>
      </c>
      <c r="B2799" s="24" t="s">
        <v>234</v>
      </c>
      <c r="C2799" s="22">
        <v>2</v>
      </c>
      <c r="D2799" s="25">
        <v>0</v>
      </c>
      <c r="E2799" s="25">
        <v>0</v>
      </c>
      <c r="F2799" s="25">
        <v>0</v>
      </c>
      <c r="G2799" s="26">
        <v>0</v>
      </c>
      <c r="H2799" s="10" t="str">
        <f t="shared" si="44"/>
        <v>GASTOS</v>
      </c>
      <c r="I2799" s="20">
        <v>2026</v>
      </c>
    </row>
    <row r="2800" spans="1:9" hidden="1" x14ac:dyDescent="0.3">
      <c r="A2800" s="24" t="s">
        <v>56</v>
      </c>
      <c r="B2800" s="24" t="s">
        <v>234</v>
      </c>
      <c r="C2800" s="22">
        <v>3</v>
      </c>
      <c r="D2800" s="25">
        <v>0</v>
      </c>
      <c r="E2800" s="25">
        <v>0</v>
      </c>
      <c r="F2800" s="25">
        <v>0</v>
      </c>
      <c r="G2800" s="26">
        <v>0</v>
      </c>
      <c r="H2800" s="10" t="str">
        <f t="shared" si="44"/>
        <v>GASTOS</v>
      </c>
      <c r="I2800" s="20">
        <v>2026</v>
      </c>
    </row>
    <row r="2801" spans="1:9" hidden="1" x14ac:dyDescent="0.3">
      <c r="A2801" s="23" t="s">
        <v>56</v>
      </c>
      <c r="B2801" s="23" t="s">
        <v>234</v>
      </c>
      <c r="C2801" s="22">
        <v>4</v>
      </c>
      <c r="D2801" s="25">
        <v>0</v>
      </c>
      <c r="E2801" s="25">
        <v>0</v>
      </c>
      <c r="F2801" s="25">
        <v>0</v>
      </c>
      <c r="G2801" s="26">
        <v>0</v>
      </c>
      <c r="H2801" s="10" t="str">
        <f t="shared" si="44"/>
        <v>GASTOS</v>
      </c>
      <c r="I2801" s="20">
        <v>2026</v>
      </c>
    </row>
    <row r="2802" spans="1:9" hidden="1" x14ac:dyDescent="0.3">
      <c r="A2802" s="24" t="s">
        <v>56</v>
      </c>
      <c r="B2802" s="24" t="s">
        <v>12</v>
      </c>
      <c r="C2802" s="22">
        <v>1</v>
      </c>
      <c r="D2802" s="25">
        <v>0</v>
      </c>
      <c r="E2802" s="25">
        <v>1110300</v>
      </c>
      <c r="F2802" s="25">
        <v>1110300</v>
      </c>
      <c r="G2802" s="26">
        <v>0</v>
      </c>
      <c r="H2802" s="10" t="str">
        <f t="shared" si="44"/>
        <v>GASTOS</v>
      </c>
      <c r="I2802" s="20">
        <v>2026</v>
      </c>
    </row>
    <row r="2803" spans="1:9" hidden="1" x14ac:dyDescent="0.3">
      <c r="A2803" s="24" t="s">
        <v>56</v>
      </c>
      <c r="B2803" s="24" t="s">
        <v>12</v>
      </c>
      <c r="C2803" s="22">
        <v>2</v>
      </c>
      <c r="D2803" s="25">
        <v>0</v>
      </c>
      <c r="E2803" s="25">
        <v>0</v>
      </c>
      <c r="F2803" s="25">
        <v>0</v>
      </c>
      <c r="G2803" s="26">
        <v>0</v>
      </c>
      <c r="H2803" s="10" t="str">
        <f t="shared" si="44"/>
        <v>GASTOS</v>
      </c>
      <c r="I2803" s="20">
        <v>2026</v>
      </c>
    </row>
    <row r="2804" spans="1:9" hidden="1" x14ac:dyDescent="0.3">
      <c r="A2804" s="24" t="s">
        <v>56</v>
      </c>
      <c r="B2804" s="24" t="s">
        <v>12</v>
      </c>
      <c r="C2804" s="22">
        <v>3</v>
      </c>
      <c r="D2804" s="25">
        <v>0</v>
      </c>
      <c r="E2804" s="25">
        <v>0</v>
      </c>
      <c r="F2804" s="25">
        <v>0</v>
      </c>
      <c r="G2804" s="26">
        <v>0</v>
      </c>
      <c r="H2804" s="10" t="str">
        <f t="shared" si="44"/>
        <v>GASTOS</v>
      </c>
      <c r="I2804" s="20">
        <v>2026</v>
      </c>
    </row>
    <row r="2805" spans="1:9" hidden="1" x14ac:dyDescent="0.3">
      <c r="A2805" s="23" t="s">
        <v>56</v>
      </c>
      <c r="B2805" s="23" t="s">
        <v>12</v>
      </c>
      <c r="C2805" s="22">
        <v>4</v>
      </c>
      <c r="D2805" s="25">
        <v>0</v>
      </c>
      <c r="E2805" s="25">
        <v>0</v>
      </c>
      <c r="F2805" s="25">
        <v>0</v>
      </c>
      <c r="G2805" s="26">
        <v>0</v>
      </c>
      <c r="H2805" s="10" t="str">
        <f t="shared" si="44"/>
        <v>GASTOS</v>
      </c>
      <c r="I2805" s="20">
        <v>2026</v>
      </c>
    </row>
    <row r="2806" spans="1:9" hidden="1" x14ac:dyDescent="0.3">
      <c r="A2806" s="24" t="s">
        <v>56</v>
      </c>
      <c r="B2806" s="24" t="s">
        <v>13</v>
      </c>
      <c r="C2806" s="22">
        <v>1</v>
      </c>
      <c r="D2806" s="25">
        <v>1300000</v>
      </c>
      <c r="E2806" s="25">
        <v>0</v>
      </c>
      <c r="F2806" s="25">
        <v>-1300000</v>
      </c>
      <c r="G2806" s="26">
        <v>0</v>
      </c>
      <c r="H2806" s="10" t="str">
        <f t="shared" si="44"/>
        <v>GASTOS</v>
      </c>
      <c r="I2806" s="20">
        <v>2026</v>
      </c>
    </row>
    <row r="2807" spans="1:9" hidden="1" x14ac:dyDescent="0.3">
      <c r="A2807" s="24" t="s">
        <v>56</v>
      </c>
      <c r="B2807" s="24" t="s">
        <v>13</v>
      </c>
      <c r="C2807" s="22">
        <v>2</v>
      </c>
      <c r="D2807" s="25">
        <v>0</v>
      </c>
      <c r="E2807" s="25">
        <v>0</v>
      </c>
      <c r="F2807" s="25">
        <v>0</v>
      </c>
      <c r="G2807" s="26">
        <v>0</v>
      </c>
      <c r="H2807" s="10" t="str">
        <f t="shared" si="44"/>
        <v>GASTOS</v>
      </c>
      <c r="I2807" s="20">
        <v>2026</v>
      </c>
    </row>
    <row r="2808" spans="1:9" hidden="1" x14ac:dyDescent="0.3">
      <c r="A2808" s="24" t="s">
        <v>56</v>
      </c>
      <c r="B2808" s="24" t="s">
        <v>13</v>
      </c>
      <c r="C2808" s="22">
        <v>3</v>
      </c>
      <c r="D2808" s="25">
        <v>0</v>
      </c>
      <c r="E2808" s="25">
        <v>797300</v>
      </c>
      <c r="F2808" s="25">
        <v>797300</v>
      </c>
      <c r="G2808" s="26">
        <v>0</v>
      </c>
      <c r="H2808" s="10" t="str">
        <f t="shared" si="44"/>
        <v>GASTOS</v>
      </c>
      <c r="I2808" s="20">
        <v>2026</v>
      </c>
    </row>
    <row r="2809" spans="1:9" hidden="1" x14ac:dyDescent="0.3">
      <c r="A2809" s="23" t="s">
        <v>56</v>
      </c>
      <c r="B2809" s="23" t="s">
        <v>13</v>
      </c>
      <c r="C2809" s="22">
        <v>4</v>
      </c>
      <c r="D2809" s="25">
        <v>900000</v>
      </c>
      <c r="E2809" s="25">
        <v>0</v>
      </c>
      <c r="F2809" s="25">
        <v>-900000</v>
      </c>
      <c r="G2809" s="26">
        <v>0</v>
      </c>
      <c r="H2809" s="10" t="str">
        <f t="shared" si="44"/>
        <v>GASTOS</v>
      </c>
      <c r="I2809" s="20">
        <v>2026</v>
      </c>
    </row>
    <row r="2810" spans="1:9" hidden="1" x14ac:dyDescent="0.3">
      <c r="A2810" s="24" t="s">
        <v>7</v>
      </c>
      <c r="B2810" s="24" t="s">
        <v>102</v>
      </c>
      <c r="C2810" s="22">
        <v>1</v>
      </c>
      <c r="D2810" s="25">
        <v>0</v>
      </c>
      <c r="E2810" s="25">
        <v>0</v>
      </c>
      <c r="F2810" s="25">
        <v>0</v>
      </c>
      <c r="G2810" s="26">
        <v>0</v>
      </c>
      <c r="H2810" s="10" t="str">
        <f t="shared" si="44"/>
        <v>GASTOS</v>
      </c>
      <c r="I2810" s="20">
        <v>2026</v>
      </c>
    </row>
    <row r="2811" spans="1:9" hidden="1" x14ac:dyDescent="0.3">
      <c r="A2811" s="24" t="s">
        <v>7</v>
      </c>
      <c r="B2811" s="24" t="s">
        <v>102</v>
      </c>
      <c r="C2811" s="22">
        <v>2</v>
      </c>
      <c r="D2811" s="25">
        <v>0</v>
      </c>
      <c r="E2811" s="25">
        <v>0</v>
      </c>
      <c r="F2811" s="25">
        <v>0</v>
      </c>
      <c r="G2811" s="26">
        <v>0</v>
      </c>
      <c r="H2811" s="10" t="str">
        <f t="shared" si="44"/>
        <v>GASTOS</v>
      </c>
      <c r="I2811" s="20">
        <v>2026</v>
      </c>
    </row>
    <row r="2812" spans="1:9" hidden="1" x14ac:dyDescent="0.3">
      <c r="A2812" s="23" t="s">
        <v>7</v>
      </c>
      <c r="B2812" s="23" t="s">
        <v>102</v>
      </c>
      <c r="C2812" s="22">
        <v>3</v>
      </c>
      <c r="D2812" s="25">
        <v>0</v>
      </c>
      <c r="E2812" s="25">
        <v>0</v>
      </c>
      <c r="F2812" s="25">
        <v>0</v>
      </c>
      <c r="G2812" s="26">
        <v>0</v>
      </c>
      <c r="H2812" s="10" t="str">
        <f t="shared" si="44"/>
        <v>GASTOS</v>
      </c>
      <c r="I2812" s="20">
        <v>2026</v>
      </c>
    </row>
    <row r="2813" spans="1:9" hidden="1" x14ac:dyDescent="0.3">
      <c r="A2813" s="24" t="s">
        <v>7</v>
      </c>
      <c r="B2813" s="24" t="s">
        <v>102</v>
      </c>
      <c r="C2813" s="22">
        <v>4</v>
      </c>
      <c r="D2813" s="25">
        <v>0</v>
      </c>
      <c r="E2813" s="25">
        <v>0</v>
      </c>
      <c r="F2813" s="25">
        <v>0</v>
      </c>
      <c r="G2813" s="26">
        <v>0</v>
      </c>
      <c r="H2813" s="10" t="str">
        <f t="shared" si="44"/>
        <v>GASTOS</v>
      </c>
      <c r="I2813" s="20">
        <v>2026</v>
      </c>
    </row>
    <row r="2814" spans="1:9" hidden="1" x14ac:dyDescent="0.3">
      <c r="A2814" s="24" t="s">
        <v>219</v>
      </c>
      <c r="B2814" s="24" t="s">
        <v>102</v>
      </c>
      <c r="C2814" s="22">
        <v>1</v>
      </c>
      <c r="D2814" s="25">
        <v>537393</v>
      </c>
      <c r="E2814" s="25">
        <v>537393</v>
      </c>
      <c r="F2814" s="25">
        <v>0</v>
      </c>
      <c r="G2814" s="26">
        <v>1</v>
      </c>
      <c r="H2814" s="10" t="str">
        <f t="shared" si="44"/>
        <v>GASTOS</v>
      </c>
      <c r="I2814" s="20">
        <v>2026</v>
      </c>
    </row>
    <row r="2815" spans="1:9" hidden="1" x14ac:dyDescent="0.3">
      <c r="A2815" s="24" t="s">
        <v>219</v>
      </c>
      <c r="B2815" s="24" t="s">
        <v>102</v>
      </c>
      <c r="C2815" s="22">
        <v>2</v>
      </c>
      <c r="D2815" s="25">
        <v>537393</v>
      </c>
      <c r="E2815" s="25">
        <v>537393</v>
      </c>
      <c r="F2815" s="25">
        <v>0</v>
      </c>
      <c r="G2815" s="26">
        <v>1</v>
      </c>
      <c r="H2815" s="10" t="str">
        <f t="shared" si="44"/>
        <v>GASTOS</v>
      </c>
      <c r="I2815" s="20">
        <v>2026</v>
      </c>
    </row>
    <row r="2816" spans="1:9" hidden="1" x14ac:dyDescent="0.3">
      <c r="A2816" s="23" t="s">
        <v>219</v>
      </c>
      <c r="B2816" s="23" t="s">
        <v>102</v>
      </c>
      <c r="C2816" s="22">
        <v>3</v>
      </c>
      <c r="D2816" s="25">
        <v>537393</v>
      </c>
      <c r="E2816" s="25">
        <v>537393</v>
      </c>
      <c r="F2816" s="25">
        <v>0</v>
      </c>
      <c r="G2816" s="26">
        <v>1</v>
      </c>
      <c r="H2816" s="10" t="str">
        <f t="shared" si="44"/>
        <v>GASTOS</v>
      </c>
      <c r="I2816" s="20">
        <v>2026</v>
      </c>
    </row>
    <row r="2817" spans="1:9" hidden="1" x14ac:dyDescent="0.3">
      <c r="A2817" s="24" t="s">
        <v>219</v>
      </c>
      <c r="B2817" s="24" t="s">
        <v>102</v>
      </c>
      <c r="C2817" s="22">
        <v>4</v>
      </c>
      <c r="D2817" s="25">
        <v>537393</v>
      </c>
      <c r="E2817" s="25">
        <v>537393</v>
      </c>
      <c r="F2817" s="25">
        <v>0</v>
      </c>
      <c r="G2817" s="26">
        <v>1</v>
      </c>
      <c r="H2817" s="10" t="str">
        <f t="shared" si="44"/>
        <v>GASTOS</v>
      </c>
      <c r="I2817" s="20">
        <v>2026</v>
      </c>
    </row>
    <row r="2818" spans="1:9" hidden="1" x14ac:dyDescent="0.3">
      <c r="A2818" s="24" t="s">
        <v>242</v>
      </c>
      <c r="B2818" s="24" t="s">
        <v>102</v>
      </c>
      <c r="C2818" s="22">
        <v>1</v>
      </c>
      <c r="D2818" s="25">
        <v>0</v>
      </c>
      <c r="E2818" s="25">
        <v>0</v>
      </c>
      <c r="F2818" s="25">
        <v>0</v>
      </c>
      <c r="G2818" s="26">
        <v>0</v>
      </c>
      <c r="H2818" s="10" t="str">
        <f t="shared" si="44"/>
        <v>GASTOS</v>
      </c>
      <c r="I2818" s="20">
        <v>2026</v>
      </c>
    </row>
    <row r="2819" spans="1:9" hidden="1" x14ac:dyDescent="0.3">
      <c r="A2819" s="24" t="s">
        <v>242</v>
      </c>
      <c r="B2819" s="24" t="s">
        <v>102</v>
      </c>
      <c r="C2819" s="22">
        <v>2</v>
      </c>
      <c r="D2819" s="25">
        <v>0</v>
      </c>
      <c r="E2819" s="25">
        <v>0</v>
      </c>
      <c r="F2819" s="25">
        <v>0</v>
      </c>
      <c r="G2819" s="26">
        <v>0</v>
      </c>
      <c r="H2819" s="10" t="str">
        <f t="shared" si="44"/>
        <v>GASTOS</v>
      </c>
      <c r="I2819" s="20">
        <v>2026</v>
      </c>
    </row>
    <row r="2820" spans="1:9" hidden="1" x14ac:dyDescent="0.3">
      <c r="A2820" s="23" t="s">
        <v>242</v>
      </c>
      <c r="B2820" s="23" t="s">
        <v>102</v>
      </c>
      <c r="C2820" s="22">
        <v>3</v>
      </c>
      <c r="D2820" s="25">
        <v>0</v>
      </c>
      <c r="E2820" s="25">
        <v>0</v>
      </c>
      <c r="F2820" s="25">
        <v>0</v>
      </c>
      <c r="G2820" s="26">
        <v>0</v>
      </c>
      <c r="H2820" s="10" t="str">
        <f t="shared" si="44"/>
        <v>GASTOS</v>
      </c>
      <c r="I2820" s="20">
        <v>2026</v>
      </c>
    </row>
    <row r="2821" spans="1:9" hidden="1" x14ac:dyDescent="0.3">
      <c r="A2821" s="24" t="s">
        <v>242</v>
      </c>
      <c r="B2821" s="24" t="s">
        <v>102</v>
      </c>
      <c r="C2821" s="22">
        <v>4</v>
      </c>
      <c r="D2821" s="25">
        <v>0</v>
      </c>
      <c r="E2821" s="25">
        <v>0</v>
      </c>
      <c r="F2821" s="25">
        <v>0</v>
      </c>
      <c r="G2821" s="26">
        <v>0</v>
      </c>
      <c r="H2821" s="10" t="str">
        <f t="shared" si="44"/>
        <v>GASTOS</v>
      </c>
      <c r="I2821" s="20">
        <v>2026</v>
      </c>
    </row>
    <row r="2822" spans="1:9" hidden="1" x14ac:dyDescent="0.3">
      <c r="A2822" s="24" t="s">
        <v>56</v>
      </c>
      <c r="B2822" s="24" t="s">
        <v>102</v>
      </c>
      <c r="C2822" s="22">
        <v>1</v>
      </c>
      <c r="D2822" s="25">
        <v>0</v>
      </c>
      <c r="E2822" s="25">
        <v>0</v>
      </c>
      <c r="F2822" s="25">
        <v>0</v>
      </c>
      <c r="G2822" s="26">
        <v>0</v>
      </c>
      <c r="H2822" s="10" t="str">
        <f t="shared" si="44"/>
        <v>GASTOS</v>
      </c>
      <c r="I2822" s="20">
        <v>2026</v>
      </c>
    </row>
    <row r="2823" spans="1:9" hidden="1" x14ac:dyDescent="0.3">
      <c r="A2823" s="24" t="s">
        <v>56</v>
      </c>
      <c r="B2823" s="24" t="s">
        <v>102</v>
      </c>
      <c r="C2823" s="22">
        <v>2</v>
      </c>
      <c r="D2823" s="25">
        <v>0</v>
      </c>
      <c r="E2823" s="25">
        <v>0</v>
      </c>
      <c r="F2823" s="25">
        <v>0</v>
      </c>
      <c r="G2823" s="26">
        <v>0</v>
      </c>
      <c r="H2823" s="10" t="str">
        <f t="shared" si="44"/>
        <v>GASTOS</v>
      </c>
      <c r="I2823" s="20">
        <v>2026</v>
      </c>
    </row>
    <row r="2824" spans="1:9" hidden="1" x14ac:dyDescent="0.3">
      <c r="A2824" s="23" t="s">
        <v>56</v>
      </c>
      <c r="B2824" s="23" t="s">
        <v>102</v>
      </c>
      <c r="C2824" s="22">
        <v>3</v>
      </c>
      <c r="D2824" s="25">
        <v>0</v>
      </c>
      <c r="E2824" s="25">
        <v>26463324</v>
      </c>
      <c r="F2824" s="25">
        <v>26463324</v>
      </c>
      <c r="G2824" s="26">
        <v>0</v>
      </c>
      <c r="H2824" s="10" t="str">
        <f t="shared" si="44"/>
        <v>GASTOS</v>
      </c>
      <c r="I2824" s="20">
        <v>2026</v>
      </c>
    </row>
    <row r="2825" spans="1:9" hidden="1" x14ac:dyDescent="0.3">
      <c r="A2825" s="24" t="s">
        <v>56</v>
      </c>
      <c r="B2825" s="24" t="s">
        <v>102</v>
      </c>
      <c r="C2825" s="22">
        <v>4</v>
      </c>
      <c r="D2825" s="25">
        <v>23794058</v>
      </c>
      <c r="E2825" s="25">
        <v>0</v>
      </c>
      <c r="F2825" s="25">
        <v>-23794058</v>
      </c>
      <c r="G2825" s="26">
        <v>0</v>
      </c>
      <c r="H2825" s="10" t="str">
        <f t="shared" si="44"/>
        <v>GASTOS</v>
      </c>
      <c r="I2825" s="20">
        <v>2026</v>
      </c>
    </row>
    <row r="2826" spans="1:9" hidden="1" x14ac:dyDescent="0.3">
      <c r="A2826" s="24" t="s">
        <v>248</v>
      </c>
      <c r="B2826" s="24" t="s">
        <v>14</v>
      </c>
      <c r="C2826" s="22">
        <v>1</v>
      </c>
      <c r="D2826" s="25">
        <v>0</v>
      </c>
      <c r="E2826" s="25">
        <v>0</v>
      </c>
      <c r="F2826" s="25">
        <v>0</v>
      </c>
      <c r="G2826" s="26">
        <v>0</v>
      </c>
      <c r="H2826" s="10" t="str">
        <f t="shared" si="44"/>
        <v>GASTOS</v>
      </c>
      <c r="I2826" s="20">
        <v>2026</v>
      </c>
    </row>
    <row r="2827" spans="1:9" hidden="1" x14ac:dyDescent="0.3">
      <c r="A2827" s="24" t="s">
        <v>248</v>
      </c>
      <c r="B2827" s="24" t="s">
        <v>14</v>
      </c>
      <c r="C2827" s="22">
        <v>2</v>
      </c>
      <c r="D2827" s="25">
        <v>0</v>
      </c>
      <c r="E2827" s="25">
        <v>0</v>
      </c>
      <c r="F2827" s="25">
        <v>0</v>
      </c>
      <c r="G2827" s="26">
        <v>0</v>
      </c>
      <c r="H2827" s="10" t="str">
        <f t="shared" si="44"/>
        <v>GASTOS</v>
      </c>
      <c r="I2827" s="20">
        <v>2026</v>
      </c>
    </row>
    <row r="2828" spans="1:9" hidden="1" x14ac:dyDescent="0.3">
      <c r="A2828" s="23" t="s">
        <v>248</v>
      </c>
      <c r="B2828" s="23" t="s">
        <v>14</v>
      </c>
      <c r="C2828" s="22">
        <v>3</v>
      </c>
      <c r="D2828" s="25">
        <v>54938</v>
      </c>
      <c r="E2828" s="25">
        <v>0</v>
      </c>
      <c r="F2828" s="25">
        <v>-54938</v>
      </c>
      <c r="G2828" s="26">
        <v>0</v>
      </c>
      <c r="H2828" s="10" t="str">
        <f t="shared" si="44"/>
        <v>GASTOS</v>
      </c>
      <c r="I2828" s="20">
        <v>2026</v>
      </c>
    </row>
    <row r="2829" spans="1:9" hidden="1" x14ac:dyDescent="0.3">
      <c r="A2829" s="24" t="s">
        <v>248</v>
      </c>
      <c r="B2829" s="24" t="s">
        <v>14</v>
      </c>
      <c r="C2829" s="22">
        <v>4</v>
      </c>
      <c r="D2829" s="25">
        <v>0</v>
      </c>
      <c r="E2829" s="25">
        <v>15000</v>
      </c>
      <c r="F2829" s="25">
        <v>15000</v>
      </c>
      <c r="G2829" s="26">
        <v>0</v>
      </c>
      <c r="H2829" s="10" t="str">
        <f t="shared" si="44"/>
        <v>GASTOS</v>
      </c>
      <c r="I2829" s="20">
        <v>2026</v>
      </c>
    </row>
    <row r="2830" spans="1:9" hidden="1" x14ac:dyDescent="0.3">
      <c r="A2830" s="24" t="s">
        <v>242</v>
      </c>
      <c r="B2830" s="24" t="s">
        <v>72</v>
      </c>
      <c r="C2830" s="22">
        <v>1</v>
      </c>
      <c r="D2830" s="25">
        <v>0</v>
      </c>
      <c r="E2830" s="25">
        <v>0</v>
      </c>
      <c r="F2830" s="25">
        <v>0</v>
      </c>
      <c r="G2830" s="26">
        <v>0</v>
      </c>
      <c r="H2830" s="10" t="str">
        <f t="shared" si="44"/>
        <v>GASTOS</v>
      </c>
      <c r="I2830" s="20">
        <v>2026</v>
      </c>
    </row>
    <row r="2831" spans="1:9" hidden="1" x14ac:dyDescent="0.3">
      <c r="A2831" s="24" t="s">
        <v>242</v>
      </c>
      <c r="B2831" s="24" t="s">
        <v>72</v>
      </c>
      <c r="C2831" s="22">
        <v>2</v>
      </c>
      <c r="D2831" s="25">
        <v>0</v>
      </c>
      <c r="E2831" s="25">
        <v>0</v>
      </c>
      <c r="F2831" s="25">
        <v>0</v>
      </c>
      <c r="G2831" s="26">
        <v>0</v>
      </c>
      <c r="H2831" s="10" t="str">
        <f t="shared" si="44"/>
        <v>GASTOS</v>
      </c>
      <c r="I2831" s="20">
        <v>2026</v>
      </c>
    </row>
    <row r="2832" spans="1:9" hidden="1" x14ac:dyDescent="0.3">
      <c r="A2832" s="23" t="s">
        <v>242</v>
      </c>
      <c r="B2832" s="23" t="s">
        <v>72</v>
      </c>
      <c r="C2832" s="22">
        <v>3</v>
      </c>
      <c r="D2832" s="25">
        <v>687168</v>
      </c>
      <c r="E2832" s="25">
        <v>687168</v>
      </c>
      <c r="F2832" s="25">
        <v>0</v>
      </c>
      <c r="G2832" s="26">
        <v>1</v>
      </c>
      <c r="H2832" s="10" t="str">
        <f t="shared" si="44"/>
        <v>GASTOS</v>
      </c>
      <c r="I2832" s="20">
        <v>2026</v>
      </c>
    </row>
    <row r="2833" spans="1:9" hidden="1" x14ac:dyDescent="0.3">
      <c r="A2833" s="24" t="s">
        <v>242</v>
      </c>
      <c r="B2833" s="24" t="s">
        <v>72</v>
      </c>
      <c r="C2833" s="22">
        <v>4</v>
      </c>
      <c r="D2833" s="25">
        <v>1043532</v>
      </c>
      <c r="E2833" s="25">
        <v>1043532</v>
      </c>
      <c r="F2833" s="25">
        <v>0</v>
      </c>
      <c r="G2833" s="26">
        <v>1</v>
      </c>
      <c r="H2833" s="10" t="str">
        <f t="shared" si="44"/>
        <v>GASTOS</v>
      </c>
      <c r="I2833" s="20">
        <v>2026</v>
      </c>
    </row>
    <row r="2834" spans="1:9" hidden="1" x14ac:dyDescent="0.3">
      <c r="A2834" s="24" t="s">
        <v>242</v>
      </c>
      <c r="B2834" s="24" t="s">
        <v>73</v>
      </c>
      <c r="C2834" s="22">
        <v>1</v>
      </c>
      <c r="D2834" s="25">
        <v>0</v>
      </c>
      <c r="E2834" s="25">
        <v>0</v>
      </c>
      <c r="F2834" s="25">
        <v>0</v>
      </c>
      <c r="G2834" s="26">
        <v>0</v>
      </c>
      <c r="H2834" s="10" t="str">
        <f t="shared" si="44"/>
        <v>GASTOS</v>
      </c>
      <c r="I2834" s="20">
        <v>2026</v>
      </c>
    </row>
    <row r="2835" spans="1:9" hidden="1" x14ac:dyDescent="0.3">
      <c r="A2835" s="24" t="s">
        <v>242</v>
      </c>
      <c r="B2835" s="24" t="s">
        <v>73</v>
      </c>
      <c r="C2835" s="22">
        <v>2</v>
      </c>
      <c r="D2835" s="25">
        <v>1058657</v>
      </c>
      <c r="E2835" s="25">
        <v>1058657</v>
      </c>
      <c r="F2835" s="25">
        <v>0</v>
      </c>
      <c r="G2835" s="26">
        <v>1</v>
      </c>
      <c r="H2835" s="10" t="str">
        <f t="shared" si="44"/>
        <v>GASTOS</v>
      </c>
      <c r="I2835" s="20">
        <v>2026</v>
      </c>
    </row>
    <row r="2836" spans="1:9" hidden="1" x14ac:dyDescent="0.3">
      <c r="A2836" s="23" t="s">
        <v>242</v>
      </c>
      <c r="B2836" s="23" t="s">
        <v>73</v>
      </c>
      <c r="C2836" s="22">
        <v>3</v>
      </c>
      <c r="D2836" s="25">
        <v>36000</v>
      </c>
      <c r="E2836" s="25">
        <v>36000</v>
      </c>
      <c r="F2836" s="25">
        <v>0</v>
      </c>
      <c r="G2836" s="26">
        <v>1</v>
      </c>
      <c r="H2836" s="10" t="str">
        <f t="shared" si="44"/>
        <v>GASTOS</v>
      </c>
      <c r="I2836" s="20">
        <v>2026</v>
      </c>
    </row>
    <row r="2837" spans="1:9" hidden="1" x14ac:dyDescent="0.3">
      <c r="A2837" s="24" t="s">
        <v>242</v>
      </c>
      <c r="B2837" s="24" t="s">
        <v>73</v>
      </c>
      <c r="C2837" s="22">
        <v>4</v>
      </c>
      <c r="D2837" s="25">
        <v>110325</v>
      </c>
      <c r="E2837" s="25">
        <v>110325</v>
      </c>
      <c r="F2837" s="25">
        <v>0</v>
      </c>
      <c r="G2837" s="26">
        <v>1</v>
      </c>
      <c r="H2837" s="10" t="str">
        <f t="shared" si="44"/>
        <v>GASTOS</v>
      </c>
      <c r="I2837" s="20">
        <v>2026</v>
      </c>
    </row>
    <row r="2838" spans="1:9" hidden="1" x14ac:dyDescent="0.3">
      <c r="A2838" s="24" t="s">
        <v>7</v>
      </c>
      <c r="B2838" s="24" t="s">
        <v>15</v>
      </c>
      <c r="C2838" s="22">
        <v>1</v>
      </c>
      <c r="D2838" s="25">
        <v>384750</v>
      </c>
      <c r="E2838" s="25">
        <v>373368</v>
      </c>
      <c r="F2838" s="25">
        <v>-11382</v>
      </c>
      <c r="G2838" s="26">
        <v>0.9704171539961014</v>
      </c>
      <c r="H2838" s="10" t="str">
        <f t="shared" si="44"/>
        <v>GASTOS</v>
      </c>
      <c r="I2838" s="20">
        <v>2026</v>
      </c>
    </row>
    <row r="2839" spans="1:9" hidden="1" x14ac:dyDescent="0.3">
      <c r="A2839" s="24" t="s">
        <v>7</v>
      </c>
      <c r="B2839" s="24" t="s">
        <v>15</v>
      </c>
      <c r="C2839" s="22">
        <v>2</v>
      </c>
      <c r="D2839" s="25">
        <v>388199</v>
      </c>
      <c r="E2839" s="25">
        <v>372881</v>
      </c>
      <c r="F2839" s="25">
        <v>-15318</v>
      </c>
      <c r="G2839" s="26">
        <v>0.96054085662250555</v>
      </c>
      <c r="H2839" s="10" t="str">
        <f t="shared" si="44"/>
        <v>GASTOS</v>
      </c>
      <c r="I2839" s="20">
        <v>2026</v>
      </c>
    </row>
    <row r="2840" spans="1:9" hidden="1" x14ac:dyDescent="0.3">
      <c r="A2840" s="23" t="s">
        <v>7</v>
      </c>
      <c r="B2840" s="23" t="s">
        <v>15</v>
      </c>
      <c r="C2840" s="22">
        <v>3</v>
      </c>
      <c r="D2840" s="25">
        <v>385645</v>
      </c>
      <c r="E2840" s="25">
        <v>375679</v>
      </c>
      <c r="F2840" s="25">
        <v>-9966</v>
      </c>
      <c r="G2840" s="26">
        <v>0.97415758015791731</v>
      </c>
      <c r="H2840" s="10" t="str">
        <f t="shared" si="44"/>
        <v>GASTOS</v>
      </c>
      <c r="I2840" s="20">
        <v>2026</v>
      </c>
    </row>
    <row r="2841" spans="1:9" hidden="1" x14ac:dyDescent="0.3">
      <c r="A2841" s="24" t="s">
        <v>7</v>
      </c>
      <c r="B2841" s="24" t="s">
        <v>15</v>
      </c>
      <c r="C2841" s="22">
        <v>4</v>
      </c>
      <c r="D2841" s="25">
        <v>384698</v>
      </c>
      <c r="E2841" s="25">
        <v>374478</v>
      </c>
      <c r="F2841" s="25">
        <v>-10220</v>
      </c>
      <c r="G2841" s="26">
        <v>0.97343370643985672</v>
      </c>
      <c r="H2841" s="10" t="str">
        <f t="shared" si="44"/>
        <v>GASTOS</v>
      </c>
      <c r="I2841" s="20">
        <v>2026</v>
      </c>
    </row>
    <row r="2842" spans="1:9" hidden="1" x14ac:dyDescent="0.3">
      <c r="A2842" s="24" t="s">
        <v>7</v>
      </c>
      <c r="B2842" s="24" t="s">
        <v>16</v>
      </c>
      <c r="C2842" s="22">
        <v>1</v>
      </c>
      <c r="D2842" s="25">
        <v>13843</v>
      </c>
      <c r="E2842" s="25">
        <v>93802</v>
      </c>
      <c r="F2842" s="25">
        <v>79959</v>
      </c>
      <c r="G2842" s="26">
        <v>6.7761323412555079</v>
      </c>
      <c r="H2842" s="10" t="str">
        <f t="shared" si="44"/>
        <v>GASTOS</v>
      </c>
      <c r="I2842" s="20">
        <v>2026</v>
      </c>
    </row>
    <row r="2843" spans="1:9" hidden="1" x14ac:dyDescent="0.3">
      <c r="A2843" s="24" t="s">
        <v>7</v>
      </c>
      <c r="B2843" s="24" t="s">
        <v>16</v>
      </c>
      <c r="C2843" s="22">
        <v>2</v>
      </c>
      <c r="D2843" s="25">
        <v>341000</v>
      </c>
      <c r="E2843" s="25">
        <v>341000</v>
      </c>
      <c r="F2843" s="25">
        <v>0</v>
      </c>
      <c r="G2843" s="26">
        <v>1</v>
      </c>
      <c r="H2843" s="10" t="str">
        <f t="shared" si="44"/>
        <v>GASTOS</v>
      </c>
      <c r="I2843" s="20">
        <v>2026</v>
      </c>
    </row>
    <row r="2844" spans="1:9" hidden="1" x14ac:dyDescent="0.3">
      <c r="A2844" s="23" t="s">
        <v>7</v>
      </c>
      <c r="B2844" s="23" t="s">
        <v>16</v>
      </c>
      <c r="C2844" s="22">
        <v>3</v>
      </c>
      <c r="D2844" s="25">
        <v>84290</v>
      </c>
      <c r="E2844" s="25">
        <v>10000</v>
      </c>
      <c r="F2844" s="25">
        <v>-74290</v>
      </c>
      <c r="G2844" s="26">
        <v>0.11863803535413454</v>
      </c>
      <c r="H2844" s="10" t="str">
        <f t="shared" si="44"/>
        <v>GASTOS</v>
      </c>
      <c r="I2844" s="20">
        <v>2026</v>
      </c>
    </row>
    <row r="2845" spans="1:9" hidden="1" x14ac:dyDescent="0.3">
      <c r="A2845" s="24" t="s">
        <v>7</v>
      </c>
      <c r="B2845" s="24" t="s">
        <v>16</v>
      </c>
      <c r="C2845" s="22">
        <v>4</v>
      </c>
      <c r="D2845" s="25">
        <v>72519</v>
      </c>
      <c r="E2845" s="25">
        <v>61350</v>
      </c>
      <c r="F2845" s="25">
        <v>-11169</v>
      </c>
      <c r="G2845" s="26">
        <v>0.8459851900881149</v>
      </c>
      <c r="H2845" s="10" t="str">
        <f t="shared" si="44"/>
        <v>GASTOS</v>
      </c>
      <c r="I2845" s="20">
        <v>2026</v>
      </c>
    </row>
    <row r="2846" spans="1:9" hidden="1" x14ac:dyDescent="0.3">
      <c r="A2846" s="24" t="s">
        <v>56</v>
      </c>
      <c r="B2846" s="24" t="s">
        <v>16</v>
      </c>
      <c r="C2846" s="22">
        <v>1</v>
      </c>
      <c r="D2846" s="25">
        <v>0</v>
      </c>
      <c r="E2846" s="25">
        <v>62300</v>
      </c>
      <c r="F2846" s="25">
        <v>62300</v>
      </c>
      <c r="G2846" s="26">
        <v>0</v>
      </c>
      <c r="H2846" s="10" t="str">
        <f t="shared" si="44"/>
        <v>GASTOS</v>
      </c>
      <c r="I2846" s="20">
        <v>2026</v>
      </c>
    </row>
    <row r="2847" spans="1:9" hidden="1" x14ac:dyDescent="0.3">
      <c r="A2847" s="23" t="s">
        <v>56</v>
      </c>
      <c r="B2847" s="23" t="s">
        <v>16</v>
      </c>
      <c r="C2847" s="22">
        <v>2</v>
      </c>
      <c r="D2847" s="25">
        <v>0</v>
      </c>
      <c r="E2847" s="25">
        <v>64500</v>
      </c>
      <c r="F2847" s="25">
        <v>64500</v>
      </c>
      <c r="G2847" s="26">
        <v>0</v>
      </c>
      <c r="H2847" s="10" t="str">
        <f t="shared" si="44"/>
        <v>GASTOS</v>
      </c>
      <c r="I2847" s="20">
        <v>2026</v>
      </c>
    </row>
    <row r="2848" spans="1:9" hidden="1" x14ac:dyDescent="0.3">
      <c r="A2848" s="24" t="s">
        <v>56</v>
      </c>
      <c r="B2848" s="24" t="s">
        <v>16</v>
      </c>
      <c r="C2848" s="22">
        <v>3</v>
      </c>
      <c r="D2848" s="25">
        <v>0</v>
      </c>
      <c r="E2848" s="25">
        <v>112000</v>
      </c>
      <c r="F2848" s="25">
        <v>112000</v>
      </c>
      <c r="G2848" s="26">
        <v>0</v>
      </c>
      <c r="H2848" s="10" t="str">
        <f t="shared" si="44"/>
        <v>GASTOS</v>
      </c>
      <c r="I2848" s="20">
        <v>2026</v>
      </c>
    </row>
    <row r="2849" spans="1:9" hidden="1" x14ac:dyDescent="0.3">
      <c r="A2849" s="24" t="s">
        <v>56</v>
      </c>
      <c r="B2849" s="24" t="s">
        <v>16</v>
      </c>
      <c r="C2849" s="22">
        <v>4</v>
      </c>
      <c r="D2849" s="25">
        <v>0</v>
      </c>
      <c r="E2849" s="25">
        <v>0</v>
      </c>
      <c r="F2849" s="25">
        <v>0</v>
      </c>
      <c r="G2849" s="26">
        <v>0</v>
      </c>
      <c r="H2849" s="10" t="str">
        <f t="shared" si="44"/>
        <v>GASTOS</v>
      </c>
      <c r="I2849" s="20">
        <v>2026</v>
      </c>
    </row>
    <row r="2850" spans="1:9" hidden="1" x14ac:dyDescent="0.3">
      <c r="A2850" s="24" t="s">
        <v>248</v>
      </c>
      <c r="B2850" s="24" t="s">
        <v>16</v>
      </c>
      <c r="C2850" s="22">
        <v>3</v>
      </c>
      <c r="D2850" s="25">
        <v>0</v>
      </c>
      <c r="E2850" s="25">
        <v>27000</v>
      </c>
      <c r="F2850" s="25">
        <v>27000</v>
      </c>
      <c r="G2850" s="26">
        <v>0</v>
      </c>
      <c r="H2850" s="10" t="str">
        <f t="shared" si="44"/>
        <v>GASTOS</v>
      </c>
      <c r="I2850" s="20">
        <v>2026</v>
      </c>
    </row>
    <row r="2851" spans="1:9" hidden="1" x14ac:dyDescent="0.3">
      <c r="A2851" s="23" t="s">
        <v>248</v>
      </c>
      <c r="B2851" s="23" t="s">
        <v>16</v>
      </c>
      <c r="C2851" s="22">
        <v>4</v>
      </c>
      <c r="D2851" s="25">
        <v>0</v>
      </c>
      <c r="E2851" s="25">
        <v>0</v>
      </c>
      <c r="F2851" s="25">
        <v>0</v>
      </c>
      <c r="G2851" s="26">
        <v>0</v>
      </c>
      <c r="H2851" s="10" t="str">
        <f t="shared" si="44"/>
        <v>GASTOS</v>
      </c>
      <c r="I2851" s="20">
        <v>2026</v>
      </c>
    </row>
    <row r="2852" spans="1:9" hidden="1" x14ac:dyDescent="0.3">
      <c r="A2852" s="24" t="s">
        <v>7</v>
      </c>
      <c r="B2852" s="24" t="s">
        <v>18</v>
      </c>
      <c r="C2852" s="22">
        <v>1</v>
      </c>
      <c r="D2852" s="25">
        <v>19338</v>
      </c>
      <c r="E2852" s="25">
        <v>0</v>
      </c>
      <c r="F2852" s="25">
        <v>-19338</v>
      </c>
      <c r="G2852" s="26">
        <v>0</v>
      </c>
      <c r="H2852" s="10" t="str">
        <f t="shared" si="44"/>
        <v>GASTOS</v>
      </c>
      <c r="I2852" s="20">
        <v>2026</v>
      </c>
    </row>
    <row r="2853" spans="1:9" hidden="1" x14ac:dyDescent="0.3">
      <c r="A2853" s="24" t="s">
        <v>7</v>
      </c>
      <c r="B2853" s="24" t="s">
        <v>18</v>
      </c>
      <c r="C2853" s="22">
        <v>2</v>
      </c>
      <c r="D2853" s="25">
        <v>2837</v>
      </c>
      <c r="E2853" s="25">
        <v>0</v>
      </c>
      <c r="F2853" s="25">
        <v>-2837</v>
      </c>
      <c r="G2853" s="26">
        <v>0</v>
      </c>
      <c r="H2853" s="10" t="str">
        <f t="shared" si="44"/>
        <v>GASTOS</v>
      </c>
      <c r="I2853" s="20">
        <v>2026</v>
      </c>
    </row>
    <row r="2854" spans="1:9" hidden="1" x14ac:dyDescent="0.3">
      <c r="A2854" s="23" t="s">
        <v>7</v>
      </c>
      <c r="B2854" s="23" t="s">
        <v>18</v>
      </c>
      <c r="C2854" s="22">
        <v>3</v>
      </c>
      <c r="D2854" s="25">
        <v>2837</v>
      </c>
      <c r="E2854" s="25">
        <v>0</v>
      </c>
      <c r="F2854" s="25">
        <v>-2837</v>
      </c>
      <c r="G2854" s="26">
        <v>0</v>
      </c>
      <c r="H2854" s="10" t="str">
        <f t="shared" si="44"/>
        <v>GASTOS</v>
      </c>
      <c r="I2854" s="20">
        <v>2026</v>
      </c>
    </row>
    <row r="2855" spans="1:9" hidden="1" x14ac:dyDescent="0.3">
      <c r="A2855" s="24" t="s">
        <v>7</v>
      </c>
      <c r="B2855" s="24" t="s">
        <v>18</v>
      </c>
      <c r="C2855" s="22">
        <v>4</v>
      </c>
      <c r="D2855" s="25">
        <v>2837</v>
      </c>
      <c r="E2855" s="25">
        <v>0</v>
      </c>
      <c r="F2855" s="25">
        <v>-2837</v>
      </c>
      <c r="G2855" s="26">
        <v>0</v>
      </c>
      <c r="H2855" s="10" t="str">
        <f t="shared" si="44"/>
        <v>GASTOS</v>
      </c>
      <c r="I2855" s="20">
        <v>2026</v>
      </c>
    </row>
    <row r="2856" spans="1:9" hidden="1" x14ac:dyDescent="0.3">
      <c r="A2856" s="24" t="s">
        <v>7</v>
      </c>
      <c r="B2856" s="24" t="s">
        <v>86</v>
      </c>
      <c r="C2856" s="22">
        <v>1</v>
      </c>
      <c r="D2856" s="25">
        <v>0</v>
      </c>
      <c r="E2856" s="25">
        <v>0</v>
      </c>
      <c r="F2856" s="25">
        <v>0</v>
      </c>
      <c r="G2856" s="26">
        <v>0</v>
      </c>
      <c r="H2856" s="10" t="str">
        <f t="shared" si="44"/>
        <v>GASTOS</v>
      </c>
      <c r="I2856" s="20">
        <v>2026</v>
      </c>
    </row>
    <row r="2857" spans="1:9" hidden="1" x14ac:dyDescent="0.3">
      <c r="A2857" s="24" t="s">
        <v>7</v>
      </c>
      <c r="B2857" s="24" t="s">
        <v>86</v>
      </c>
      <c r="C2857" s="22">
        <v>2</v>
      </c>
      <c r="D2857" s="25">
        <v>0</v>
      </c>
      <c r="E2857" s="25">
        <v>0</v>
      </c>
      <c r="F2857" s="25">
        <v>0</v>
      </c>
      <c r="G2857" s="26">
        <v>0</v>
      </c>
      <c r="H2857" s="10" t="str">
        <f t="shared" si="44"/>
        <v>GASTOS</v>
      </c>
      <c r="I2857" s="20">
        <v>2026</v>
      </c>
    </row>
    <row r="2858" spans="1:9" hidden="1" x14ac:dyDescent="0.3">
      <c r="A2858" s="23" t="s">
        <v>7</v>
      </c>
      <c r="B2858" s="23" t="s">
        <v>86</v>
      </c>
      <c r="C2858" s="22">
        <v>3</v>
      </c>
      <c r="D2858" s="25">
        <v>13976500</v>
      </c>
      <c r="E2858" s="25">
        <v>13976500</v>
      </c>
      <c r="F2858" s="25">
        <v>0</v>
      </c>
      <c r="G2858" s="26">
        <v>1</v>
      </c>
      <c r="H2858" s="10" t="str">
        <f t="shared" si="44"/>
        <v>GASTOS</v>
      </c>
      <c r="I2858" s="20">
        <v>2026</v>
      </c>
    </row>
    <row r="2859" spans="1:9" hidden="1" x14ac:dyDescent="0.3">
      <c r="A2859" s="24" t="s">
        <v>7</v>
      </c>
      <c r="B2859" s="24" t="s">
        <v>86</v>
      </c>
      <c r="C2859" s="22">
        <v>4</v>
      </c>
      <c r="D2859" s="25">
        <v>0</v>
      </c>
      <c r="E2859" s="25">
        <v>0</v>
      </c>
      <c r="F2859" s="25">
        <v>0</v>
      </c>
      <c r="G2859" s="26">
        <v>0</v>
      </c>
      <c r="H2859" s="10" t="str">
        <f t="shared" si="44"/>
        <v>GASTOS</v>
      </c>
      <c r="I2859" s="20">
        <v>2026</v>
      </c>
    </row>
    <row r="2860" spans="1:9" hidden="1" x14ac:dyDescent="0.3">
      <c r="A2860" s="24" t="s">
        <v>7</v>
      </c>
      <c r="B2860" s="24" t="s">
        <v>19</v>
      </c>
      <c r="C2860" s="22">
        <v>1</v>
      </c>
      <c r="D2860" s="25">
        <v>362595</v>
      </c>
      <c r="E2860" s="25">
        <v>360500</v>
      </c>
      <c r="F2860" s="25">
        <v>-2095</v>
      </c>
      <c r="G2860" s="26">
        <v>0.99422220383623605</v>
      </c>
      <c r="H2860" s="10" t="str">
        <f t="shared" si="44"/>
        <v>GASTOS</v>
      </c>
      <c r="I2860" s="20">
        <v>2026</v>
      </c>
    </row>
    <row r="2861" spans="1:9" hidden="1" x14ac:dyDescent="0.3">
      <c r="A2861" s="24" t="s">
        <v>7</v>
      </c>
      <c r="B2861" s="24" t="s">
        <v>19</v>
      </c>
      <c r="C2861" s="22">
        <v>2</v>
      </c>
      <c r="D2861" s="25">
        <v>0</v>
      </c>
      <c r="E2861" s="25">
        <v>0</v>
      </c>
      <c r="F2861" s="25">
        <v>0</v>
      </c>
      <c r="G2861" s="26">
        <v>0</v>
      </c>
      <c r="H2861" s="10" t="str">
        <f t="shared" si="44"/>
        <v>GASTOS</v>
      </c>
      <c r="I2861" s="20">
        <v>2026</v>
      </c>
    </row>
    <row r="2862" spans="1:9" hidden="1" x14ac:dyDescent="0.3">
      <c r="A2862" s="23" t="s">
        <v>7</v>
      </c>
      <c r="B2862" s="23" t="s">
        <v>19</v>
      </c>
      <c r="C2862" s="22">
        <v>3</v>
      </c>
      <c r="D2862" s="25">
        <v>0</v>
      </c>
      <c r="E2862" s="25">
        <v>0</v>
      </c>
      <c r="F2862" s="25">
        <v>0</v>
      </c>
      <c r="G2862" s="26">
        <v>0</v>
      </c>
      <c r="H2862" s="10" t="str">
        <f t="shared" ref="H2862:H2925" si="45">+IF(OR(A2862="ADMINISTRACION",A2862="COMERCIAL",A2862="COMERCIAL-EXPORTACIONES",A2862="LEASING DE LA BODEGA",A2862="LOGISTICA-SALIDA",A2862="OTROS GASTOS",A2862="BODEGA ALQUILADA", A2862="BODEGA CARTOPLAST", A2862="BODEGA CARTOPLAS", A2862= "GESTION HUMANA-OTROS GASTOS",A2862="FAMILIA"),"GASTOS","COSTOS")</f>
        <v>GASTOS</v>
      </c>
      <c r="I2862" s="20">
        <v>2026</v>
      </c>
    </row>
    <row r="2863" spans="1:9" hidden="1" x14ac:dyDescent="0.3">
      <c r="A2863" s="24" t="s">
        <v>7</v>
      </c>
      <c r="B2863" s="24" t="s">
        <v>19</v>
      </c>
      <c r="C2863" s="22">
        <v>4</v>
      </c>
      <c r="D2863" s="25">
        <v>0</v>
      </c>
      <c r="E2863" s="25">
        <v>0</v>
      </c>
      <c r="F2863" s="25">
        <v>0</v>
      </c>
      <c r="G2863" s="26">
        <v>0</v>
      </c>
      <c r="H2863" s="10" t="str">
        <f t="shared" si="45"/>
        <v>GASTOS</v>
      </c>
      <c r="I2863" s="20">
        <v>2026</v>
      </c>
    </row>
    <row r="2864" spans="1:9" hidden="1" x14ac:dyDescent="0.3">
      <c r="A2864" s="24" t="s">
        <v>242</v>
      </c>
      <c r="B2864" s="24" t="s">
        <v>19</v>
      </c>
      <c r="C2864" s="22">
        <v>4</v>
      </c>
      <c r="D2864" s="25">
        <v>0</v>
      </c>
      <c r="E2864" s="25">
        <v>23000</v>
      </c>
      <c r="F2864" s="25">
        <v>23000</v>
      </c>
      <c r="G2864" s="26">
        <v>0</v>
      </c>
      <c r="H2864" s="10" t="str">
        <f t="shared" si="45"/>
        <v>GASTOS</v>
      </c>
      <c r="I2864" s="20">
        <v>2026</v>
      </c>
    </row>
    <row r="2865" spans="1:9" hidden="1" x14ac:dyDescent="0.3">
      <c r="A2865" s="24" t="s">
        <v>7</v>
      </c>
      <c r="B2865" s="24" t="s">
        <v>21</v>
      </c>
      <c r="C2865" s="22">
        <v>1</v>
      </c>
      <c r="D2865" s="25">
        <v>52550</v>
      </c>
      <c r="E2865" s="25">
        <v>0</v>
      </c>
      <c r="F2865" s="25">
        <v>-52550</v>
      </c>
      <c r="G2865" s="26">
        <v>0</v>
      </c>
      <c r="H2865" s="10" t="str">
        <f t="shared" si="45"/>
        <v>GASTOS</v>
      </c>
      <c r="I2865" s="20">
        <v>2026</v>
      </c>
    </row>
    <row r="2866" spans="1:9" hidden="1" x14ac:dyDescent="0.3">
      <c r="A2866" s="23" t="s">
        <v>7</v>
      </c>
      <c r="B2866" s="23" t="s">
        <v>21</v>
      </c>
      <c r="C2866" s="22">
        <v>2</v>
      </c>
      <c r="D2866" s="25">
        <v>172269</v>
      </c>
      <c r="E2866" s="25">
        <v>172269</v>
      </c>
      <c r="F2866" s="25">
        <v>0</v>
      </c>
      <c r="G2866" s="26">
        <v>1</v>
      </c>
      <c r="H2866" s="10" t="str">
        <f t="shared" si="45"/>
        <v>GASTOS</v>
      </c>
      <c r="I2866" s="20">
        <v>2026</v>
      </c>
    </row>
    <row r="2867" spans="1:9" hidden="1" x14ac:dyDescent="0.3">
      <c r="A2867" s="24" t="s">
        <v>7</v>
      </c>
      <c r="B2867" s="24" t="s">
        <v>21</v>
      </c>
      <c r="C2867" s="22">
        <v>3</v>
      </c>
      <c r="D2867" s="25">
        <v>0</v>
      </c>
      <c r="E2867" s="25">
        <v>0</v>
      </c>
      <c r="F2867" s="25">
        <v>0</v>
      </c>
      <c r="G2867" s="26">
        <v>0</v>
      </c>
      <c r="H2867" s="10" t="str">
        <f t="shared" si="45"/>
        <v>GASTOS</v>
      </c>
      <c r="I2867" s="20">
        <v>2026</v>
      </c>
    </row>
    <row r="2868" spans="1:9" hidden="1" x14ac:dyDescent="0.3">
      <c r="A2868" s="24" t="s">
        <v>7</v>
      </c>
      <c r="B2868" s="24" t="s">
        <v>21</v>
      </c>
      <c r="C2868" s="22">
        <v>4</v>
      </c>
      <c r="D2868" s="25">
        <v>0</v>
      </c>
      <c r="E2868" s="25">
        <v>0</v>
      </c>
      <c r="F2868" s="25">
        <v>0</v>
      </c>
      <c r="G2868" s="26">
        <v>0</v>
      </c>
      <c r="H2868" s="10" t="str">
        <f t="shared" si="45"/>
        <v>GASTOS</v>
      </c>
      <c r="I2868" s="20">
        <v>2026</v>
      </c>
    </row>
    <row r="2869" spans="1:9" hidden="1" x14ac:dyDescent="0.3">
      <c r="A2869" s="24" t="s">
        <v>7</v>
      </c>
      <c r="B2869" s="24" t="s">
        <v>62</v>
      </c>
      <c r="C2869" s="22">
        <v>1</v>
      </c>
      <c r="D2869" s="25">
        <v>9818413</v>
      </c>
      <c r="E2869" s="25">
        <v>9818413</v>
      </c>
      <c r="F2869" s="25">
        <v>0</v>
      </c>
      <c r="G2869" s="26">
        <v>1</v>
      </c>
      <c r="H2869" s="10" t="str">
        <f t="shared" si="45"/>
        <v>GASTOS</v>
      </c>
      <c r="I2869" s="20">
        <v>2026</v>
      </c>
    </row>
    <row r="2870" spans="1:9" hidden="1" x14ac:dyDescent="0.3">
      <c r="A2870" s="23" t="s">
        <v>7</v>
      </c>
      <c r="B2870" s="23" t="s">
        <v>62</v>
      </c>
      <c r="C2870" s="22">
        <v>2</v>
      </c>
      <c r="D2870" s="25">
        <v>382321</v>
      </c>
      <c r="E2870" s="25">
        <v>382321</v>
      </c>
      <c r="F2870" s="25">
        <v>0</v>
      </c>
      <c r="G2870" s="26">
        <v>1</v>
      </c>
      <c r="H2870" s="10" t="str">
        <f t="shared" si="45"/>
        <v>GASTOS</v>
      </c>
      <c r="I2870" s="20">
        <v>2026</v>
      </c>
    </row>
    <row r="2871" spans="1:9" hidden="1" x14ac:dyDescent="0.3">
      <c r="A2871" s="24" t="s">
        <v>7</v>
      </c>
      <c r="B2871" s="24" t="s">
        <v>62</v>
      </c>
      <c r="C2871" s="22">
        <v>3</v>
      </c>
      <c r="D2871" s="25">
        <v>392521</v>
      </c>
      <c r="E2871" s="25">
        <v>392521</v>
      </c>
      <c r="F2871" s="25">
        <v>0</v>
      </c>
      <c r="G2871" s="26">
        <v>1</v>
      </c>
      <c r="H2871" s="10" t="str">
        <f t="shared" si="45"/>
        <v>GASTOS</v>
      </c>
      <c r="I2871" s="20">
        <v>2026</v>
      </c>
    </row>
    <row r="2872" spans="1:9" hidden="1" x14ac:dyDescent="0.3">
      <c r="A2872" s="24" t="s">
        <v>7</v>
      </c>
      <c r="B2872" s="24" t="s">
        <v>62</v>
      </c>
      <c r="C2872" s="22">
        <v>4</v>
      </c>
      <c r="D2872" s="25">
        <v>560507</v>
      </c>
      <c r="E2872" s="25">
        <v>955791</v>
      </c>
      <c r="F2872" s="25">
        <v>395284</v>
      </c>
      <c r="G2872" s="26">
        <v>1.7052258044948592</v>
      </c>
      <c r="H2872" s="10" t="str">
        <f t="shared" si="45"/>
        <v>GASTOS</v>
      </c>
      <c r="I2872" s="20">
        <v>2026</v>
      </c>
    </row>
    <row r="2873" spans="1:9" hidden="1" x14ac:dyDescent="0.3">
      <c r="A2873" s="24" t="s">
        <v>248</v>
      </c>
      <c r="B2873" s="24" t="s">
        <v>62</v>
      </c>
      <c r="C2873" s="22">
        <v>1</v>
      </c>
      <c r="D2873" s="25">
        <v>0</v>
      </c>
      <c r="E2873" s="25">
        <v>0</v>
      </c>
      <c r="F2873" s="25">
        <v>0</v>
      </c>
      <c r="G2873" s="26">
        <v>0</v>
      </c>
      <c r="H2873" s="10" t="str">
        <f t="shared" si="45"/>
        <v>GASTOS</v>
      </c>
      <c r="I2873" s="20">
        <v>2026</v>
      </c>
    </row>
    <row r="2874" spans="1:9" hidden="1" x14ac:dyDescent="0.3">
      <c r="A2874" s="23" t="s">
        <v>248</v>
      </c>
      <c r="B2874" s="23" t="s">
        <v>62</v>
      </c>
      <c r="C2874" s="22">
        <v>2</v>
      </c>
      <c r="D2874" s="25">
        <v>356524</v>
      </c>
      <c r="E2874" s="25">
        <v>356524</v>
      </c>
      <c r="F2874" s="25">
        <v>0</v>
      </c>
      <c r="G2874" s="26">
        <v>1</v>
      </c>
      <c r="H2874" s="10" t="str">
        <f t="shared" si="45"/>
        <v>GASTOS</v>
      </c>
      <c r="I2874" s="20">
        <v>2026</v>
      </c>
    </row>
    <row r="2875" spans="1:9" hidden="1" x14ac:dyDescent="0.3">
      <c r="A2875" s="24" t="s">
        <v>248</v>
      </c>
      <c r="B2875" s="24" t="s">
        <v>62</v>
      </c>
      <c r="C2875" s="22">
        <v>3</v>
      </c>
      <c r="D2875" s="25">
        <v>320000</v>
      </c>
      <c r="E2875" s="25">
        <v>322267</v>
      </c>
      <c r="F2875" s="25">
        <v>2267</v>
      </c>
      <c r="G2875" s="26">
        <v>1.007084375</v>
      </c>
      <c r="H2875" s="10" t="str">
        <f t="shared" si="45"/>
        <v>GASTOS</v>
      </c>
      <c r="I2875" s="20">
        <v>2026</v>
      </c>
    </row>
    <row r="2876" spans="1:9" hidden="1" x14ac:dyDescent="0.3">
      <c r="A2876" s="24" t="s">
        <v>248</v>
      </c>
      <c r="B2876" s="24" t="s">
        <v>62</v>
      </c>
      <c r="C2876" s="22">
        <v>4</v>
      </c>
      <c r="D2876" s="25">
        <v>320000</v>
      </c>
      <c r="E2876" s="25">
        <v>312126</v>
      </c>
      <c r="F2876" s="25">
        <v>-7874</v>
      </c>
      <c r="G2876" s="26">
        <v>0.97539374999999995</v>
      </c>
      <c r="H2876" s="10" t="str">
        <f t="shared" si="45"/>
        <v>GASTOS</v>
      </c>
      <c r="I2876" s="20">
        <v>2026</v>
      </c>
    </row>
    <row r="2877" spans="1:9" hidden="1" x14ac:dyDescent="0.3">
      <c r="A2877" s="24" t="s">
        <v>56</v>
      </c>
      <c r="B2877" s="24" t="s">
        <v>171</v>
      </c>
      <c r="C2877" s="22">
        <v>1</v>
      </c>
      <c r="D2877" s="25">
        <v>295237</v>
      </c>
      <c r="E2877" s="25">
        <v>0</v>
      </c>
      <c r="F2877" s="25">
        <v>-295237</v>
      </c>
      <c r="G2877" s="26">
        <v>0</v>
      </c>
      <c r="H2877" s="10" t="str">
        <f t="shared" si="45"/>
        <v>GASTOS</v>
      </c>
      <c r="I2877" s="20">
        <v>2026</v>
      </c>
    </row>
    <row r="2878" spans="1:9" hidden="1" x14ac:dyDescent="0.3">
      <c r="A2878" s="23" t="s">
        <v>56</v>
      </c>
      <c r="B2878" s="23" t="s">
        <v>171</v>
      </c>
      <c r="C2878" s="22">
        <v>2</v>
      </c>
      <c r="D2878" s="25">
        <v>0</v>
      </c>
      <c r="E2878" s="25">
        <v>0</v>
      </c>
      <c r="F2878" s="25">
        <v>0</v>
      </c>
      <c r="G2878" s="26">
        <v>0</v>
      </c>
      <c r="H2878" s="10" t="str">
        <f t="shared" si="45"/>
        <v>GASTOS</v>
      </c>
      <c r="I2878" s="20">
        <v>2026</v>
      </c>
    </row>
    <row r="2879" spans="1:9" hidden="1" x14ac:dyDescent="0.3">
      <c r="A2879" s="24" t="s">
        <v>56</v>
      </c>
      <c r="B2879" s="24" t="s">
        <v>171</v>
      </c>
      <c r="C2879" s="22">
        <v>3</v>
      </c>
      <c r="D2879" s="25">
        <v>0</v>
      </c>
      <c r="E2879" s="25">
        <v>0</v>
      </c>
      <c r="F2879" s="25">
        <v>0</v>
      </c>
      <c r="G2879" s="26">
        <v>0</v>
      </c>
      <c r="H2879" s="10" t="str">
        <f t="shared" si="45"/>
        <v>GASTOS</v>
      </c>
      <c r="I2879" s="20">
        <v>2026</v>
      </c>
    </row>
    <row r="2880" spans="1:9" hidden="1" x14ac:dyDescent="0.3">
      <c r="A2880" s="24" t="s">
        <v>56</v>
      </c>
      <c r="B2880" s="24" t="s">
        <v>171</v>
      </c>
      <c r="C2880" s="22">
        <v>4</v>
      </c>
      <c r="D2880" s="25">
        <v>5955059</v>
      </c>
      <c r="E2880" s="25">
        <v>0</v>
      </c>
      <c r="F2880" s="25">
        <v>-5955059</v>
      </c>
      <c r="G2880" s="26">
        <v>0</v>
      </c>
      <c r="H2880" s="10" t="str">
        <f t="shared" si="45"/>
        <v>GASTOS</v>
      </c>
      <c r="I2880" s="20">
        <v>2026</v>
      </c>
    </row>
    <row r="2881" spans="1:9" hidden="1" x14ac:dyDescent="0.3">
      <c r="A2881" s="23" t="s">
        <v>68</v>
      </c>
      <c r="B2881" s="23" t="s">
        <v>254</v>
      </c>
      <c r="C2881" s="22">
        <v>1</v>
      </c>
      <c r="D2881" s="25">
        <v>0</v>
      </c>
      <c r="E2881" s="25">
        <v>0</v>
      </c>
      <c r="F2881" s="25">
        <v>0</v>
      </c>
      <c r="G2881" s="26">
        <v>0</v>
      </c>
      <c r="H2881" s="10" t="str">
        <f t="shared" si="45"/>
        <v>GASTOS</v>
      </c>
      <c r="I2881" s="20">
        <v>2026</v>
      </c>
    </row>
    <row r="2882" spans="1:9" hidden="1" x14ac:dyDescent="0.3">
      <c r="A2882" s="24" t="s">
        <v>68</v>
      </c>
      <c r="B2882" s="24" t="s">
        <v>254</v>
      </c>
      <c r="C2882" s="22">
        <v>2</v>
      </c>
      <c r="D2882" s="25">
        <v>0</v>
      </c>
      <c r="E2882" s="25">
        <v>0</v>
      </c>
      <c r="F2882" s="25">
        <v>0</v>
      </c>
      <c r="G2882" s="26">
        <v>0</v>
      </c>
      <c r="H2882" s="10" t="str">
        <f t="shared" si="45"/>
        <v>GASTOS</v>
      </c>
      <c r="I2882" s="20">
        <v>2026</v>
      </c>
    </row>
    <row r="2883" spans="1:9" hidden="1" x14ac:dyDescent="0.3">
      <c r="A2883" s="24" t="s">
        <v>68</v>
      </c>
      <c r="B2883" s="24" t="s">
        <v>254</v>
      </c>
      <c r="C2883" s="22">
        <v>3</v>
      </c>
      <c r="D2883" s="25">
        <v>0</v>
      </c>
      <c r="E2883" s="25">
        <v>0</v>
      </c>
      <c r="F2883" s="25">
        <v>0</v>
      </c>
      <c r="G2883" s="26">
        <v>0</v>
      </c>
      <c r="H2883" s="10" t="str">
        <f t="shared" si="45"/>
        <v>GASTOS</v>
      </c>
      <c r="I2883" s="20">
        <v>2026</v>
      </c>
    </row>
    <row r="2884" spans="1:9" hidden="1" x14ac:dyDescent="0.3">
      <c r="A2884" s="24" t="s">
        <v>68</v>
      </c>
      <c r="B2884" s="24" t="s">
        <v>254</v>
      </c>
      <c r="C2884" s="22">
        <v>4</v>
      </c>
      <c r="D2884" s="25">
        <v>0</v>
      </c>
      <c r="E2884" s="25">
        <v>0</v>
      </c>
      <c r="F2884" s="25">
        <v>0</v>
      </c>
      <c r="G2884" s="26">
        <v>0</v>
      </c>
      <c r="H2884" s="10" t="str">
        <f t="shared" si="45"/>
        <v>GASTOS</v>
      </c>
      <c r="I2884" s="20">
        <v>2026</v>
      </c>
    </row>
    <row r="2885" spans="1:9" hidden="1" x14ac:dyDescent="0.3">
      <c r="A2885" s="23" t="s">
        <v>43</v>
      </c>
      <c r="B2885" s="23" t="s">
        <v>98</v>
      </c>
      <c r="C2885" s="22">
        <v>1</v>
      </c>
      <c r="D2885" s="25">
        <v>32900000</v>
      </c>
      <c r="E2885" s="25">
        <v>27340000</v>
      </c>
      <c r="F2885" s="25">
        <v>-5560000</v>
      </c>
      <c r="G2885" s="26">
        <v>0.83100303951367782</v>
      </c>
      <c r="H2885" s="10" t="str">
        <f t="shared" si="45"/>
        <v>GASTOS</v>
      </c>
      <c r="I2885" s="20">
        <v>2026</v>
      </c>
    </row>
    <row r="2886" spans="1:9" hidden="1" x14ac:dyDescent="0.3">
      <c r="A2886" s="24" t="s">
        <v>43</v>
      </c>
      <c r="B2886" s="24" t="s">
        <v>98</v>
      </c>
      <c r="C2886" s="22">
        <v>2</v>
      </c>
      <c r="D2886" s="25">
        <v>32900000</v>
      </c>
      <c r="E2886" s="25">
        <v>37240000</v>
      </c>
      <c r="F2886" s="25">
        <v>4340000</v>
      </c>
      <c r="G2886" s="26">
        <v>1.1319148936170214</v>
      </c>
      <c r="H2886" s="10" t="str">
        <f t="shared" si="45"/>
        <v>GASTOS</v>
      </c>
      <c r="I2886" s="20">
        <v>2026</v>
      </c>
    </row>
    <row r="2887" spans="1:9" hidden="1" x14ac:dyDescent="0.3">
      <c r="A2887" s="24" t="s">
        <v>43</v>
      </c>
      <c r="B2887" s="24" t="s">
        <v>98</v>
      </c>
      <c r="C2887" s="22">
        <v>3</v>
      </c>
      <c r="D2887" s="25">
        <v>28700000</v>
      </c>
      <c r="E2887" s="25">
        <v>38687000</v>
      </c>
      <c r="F2887" s="25">
        <v>9987000</v>
      </c>
      <c r="G2887" s="26">
        <v>1.3479790940766552</v>
      </c>
      <c r="H2887" s="10" t="str">
        <f t="shared" si="45"/>
        <v>GASTOS</v>
      </c>
      <c r="I2887" s="20">
        <v>2026</v>
      </c>
    </row>
    <row r="2888" spans="1:9" hidden="1" x14ac:dyDescent="0.3">
      <c r="A2888" s="24" t="s">
        <v>43</v>
      </c>
      <c r="B2888" s="24" t="s">
        <v>98</v>
      </c>
      <c r="C2888" s="22">
        <v>4</v>
      </c>
      <c r="D2888" s="25">
        <v>34300000</v>
      </c>
      <c r="E2888" s="25">
        <v>37365638</v>
      </c>
      <c r="F2888" s="25">
        <v>3065638</v>
      </c>
      <c r="G2888" s="26">
        <v>1.0893772011661809</v>
      </c>
      <c r="H2888" s="10" t="str">
        <f t="shared" si="45"/>
        <v>GASTOS</v>
      </c>
      <c r="I2888" s="20">
        <v>2026</v>
      </c>
    </row>
    <row r="2889" spans="1:9" hidden="1" x14ac:dyDescent="0.3">
      <c r="A2889" s="23" t="s">
        <v>68</v>
      </c>
      <c r="B2889" s="23" t="s">
        <v>149</v>
      </c>
      <c r="C2889" s="22">
        <v>1</v>
      </c>
      <c r="D2889" s="25">
        <v>0</v>
      </c>
      <c r="E2889" s="25">
        <v>0</v>
      </c>
      <c r="F2889" s="25">
        <v>0</v>
      </c>
      <c r="G2889" s="26">
        <v>0</v>
      </c>
      <c r="H2889" s="10" t="str">
        <f t="shared" si="45"/>
        <v>GASTOS</v>
      </c>
      <c r="I2889" s="20">
        <v>2026</v>
      </c>
    </row>
    <row r="2890" spans="1:9" hidden="1" x14ac:dyDescent="0.3">
      <c r="A2890" s="24" t="s">
        <v>68</v>
      </c>
      <c r="B2890" s="24" t="s">
        <v>149</v>
      </c>
      <c r="C2890" s="22">
        <v>2</v>
      </c>
      <c r="D2890" s="25">
        <v>0</v>
      </c>
      <c r="E2890" s="25">
        <v>188214</v>
      </c>
      <c r="F2890" s="25">
        <v>188214</v>
      </c>
      <c r="G2890" s="26">
        <v>0</v>
      </c>
      <c r="H2890" s="10" t="str">
        <f t="shared" si="45"/>
        <v>GASTOS</v>
      </c>
      <c r="I2890" s="20">
        <v>2026</v>
      </c>
    </row>
    <row r="2891" spans="1:9" hidden="1" x14ac:dyDescent="0.3">
      <c r="A2891" s="24" t="s">
        <v>68</v>
      </c>
      <c r="B2891" s="24" t="s">
        <v>149</v>
      </c>
      <c r="C2891" s="22">
        <v>3</v>
      </c>
      <c r="D2891" s="25">
        <v>0</v>
      </c>
      <c r="E2891" s="25">
        <v>0</v>
      </c>
      <c r="F2891" s="25">
        <v>0</v>
      </c>
      <c r="G2891" s="26">
        <v>0</v>
      </c>
      <c r="H2891" s="10" t="str">
        <f t="shared" si="45"/>
        <v>GASTOS</v>
      </c>
      <c r="I2891" s="20">
        <v>2026</v>
      </c>
    </row>
    <row r="2892" spans="1:9" hidden="1" x14ac:dyDescent="0.3">
      <c r="A2892" s="24" t="s">
        <v>68</v>
      </c>
      <c r="B2892" s="24" t="s">
        <v>149</v>
      </c>
      <c r="C2892" s="22">
        <v>4</v>
      </c>
      <c r="D2892" s="25">
        <v>0</v>
      </c>
      <c r="E2892" s="25">
        <v>0</v>
      </c>
      <c r="F2892" s="25">
        <v>0</v>
      </c>
      <c r="G2892" s="26">
        <v>0</v>
      </c>
      <c r="H2892" s="10" t="str">
        <f t="shared" si="45"/>
        <v>GASTOS</v>
      </c>
      <c r="I2892" s="20">
        <v>2026</v>
      </c>
    </row>
    <row r="2893" spans="1:9" hidden="1" x14ac:dyDescent="0.3">
      <c r="A2893" s="21" t="s">
        <v>68</v>
      </c>
      <c r="B2893" s="21" t="s">
        <v>12</v>
      </c>
      <c r="C2893" s="22">
        <v>1</v>
      </c>
      <c r="D2893" s="25">
        <v>0</v>
      </c>
      <c r="E2893" s="25">
        <v>0</v>
      </c>
      <c r="F2893" s="25">
        <v>0</v>
      </c>
      <c r="G2893" s="26">
        <v>0</v>
      </c>
      <c r="H2893" s="10" t="str">
        <f t="shared" si="45"/>
        <v>GASTOS</v>
      </c>
      <c r="I2893" s="20">
        <v>2026</v>
      </c>
    </row>
    <row r="2894" spans="1:9" hidden="1" x14ac:dyDescent="0.3">
      <c r="A2894" s="23" t="s">
        <v>68</v>
      </c>
      <c r="B2894" s="23" t="s">
        <v>12</v>
      </c>
      <c r="C2894" s="22">
        <v>2</v>
      </c>
      <c r="D2894" s="25">
        <v>0</v>
      </c>
      <c r="E2894" s="25">
        <v>0</v>
      </c>
      <c r="F2894" s="25">
        <v>0</v>
      </c>
      <c r="G2894" s="26">
        <v>0</v>
      </c>
      <c r="H2894" s="10" t="str">
        <f t="shared" si="45"/>
        <v>GASTOS</v>
      </c>
      <c r="I2894" s="20">
        <v>2026</v>
      </c>
    </row>
    <row r="2895" spans="1:9" hidden="1" x14ac:dyDescent="0.3">
      <c r="A2895" s="24" t="s">
        <v>68</v>
      </c>
      <c r="B2895" s="24" t="s">
        <v>12</v>
      </c>
      <c r="C2895" s="22">
        <v>3</v>
      </c>
      <c r="D2895" s="25">
        <v>0</v>
      </c>
      <c r="E2895" s="25">
        <v>0</v>
      </c>
      <c r="F2895" s="25">
        <v>0</v>
      </c>
      <c r="G2895" s="26">
        <v>0</v>
      </c>
      <c r="H2895" s="10" t="str">
        <f t="shared" si="45"/>
        <v>GASTOS</v>
      </c>
      <c r="I2895" s="20">
        <v>2026</v>
      </c>
    </row>
    <row r="2896" spans="1:9" hidden="1" x14ac:dyDescent="0.3">
      <c r="A2896" s="24" t="s">
        <v>68</v>
      </c>
      <c r="B2896" s="24" t="s">
        <v>12</v>
      </c>
      <c r="C2896" s="22">
        <v>4</v>
      </c>
      <c r="D2896" s="25">
        <v>1220132</v>
      </c>
      <c r="E2896" s="25">
        <v>888400</v>
      </c>
      <c r="F2896" s="25">
        <v>-331732</v>
      </c>
      <c r="G2896" s="26">
        <v>0.72811794133749463</v>
      </c>
      <c r="H2896" s="10" t="str">
        <f t="shared" si="45"/>
        <v>GASTOS</v>
      </c>
      <c r="I2896" s="20">
        <v>2026</v>
      </c>
    </row>
    <row r="2897" spans="1:9" hidden="1" x14ac:dyDescent="0.3">
      <c r="A2897" s="24" t="s">
        <v>43</v>
      </c>
      <c r="B2897" s="24" t="s">
        <v>14</v>
      </c>
      <c r="C2897" s="22">
        <v>1</v>
      </c>
      <c r="D2897" s="25">
        <v>0</v>
      </c>
      <c r="E2897" s="25">
        <v>0</v>
      </c>
      <c r="F2897" s="25">
        <v>0</v>
      </c>
      <c r="G2897" s="26">
        <v>0</v>
      </c>
      <c r="H2897" s="10" t="str">
        <f t="shared" si="45"/>
        <v>GASTOS</v>
      </c>
      <c r="I2897" s="20">
        <v>2026</v>
      </c>
    </row>
    <row r="2898" spans="1:9" hidden="1" x14ac:dyDescent="0.3">
      <c r="A2898" s="23" t="s">
        <v>43</v>
      </c>
      <c r="B2898" s="23" t="s">
        <v>14</v>
      </c>
      <c r="C2898" s="22">
        <v>2</v>
      </c>
      <c r="D2898" s="25">
        <v>27600</v>
      </c>
      <c r="E2898" s="25">
        <v>0</v>
      </c>
      <c r="F2898" s="25">
        <v>-27600</v>
      </c>
      <c r="G2898" s="26">
        <v>0</v>
      </c>
      <c r="H2898" s="10" t="str">
        <f t="shared" si="45"/>
        <v>GASTOS</v>
      </c>
      <c r="I2898" s="20">
        <v>2026</v>
      </c>
    </row>
    <row r="2899" spans="1:9" hidden="1" x14ac:dyDescent="0.3">
      <c r="A2899" s="24" t="s">
        <v>43</v>
      </c>
      <c r="B2899" s="24" t="s">
        <v>14</v>
      </c>
      <c r="C2899" s="22">
        <v>3</v>
      </c>
      <c r="D2899" s="25">
        <v>27600</v>
      </c>
      <c r="E2899" s="25">
        <v>0</v>
      </c>
      <c r="F2899" s="25">
        <v>-27600</v>
      </c>
      <c r="G2899" s="26">
        <v>0</v>
      </c>
      <c r="H2899" s="10" t="str">
        <f t="shared" si="45"/>
        <v>GASTOS</v>
      </c>
      <c r="I2899" s="20">
        <v>2026</v>
      </c>
    </row>
    <row r="2900" spans="1:9" hidden="1" x14ac:dyDescent="0.3">
      <c r="A2900" s="23" t="s">
        <v>43</v>
      </c>
      <c r="B2900" s="23" t="s">
        <v>14</v>
      </c>
      <c r="C2900" s="22">
        <v>4</v>
      </c>
      <c r="D2900" s="25">
        <v>27600</v>
      </c>
      <c r="E2900" s="25">
        <v>5000</v>
      </c>
      <c r="F2900" s="25">
        <v>-22600</v>
      </c>
      <c r="G2900" s="26">
        <v>0.18115942028985507</v>
      </c>
      <c r="H2900" s="10" t="str">
        <f t="shared" si="45"/>
        <v>GASTOS</v>
      </c>
      <c r="I2900" s="20">
        <v>2026</v>
      </c>
    </row>
    <row r="2901" spans="1:9" hidden="1" x14ac:dyDescent="0.3">
      <c r="A2901" s="24" t="s">
        <v>68</v>
      </c>
      <c r="B2901" s="24" t="s">
        <v>14</v>
      </c>
      <c r="C2901" s="22">
        <v>1</v>
      </c>
      <c r="D2901" s="25">
        <v>398641</v>
      </c>
      <c r="E2901" s="25">
        <v>444154</v>
      </c>
      <c r="F2901" s="25">
        <v>45513</v>
      </c>
      <c r="G2901" s="26">
        <v>1.1141703939133205</v>
      </c>
      <c r="H2901" s="10" t="str">
        <f t="shared" si="45"/>
        <v>GASTOS</v>
      </c>
      <c r="I2901" s="20">
        <v>2026</v>
      </c>
    </row>
    <row r="2902" spans="1:9" hidden="1" x14ac:dyDescent="0.3">
      <c r="A2902" s="24" t="s">
        <v>68</v>
      </c>
      <c r="B2902" s="24" t="s">
        <v>14</v>
      </c>
      <c r="C2902" s="22">
        <v>2</v>
      </c>
      <c r="D2902" s="25">
        <v>481240</v>
      </c>
      <c r="E2902" s="25">
        <v>444154</v>
      </c>
      <c r="F2902" s="25">
        <v>-37086</v>
      </c>
      <c r="G2902" s="26">
        <v>0.92293658050037408</v>
      </c>
      <c r="H2902" s="10" t="str">
        <f t="shared" si="45"/>
        <v>GASTOS</v>
      </c>
      <c r="I2902" s="20">
        <v>2026</v>
      </c>
    </row>
    <row r="2903" spans="1:9" hidden="1" x14ac:dyDescent="0.3">
      <c r="A2903" s="24" t="s">
        <v>68</v>
      </c>
      <c r="B2903" s="24" t="s">
        <v>14</v>
      </c>
      <c r="C2903" s="22">
        <v>3</v>
      </c>
      <c r="D2903" s="25">
        <v>426240</v>
      </c>
      <c r="E2903" s="25">
        <v>444154</v>
      </c>
      <c r="F2903" s="25">
        <v>17914</v>
      </c>
      <c r="G2903" s="26">
        <v>1.0420279654654656</v>
      </c>
      <c r="H2903" s="10" t="str">
        <f t="shared" si="45"/>
        <v>GASTOS</v>
      </c>
      <c r="I2903" s="20">
        <v>2026</v>
      </c>
    </row>
    <row r="2904" spans="1:9" hidden="1" x14ac:dyDescent="0.3">
      <c r="A2904" s="23" t="s">
        <v>68</v>
      </c>
      <c r="B2904" s="23" t="s">
        <v>14</v>
      </c>
      <c r="C2904" s="22">
        <v>4</v>
      </c>
      <c r="D2904" s="25">
        <v>426240</v>
      </c>
      <c r="E2904" s="25">
        <v>542353</v>
      </c>
      <c r="F2904" s="25">
        <v>116113</v>
      </c>
      <c r="G2904" s="26">
        <v>1.272412256006006</v>
      </c>
      <c r="H2904" s="10" t="str">
        <f t="shared" si="45"/>
        <v>GASTOS</v>
      </c>
      <c r="I2904" s="20">
        <v>2026</v>
      </c>
    </row>
    <row r="2905" spans="1:9" hidden="1" x14ac:dyDescent="0.3">
      <c r="A2905" s="24" t="s">
        <v>43</v>
      </c>
      <c r="B2905" s="24" t="s">
        <v>164</v>
      </c>
      <c r="C2905" s="22">
        <v>2</v>
      </c>
      <c r="D2905" s="25">
        <v>0</v>
      </c>
      <c r="E2905" s="25">
        <v>55035</v>
      </c>
      <c r="F2905" s="25">
        <v>55035</v>
      </c>
      <c r="G2905" s="26">
        <v>0</v>
      </c>
      <c r="H2905" s="10" t="str">
        <f t="shared" si="45"/>
        <v>GASTOS</v>
      </c>
      <c r="I2905" s="20">
        <v>2026</v>
      </c>
    </row>
    <row r="2906" spans="1:9" hidden="1" x14ac:dyDescent="0.3">
      <c r="A2906" s="24" t="s">
        <v>43</v>
      </c>
      <c r="B2906" s="24" t="s">
        <v>164</v>
      </c>
      <c r="C2906" s="22">
        <v>3</v>
      </c>
      <c r="D2906" s="25">
        <v>0</v>
      </c>
      <c r="E2906" s="25">
        <v>0</v>
      </c>
      <c r="F2906" s="25">
        <v>0</v>
      </c>
      <c r="G2906" s="26">
        <v>0</v>
      </c>
      <c r="H2906" s="10" t="str">
        <f t="shared" si="45"/>
        <v>GASTOS</v>
      </c>
      <c r="I2906" s="20">
        <v>2026</v>
      </c>
    </row>
    <row r="2907" spans="1:9" hidden="1" x14ac:dyDescent="0.3">
      <c r="A2907" s="24" t="s">
        <v>43</v>
      </c>
      <c r="B2907" s="24" t="s">
        <v>164</v>
      </c>
      <c r="C2907" s="22">
        <v>4</v>
      </c>
      <c r="D2907" s="25">
        <v>0</v>
      </c>
      <c r="E2907" s="25">
        <v>0</v>
      </c>
      <c r="F2907" s="25">
        <v>0</v>
      </c>
      <c r="G2907" s="26">
        <v>0</v>
      </c>
      <c r="H2907" s="10" t="str">
        <f t="shared" si="45"/>
        <v>GASTOS</v>
      </c>
      <c r="I2907" s="20">
        <v>2026</v>
      </c>
    </row>
    <row r="2908" spans="1:9" hidden="1" x14ac:dyDescent="0.3">
      <c r="A2908" s="23" t="s">
        <v>43</v>
      </c>
      <c r="B2908" s="23" t="s">
        <v>16</v>
      </c>
      <c r="C2908" s="22">
        <v>1</v>
      </c>
      <c r="D2908" s="25">
        <v>300000</v>
      </c>
      <c r="E2908" s="25">
        <v>73012</v>
      </c>
      <c r="F2908" s="25">
        <v>-226988</v>
      </c>
      <c r="G2908" s="26">
        <v>0.24337333333333333</v>
      </c>
      <c r="H2908" s="10" t="str">
        <f t="shared" si="45"/>
        <v>GASTOS</v>
      </c>
      <c r="I2908" s="20">
        <v>2026</v>
      </c>
    </row>
    <row r="2909" spans="1:9" hidden="1" x14ac:dyDescent="0.3">
      <c r="A2909" s="24" t="s">
        <v>43</v>
      </c>
      <c r="B2909" s="24" t="s">
        <v>16</v>
      </c>
      <c r="C2909" s="22">
        <v>2</v>
      </c>
      <c r="D2909" s="25">
        <v>300000</v>
      </c>
      <c r="E2909" s="25">
        <v>479042</v>
      </c>
      <c r="F2909" s="25">
        <v>179042</v>
      </c>
      <c r="G2909" s="26">
        <v>1.5968066666666667</v>
      </c>
      <c r="H2909" s="10" t="str">
        <f t="shared" si="45"/>
        <v>GASTOS</v>
      </c>
      <c r="I2909" s="20">
        <v>2026</v>
      </c>
    </row>
    <row r="2910" spans="1:9" hidden="1" x14ac:dyDescent="0.3">
      <c r="A2910" s="24" t="s">
        <v>43</v>
      </c>
      <c r="B2910" s="24" t="s">
        <v>16</v>
      </c>
      <c r="C2910" s="22">
        <v>3</v>
      </c>
      <c r="D2910" s="25">
        <v>300000</v>
      </c>
      <c r="E2910" s="25">
        <v>54420</v>
      </c>
      <c r="F2910" s="25">
        <v>-245580</v>
      </c>
      <c r="G2910" s="26">
        <v>0.18140000000000001</v>
      </c>
      <c r="H2910" s="10" t="str">
        <f t="shared" si="45"/>
        <v>GASTOS</v>
      </c>
      <c r="I2910" s="20">
        <v>2026</v>
      </c>
    </row>
    <row r="2911" spans="1:9" hidden="1" x14ac:dyDescent="0.3">
      <c r="A2911" s="24" t="s">
        <v>43</v>
      </c>
      <c r="B2911" s="24" t="s">
        <v>16</v>
      </c>
      <c r="C2911" s="22">
        <v>4</v>
      </c>
      <c r="D2911" s="25">
        <v>300000</v>
      </c>
      <c r="E2911" s="25">
        <v>81350</v>
      </c>
      <c r="F2911" s="25">
        <v>-218650</v>
      </c>
      <c r="G2911" s="26">
        <v>0.27116666666666667</v>
      </c>
      <c r="H2911" s="10" t="str">
        <f t="shared" si="45"/>
        <v>GASTOS</v>
      </c>
      <c r="I2911" s="20">
        <v>2026</v>
      </c>
    </row>
    <row r="2912" spans="1:9" hidden="1" x14ac:dyDescent="0.3">
      <c r="A2912" s="23" t="s">
        <v>68</v>
      </c>
      <c r="B2912" s="23" t="s">
        <v>16</v>
      </c>
      <c r="C2912" s="22">
        <v>1</v>
      </c>
      <c r="D2912" s="25">
        <v>159108480</v>
      </c>
      <c r="E2912" s="25">
        <v>131195733</v>
      </c>
      <c r="F2912" s="25">
        <v>-27912747</v>
      </c>
      <c r="G2912" s="26">
        <v>0.82456782316065114</v>
      </c>
      <c r="H2912" s="10" t="str">
        <f t="shared" si="45"/>
        <v>GASTOS</v>
      </c>
      <c r="I2912" s="20">
        <v>2026</v>
      </c>
    </row>
    <row r="2913" spans="1:9" hidden="1" x14ac:dyDescent="0.3">
      <c r="A2913" s="24" t="s">
        <v>68</v>
      </c>
      <c r="B2913" s="24" t="s">
        <v>16</v>
      </c>
      <c r="C2913" s="22">
        <v>2</v>
      </c>
      <c r="D2913" s="25">
        <v>155793720</v>
      </c>
      <c r="E2913" s="25">
        <v>166474117</v>
      </c>
      <c r="F2913" s="25">
        <v>10680397</v>
      </c>
      <c r="G2913" s="26">
        <v>1.0685547337851615</v>
      </c>
      <c r="H2913" s="10" t="str">
        <f t="shared" si="45"/>
        <v>GASTOS</v>
      </c>
      <c r="I2913" s="20">
        <v>2026</v>
      </c>
    </row>
    <row r="2914" spans="1:9" hidden="1" x14ac:dyDescent="0.3">
      <c r="A2914" s="24" t="s">
        <v>68</v>
      </c>
      <c r="B2914" s="24" t="s">
        <v>16</v>
      </c>
      <c r="C2914" s="22">
        <v>3</v>
      </c>
      <c r="D2914" s="25">
        <v>155793720</v>
      </c>
      <c r="E2914" s="25">
        <v>208611040</v>
      </c>
      <c r="F2914" s="25">
        <v>52817320</v>
      </c>
      <c r="G2914" s="26">
        <v>1.3390208539856421</v>
      </c>
      <c r="H2914" s="10" t="str">
        <f t="shared" si="45"/>
        <v>GASTOS</v>
      </c>
      <c r="I2914" s="20">
        <v>2026</v>
      </c>
    </row>
    <row r="2915" spans="1:9" hidden="1" x14ac:dyDescent="0.3">
      <c r="A2915" s="24" t="s">
        <v>68</v>
      </c>
      <c r="B2915" s="24" t="s">
        <v>16</v>
      </c>
      <c r="C2915" s="22">
        <v>4</v>
      </c>
      <c r="D2915" s="25">
        <v>162423240</v>
      </c>
      <c r="E2915" s="25">
        <v>144257737</v>
      </c>
      <c r="F2915" s="25">
        <v>-18165503</v>
      </c>
      <c r="G2915" s="26">
        <v>0.88815945920054296</v>
      </c>
      <c r="H2915" s="10" t="str">
        <f t="shared" si="45"/>
        <v>GASTOS</v>
      </c>
      <c r="I2915" s="20">
        <v>2026</v>
      </c>
    </row>
    <row r="2916" spans="1:9" hidden="1" x14ac:dyDescent="0.3">
      <c r="A2916" s="23" t="s">
        <v>43</v>
      </c>
      <c r="B2916" s="23" t="s">
        <v>153</v>
      </c>
      <c r="C2916" s="22">
        <v>1</v>
      </c>
      <c r="D2916" s="25">
        <v>0</v>
      </c>
      <c r="E2916" s="25">
        <v>0</v>
      </c>
      <c r="F2916" s="25">
        <v>0</v>
      </c>
      <c r="G2916" s="26">
        <v>0</v>
      </c>
      <c r="H2916" s="10" t="str">
        <f t="shared" si="45"/>
        <v>GASTOS</v>
      </c>
      <c r="I2916" s="20">
        <v>2026</v>
      </c>
    </row>
    <row r="2917" spans="1:9" hidden="1" x14ac:dyDescent="0.3">
      <c r="A2917" s="24" t="s">
        <v>43</v>
      </c>
      <c r="B2917" s="24" t="s">
        <v>153</v>
      </c>
      <c r="C2917" s="22">
        <v>2</v>
      </c>
      <c r="D2917" s="25">
        <v>5000000</v>
      </c>
      <c r="E2917" s="25">
        <v>0</v>
      </c>
      <c r="F2917" s="25">
        <v>-5000000</v>
      </c>
      <c r="G2917" s="26">
        <v>0</v>
      </c>
      <c r="H2917" s="10" t="str">
        <f t="shared" si="45"/>
        <v>GASTOS</v>
      </c>
      <c r="I2917" s="20">
        <v>2026</v>
      </c>
    </row>
    <row r="2918" spans="1:9" hidden="1" x14ac:dyDescent="0.3">
      <c r="A2918" s="24" t="s">
        <v>43</v>
      </c>
      <c r="B2918" s="24" t="s">
        <v>153</v>
      </c>
      <c r="C2918" s="22">
        <v>3</v>
      </c>
      <c r="D2918" s="25">
        <v>0</v>
      </c>
      <c r="E2918" s="25">
        <v>0</v>
      </c>
      <c r="F2918" s="25">
        <v>0</v>
      </c>
      <c r="G2918" s="26">
        <v>0</v>
      </c>
      <c r="H2918" s="10" t="str">
        <f t="shared" si="45"/>
        <v>GASTOS</v>
      </c>
      <c r="I2918" s="20">
        <v>2026</v>
      </c>
    </row>
    <row r="2919" spans="1:9" hidden="1" x14ac:dyDescent="0.3">
      <c r="A2919" s="24" t="s">
        <v>43</v>
      </c>
      <c r="B2919" s="24" t="s">
        <v>153</v>
      </c>
      <c r="C2919" s="22">
        <v>4</v>
      </c>
      <c r="D2919" s="25">
        <v>0</v>
      </c>
      <c r="E2919" s="25">
        <v>0</v>
      </c>
      <c r="F2919" s="25">
        <v>0</v>
      </c>
      <c r="G2919" s="26">
        <v>0</v>
      </c>
      <c r="H2919" s="10" t="str">
        <f t="shared" si="45"/>
        <v>GASTOS</v>
      </c>
      <c r="I2919" s="20">
        <v>2026</v>
      </c>
    </row>
    <row r="2920" spans="1:9" hidden="1" x14ac:dyDescent="0.3">
      <c r="A2920" s="23" t="s">
        <v>43</v>
      </c>
      <c r="B2920" s="23" t="s">
        <v>62</v>
      </c>
      <c r="C2920" s="22">
        <v>1</v>
      </c>
      <c r="D2920" s="25">
        <v>393443</v>
      </c>
      <c r="E2920" s="25">
        <v>627173</v>
      </c>
      <c r="F2920" s="25">
        <v>233730</v>
      </c>
      <c r="G2920" s="26">
        <v>1.5940631806894519</v>
      </c>
      <c r="H2920" s="10" t="str">
        <f t="shared" si="45"/>
        <v>GASTOS</v>
      </c>
      <c r="I2920" s="20">
        <v>2026</v>
      </c>
    </row>
    <row r="2921" spans="1:9" hidden="1" x14ac:dyDescent="0.3">
      <c r="A2921" s="24" t="s">
        <v>43</v>
      </c>
      <c r="B2921" s="24" t="s">
        <v>62</v>
      </c>
      <c r="C2921" s="22">
        <v>2</v>
      </c>
      <c r="D2921" s="25">
        <v>570245</v>
      </c>
      <c r="E2921" s="25">
        <v>607363</v>
      </c>
      <c r="F2921" s="25">
        <v>37118</v>
      </c>
      <c r="G2921" s="26">
        <v>1.0650913203973731</v>
      </c>
      <c r="H2921" s="10" t="str">
        <f t="shared" si="45"/>
        <v>GASTOS</v>
      </c>
      <c r="I2921" s="20">
        <v>2026</v>
      </c>
    </row>
    <row r="2922" spans="1:9" hidden="1" x14ac:dyDescent="0.3">
      <c r="A2922" s="24" t="s">
        <v>43</v>
      </c>
      <c r="B2922" s="24" t="s">
        <v>62</v>
      </c>
      <c r="C2922" s="22">
        <v>3</v>
      </c>
      <c r="D2922" s="25">
        <v>576890</v>
      </c>
      <c r="E2922" s="25">
        <v>674877</v>
      </c>
      <c r="F2922" s="25">
        <v>97987</v>
      </c>
      <c r="G2922" s="26">
        <v>1.1698538716219731</v>
      </c>
      <c r="H2922" s="10" t="str">
        <f t="shared" si="45"/>
        <v>GASTOS</v>
      </c>
      <c r="I2922" s="20">
        <v>2026</v>
      </c>
    </row>
    <row r="2923" spans="1:9" hidden="1" x14ac:dyDescent="0.3">
      <c r="A2923" s="24" t="s">
        <v>43</v>
      </c>
      <c r="B2923" s="24" t="s">
        <v>62</v>
      </c>
      <c r="C2923" s="22">
        <v>4</v>
      </c>
      <c r="D2923" s="25">
        <v>659616</v>
      </c>
      <c r="E2923" s="25">
        <v>653642</v>
      </c>
      <c r="F2923" s="25">
        <v>-5974</v>
      </c>
      <c r="G2923" s="26">
        <v>0.99094321544656294</v>
      </c>
      <c r="H2923" s="10" t="str">
        <f t="shared" si="45"/>
        <v>GASTOS</v>
      </c>
      <c r="I2923" s="20">
        <v>2026</v>
      </c>
    </row>
    <row r="2924" spans="1:9" hidden="1" x14ac:dyDescent="0.3">
      <c r="A2924" s="23" t="s">
        <v>68</v>
      </c>
      <c r="B2924" s="23" t="s">
        <v>62</v>
      </c>
      <c r="C2924" s="22">
        <v>1</v>
      </c>
      <c r="D2924" s="25">
        <v>189574</v>
      </c>
      <c r="E2924" s="25">
        <v>185896</v>
      </c>
      <c r="F2924" s="25">
        <v>-3678</v>
      </c>
      <c r="G2924" s="26">
        <v>0.98059860529397491</v>
      </c>
      <c r="H2924" s="10" t="str">
        <f t="shared" si="45"/>
        <v>GASTOS</v>
      </c>
      <c r="I2924" s="20">
        <v>2026</v>
      </c>
    </row>
    <row r="2925" spans="1:9" hidden="1" x14ac:dyDescent="0.3">
      <c r="A2925" s="24" t="s">
        <v>68</v>
      </c>
      <c r="B2925" s="24" t="s">
        <v>62</v>
      </c>
      <c r="C2925" s="22">
        <v>2</v>
      </c>
      <c r="D2925" s="25">
        <v>189574</v>
      </c>
      <c r="E2925" s="25">
        <v>180024</v>
      </c>
      <c r="F2925" s="25">
        <v>-9550</v>
      </c>
      <c r="G2925" s="26">
        <v>0.94962389357190335</v>
      </c>
      <c r="H2925" s="10" t="str">
        <f t="shared" si="45"/>
        <v>GASTOS</v>
      </c>
      <c r="I2925" s="20">
        <v>2026</v>
      </c>
    </row>
    <row r="2926" spans="1:9" hidden="1" x14ac:dyDescent="0.3">
      <c r="A2926" s="24" t="s">
        <v>68</v>
      </c>
      <c r="B2926" s="24" t="s">
        <v>62</v>
      </c>
      <c r="C2926" s="22">
        <v>3</v>
      </c>
      <c r="D2926" s="25">
        <v>189574</v>
      </c>
      <c r="E2926" s="25">
        <v>186236</v>
      </c>
      <c r="F2926" s="25">
        <v>-3338</v>
      </c>
      <c r="G2926" s="26">
        <v>0.98239210018251455</v>
      </c>
      <c r="H2926" s="10" t="str">
        <f t="shared" ref="H2926:H2989" si="46">+IF(OR(A2926="ADMINISTRACION",A2926="COMERCIAL",A2926="COMERCIAL-EXPORTACIONES",A2926="LEASING DE LA BODEGA",A2926="LOGISTICA-SALIDA",A2926="OTROS GASTOS",A2926="BODEGA ALQUILADA", A2926="BODEGA CARTOPLAST", A2926="BODEGA CARTOPLAS", A2926= "GESTION HUMANA-OTROS GASTOS",A2926="FAMILIA"),"GASTOS","COSTOS")</f>
        <v>GASTOS</v>
      </c>
      <c r="I2926" s="20">
        <v>2026</v>
      </c>
    </row>
    <row r="2927" spans="1:9" hidden="1" x14ac:dyDescent="0.3">
      <c r="A2927" s="24" t="s">
        <v>68</v>
      </c>
      <c r="B2927" s="24" t="s">
        <v>62</v>
      </c>
      <c r="C2927" s="22">
        <v>4</v>
      </c>
      <c r="D2927" s="25">
        <v>189574</v>
      </c>
      <c r="E2927" s="25">
        <v>180376</v>
      </c>
      <c r="F2927" s="25">
        <v>-9198</v>
      </c>
      <c r="G2927" s="26">
        <v>0.9514806882800384</v>
      </c>
      <c r="H2927" s="10" t="str">
        <f t="shared" si="46"/>
        <v>GASTOS</v>
      </c>
      <c r="I2927" s="20">
        <v>2026</v>
      </c>
    </row>
    <row r="2928" spans="1:9" hidden="1" x14ac:dyDescent="0.3">
      <c r="A2928" s="23" t="s">
        <v>68</v>
      </c>
      <c r="B2928" s="23" t="s">
        <v>171</v>
      </c>
      <c r="C2928" s="22">
        <v>1</v>
      </c>
      <c r="D2928" s="25">
        <v>238318</v>
      </c>
      <c r="E2928" s="25">
        <v>0</v>
      </c>
      <c r="F2928" s="25">
        <v>-238318</v>
      </c>
      <c r="G2928" s="26">
        <v>0</v>
      </c>
      <c r="H2928" s="10" t="str">
        <f t="shared" si="46"/>
        <v>GASTOS</v>
      </c>
      <c r="I2928" s="20">
        <v>2026</v>
      </c>
    </row>
    <row r="2929" spans="1:9" hidden="1" x14ac:dyDescent="0.3">
      <c r="A2929" s="24" t="s">
        <v>68</v>
      </c>
      <c r="B2929" s="24" t="s">
        <v>171</v>
      </c>
      <c r="C2929" s="22">
        <v>2</v>
      </c>
      <c r="D2929" s="25">
        <v>238318</v>
      </c>
      <c r="E2929" s="25">
        <v>750000</v>
      </c>
      <c r="F2929" s="25">
        <v>511682</v>
      </c>
      <c r="G2929" s="26">
        <v>3.147055614766824</v>
      </c>
      <c r="H2929" s="10" t="str">
        <f t="shared" si="46"/>
        <v>GASTOS</v>
      </c>
      <c r="I2929" s="20">
        <v>2026</v>
      </c>
    </row>
    <row r="2930" spans="1:9" hidden="1" x14ac:dyDescent="0.3">
      <c r="A2930" s="24" t="s">
        <v>68</v>
      </c>
      <c r="B2930" s="24" t="s">
        <v>171</v>
      </c>
      <c r="C2930" s="22">
        <v>3</v>
      </c>
      <c r="D2930" s="25">
        <v>238318</v>
      </c>
      <c r="E2930" s="25">
        <v>427958</v>
      </c>
      <c r="F2930" s="25">
        <v>189640</v>
      </c>
      <c r="G2930" s="26">
        <v>1.7957435023791741</v>
      </c>
      <c r="H2930" s="10" t="str">
        <f t="shared" si="46"/>
        <v>GASTOS</v>
      </c>
      <c r="I2930" s="20">
        <v>2026</v>
      </c>
    </row>
    <row r="2931" spans="1:9" hidden="1" x14ac:dyDescent="0.3">
      <c r="A2931" s="24" t="s">
        <v>68</v>
      </c>
      <c r="B2931" s="24" t="s">
        <v>171</v>
      </c>
      <c r="C2931" s="22">
        <v>4</v>
      </c>
      <c r="D2931" s="25">
        <v>238318</v>
      </c>
      <c r="E2931" s="25">
        <v>0</v>
      </c>
      <c r="F2931" s="25">
        <v>-238318</v>
      </c>
      <c r="G2931" s="26">
        <v>0</v>
      </c>
      <c r="H2931" s="10" t="str">
        <f t="shared" si="46"/>
        <v>GASTOS</v>
      </c>
      <c r="I2931" s="20">
        <v>2026</v>
      </c>
    </row>
    <row r="2932" spans="1:9" hidden="1" x14ac:dyDescent="0.3">
      <c r="A2932" s="23" t="s">
        <v>155</v>
      </c>
      <c r="B2932" s="23" t="s">
        <v>31</v>
      </c>
      <c r="C2932" s="22">
        <v>1</v>
      </c>
      <c r="D2932" s="25">
        <v>164122</v>
      </c>
      <c r="E2932" s="25">
        <v>164122</v>
      </c>
      <c r="F2932" s="25">
        <v>0</v>
      </c>
      <c r="G2932" s="26">
        <v>1</v>
      </c>
      <c r="H2932" s="10" t="str">
        <f t="shared" si="46"/>
        <v>GASTOS</v>
      </c>
      <c r="I2932" s="20">
        <v>2026</v>
      </c>
    </row>
    <row r="2933" spans="1:9" hidden="1" x14ac:dyDescent="0.3">
      <c r="A2933" s="23" t="s">
        <v>155</v>
      </c>
      <c r="B2933" s="24" t="s">
        <v>31</v>
      </c>
      <c r="C2933" s="22">
        <v>2</v>
      </c>
      <c r="D2933" s="25">
        <v>158347</v>
      </c>
      <c r="E2933" s="25">
        <v>158347</v>
      </c>
      <c r="F2933" s="25">
        <v>0</v>
      </c>
      <c r="G2933" s="26">
        <v>1</v>
      </c>
      <c r="H2933" s="10" t="str">
        <f t="shared" si="46"/>
        <v>GASTOS</v>
      </c>
      <c r="I2933" s="20">
        <v>2026</v>
      </c>
    </row>
    <row r="2934" spans="1:9" hidden="1" x14ac:dyDescent="0.3">
      <c r="A2934" s="23" t="s">
        <v>155</v>
      </c>
      <c r="B2934" s="24" t="s">
        <v>31</v>
      </c>
      <c r="C2934" s="22">
        <v>3</v>
      </c>
      <c r="D2934" s="25">
        <v>168033</v>
      </c>
      <c r="E2934" s="25">
        <v>168033</v>
      </c>
      <c r="F2934" s="25">
        <v>0</v>
      </c>
      <c r="G2934" s="26">
        <v>1</v>
      </c>
      <c r="H2934" s="10" t="str">
        <f t="shared" si="46"/>
        <v>GASTOS</v>
      </c>
      <c r="I2934" s="20">
        <v>2026</v>
      </c>
    </row>
    <row r="2935" spans="1:9" hidden="1" x14ac:dyDescent="0.3">
      <c r="A2935" s="23" t="s">
        <v>155</v>
      </c>
      <c r="B2935" s="24" t="s">
        <v>31</v>
      </c>
      <c r="C2935" s="22">
        <v>4</v>
      </c>
      <c r="D2935" s="25">
        <v>207921</v>
      </c>
      <c r="E2935" s="25">
        <v>103540</v>
      </c>
      <c r="F2935" s="25">
        <v>-104381</v>
      </c>
      <c r="G2935" s="26">
        <v>0.49797759726049795</v>
      </c>
      <c r="H2935" s="10" t="str">
        <f t="shared" si="46"/>
        <v>GASTOS</v>
      </c>
      <c r="I2935" s="20">
        <v>2026</v>
      </c>
    </row>
    <row r="2936" spans="1:9" hidden="1" x14ac:dyDescent="0.3">
      <c r="A2936" s="23" t="s">
        <v>155</v>
      </c>
      <c r="B2936" s="23" t="s">
        <v>84</v>
      </c>
      <c r="C2936" s="22">
        <v>1</v>
      </c>
      <c r="D2936" s="25">
        <v>1291614</v>
      </c>
      <c r="E2936" s="25">
        <v>1291614</v>
      </c>
      <c r="F2936" s="25">
        <v>0</v>
      </c>
      <c r="G2936" s="26">
        <v>1</v>
      </c>
      <c r="H2936" s="10" t="str">
        <f t="shared" si="46"/>
        <v>GASTOS</v>
      </c>
      <c r="I2936" s="20">
        <v>2026</v>
      </c>
    </row>
    <row r="2937" spans="1:9" hidden="1" x14ac:dyDescent="0.3">
      <c r="A2937" s="23" t="s">
        <v>155</v>
      </c>
      <c r="B2937" s="24" t="s">
        <v>84</v>
      </c>
      <c r="C2937" s="22">
        <v>2</v>
      </c>
      <c r="D2937" s="25">
        <v>1139060</v>
      </c>
      <c r="E2937" s="25">
        <v>1139060</v>
      </c>
      <c r="F2937" s="25">
        <v>0</v>
      </c>
      <c r="G2937" s="26">
        <v>1</v>
      </c>
      <c r="H2937" s="10" t="str">
        <f t="shared" si="46"/>
        <v>GASTOS</v>
      </c>
      <c r="I2937" s="20">
        <v>2026</v>
      </c>
    </row>
    <row r="2938" spans="1:9" hidden="1" x14ac:dyDescent="0.3">
      <c r="A2938" s="23" t="s">
        <v>155</v>
      </c>
      <c r="B2938" s="24" t="s">
        <v>84</v>
      </c>
      <c r="C2938" s="22">
        <v>3</v>
      </c>
      <c r="D2938" s="25">
        <v>984456</v>
      </c>
      <c r="E2938" s="25">
        <v>984456</v>
      </c>
      <c r="F2938" s="25">
        <v>0</v>
      </c>
      <c r="G2938" s="26">
        <v>1</v>
      </c>
      <c r="H2938" s="10" t="str">
        <f t="shared" si="46"/>
        <v>GASTOS</v>
      </c>
      <c r="I2938" s="20">
        <v>2026</v>
      </c>
    </row>
    <row r="2939" spans="1:9" hidden="1" x14ac:dyDescent="0.3">
      <c r="A2939" s="23" t="s">
        <v>155</v>
      </c>
      <c r="B2939" s="24" t="s">
        <v>84</v>
      </c>
      <c r="C2939" s="22">
        <v>4</v>
      </c>
      <c r="D2939" s="25">
        <v>970571</v>
      </c>
      <c r="E2939" s="25">
        <v>1000402</v>
      </c>
      <c r="F2939" s="25">
        <v>29831</v>
      </c>
      <c r="G2939" s="26">
        <v>1.0307355154852145</v>
      </c>
      <c r="H2939" s="10" t="str">
        <f t="shared" si="46"/>
        <v>GASTOS</v>
      </c>
      <c r="I2939" s="20">
        <v>2026</v>
      </c>
    </row>
    <row r="2940" spans="1:9" hidden="1" x14ac:dyDescent="0.3">
      <c r="A2940" s="23" t="s">
        <v>155</v>
      </c>
      <c r="B2940" s="23" t="s">
        <v>32</v>
      </c>
      <c r="C2940" s="22">
        <v>2</v>
      </c>
      <c r="D2940" s="25">
        <v>0</v>
      </c>
      <c r="E2940" s="25">
        <v>174976</v>
      </c>
      <c r="F2940" s="25">
        <v>174976</v>
      </c>
      <c r="G2940" s="26">
        <v>0</v>
      </c>
      <c r="H2940" s="10" t="str">
        <f t="shared" si="46"/>
        <v>GASTOS</v>
      </c>
      <c r="I2940" s="20">
        <v>2026</v>
      </c>
    </row>
    <row r="2941" spans="1:9" hidden="1" x14ac:dyDescent="0.3">
      <c r="A2941" s="23" t="s">
        <v>155</v>
      </c>
      <c r="B2941" s="24" t="s">
        <v>32</v>
      </c>
      <c r="C2941" s="22">
        <v>3</v>
      </c>
      <c r="D2941" s="25">
        <v>0</v>
      </c>
      <c r="E2941" s="25">
        <v>352565</v>
      </c>
      <c r="F2941" s="25">
        <v>352565</v>
      </c>
      <c r="G2941" s="26">
        <v>0</v>
      </c>
      <c r="H2941" s="10" t="str">
        <f t="shared" si="46"/>
        <v>GASTOS</v>
      </c>
      <c r="I2941" s="20">
        <v>2026</v>
      </c>
    </row>
    <row r="2942" spans="1:9" hidden="1" x14ac:dyDescent="0.3">
      <c r="A2942" s="23" t="s">
        <v>155</v>
      </c>
      <c r="B2942" s="24" t="s">
        <v>32</v>
      </c>
      <c r="C2942" s="22">
        <v>4</v>
      </c>
      <c r="D2942" s="25">
        <v>0</v>
      </c>
      <c r="E2942" s="25">
        <v>0</v>
      </c>
      <c r="F2942" s="25">
        <v>0</v>
      </c>
      <c r="G2942" s="26">
        <v>0</v>
      </c>
      <c r="H2942" s="10" t="str">
        <f t="shared" si="46"/>
        <v>GASTOS</v>
      </c>
      <c r="I2942" s="20">
        <v>2026</v>
      </c>
    </row>
    <row r="2943" spans="1:9" hidden="1" x14ac:dyDescent="0.3">
      <c r="A2943" s="23" t="s">
        <v>155</v>
      </c>
      <c r="B2943" s="24" t="s">
        <v>33</v>
      </c>
      <c r="C2943" s="22">
        <v>1</v>
      </c>
      <c r="D2943" s="25">
        <v>0</v>
      </c>
      <c r="E2943" s="25">
        <v>21629279.109999999</v>
      </c>
      <c r="F2943" s="25">
        <v>21629279.109999999</v>
      </c>
      <c r="G2943" s="26">
        <v>0</v>
      </c>
      <c r="H2943" s="10" t="str">
        <f t="shared" si="46"/>
        <v>GASTOS</v>
      </c>
      <c r="I2943" s="20">
        <v>2026</v>
      </c>
    </row>
    <row r="2944" spans="1:9" hidden="1" x14ac:dyDescent="0.3">
      <c r="A2944" s="23" t="s">
        <v>155</v>
      </c>
      <c r="B2944" s="23" t="s">
        <v>33</v>
      </c>
      <c r="C2944" s="22">
        <v>2</v>
      </c>
      <c r="D2944" s="25">
        <v>0</v>
      </c>
      <c r="E2944" s="25">
        <v>0</v>
      </c>
      <c r="F2944" s="25">
        <v>0</v>
      </c>
      <c r="G2944" s="26">
        <v>0</v>
      </c>
      <c r="H2944" s="10" t="str">
        <f t="shared" si="46"/>
        <v>GASTOS</v>
      </c>
      <c r="I2944" s="20">
        <v>2026</v>
      </c>
    </row>
    <row r="2945" spans="1:9" hidden="1" x14ac:dyDescent="0.3">
      <c r="A2945" s="23" t="s">
        <v>155</v>
      </c>
      <c r="B2945" s="24" t="s">
        <v>33</v>
      </c>
      <c r="C2945" s="22">
        <v>3</v>
      </c>
      <c r="D2945" s="25">
        <v>0</v>
      </c>
      <c r="E2945" s="25">
        <v>11127299.800000001</v>
      </c>
      <c r="F2945" s="25">
        <v>11127299.800000001</v>
      </c>
      <c r="G2945" s="26">
        <v>0</v>
      </c>
      <c r="H2945" s="10" t="str">
        <f t="shared" si="46"/>
        <v>GASTOS</v>
      </c>
      <c r="I2945" s="20">
        <v>2026</v>
      </c>
    </row>
    <row r="2946" spans="1:9" hidden="1" x14ac:dyDescent="0.3">
      <c r="A2946" s="23" t="s">
        <v>155</v>
      </c>
      <c r="B2946" s="24" t="s">
        <v>33</v>
      </c>
      <c r="C2946" s="22">
        <v>4</v>
      </c>
      <c r="D2946" s="25">
        <v>0</v>
      </c>
      <c r="E2946" s="25">
        <v>2604</v>
      </c>
      <c r="F2946" s="25">
        <v>2604</v>
      </c>
      <c r="G2946" s="26">
        <v>0</v>
      </c>
      <c r="H2946" s="10" t="str">
        <f t="shared" si="46"/>
        <v>GASTOS</v>
      </c>
      <c r="I2946" s="20">
        <v>2026</v>
      </c>
    </row>
    <row r="2947" spans="1:9" hidden="1" x14ac:dyDescent="0.3">
      <c r="A2947" s="23" t="s">
        <v>155</v>
      </c>
      <c r="B2947" s="24" t="s">
        <v>165</v>
      </c>
      <c r="C2947" s="22">
        <v>1</v>
      </c>
      <c r="D2947" s="25">
        <v>0</v>
      </c>
      <c r="E2947" s="25">
        <v>480995</v>
      </c>
      <c r="F2947" s="25">
        <v>480995</v>
      </c>
      <c r="G2947" s="26">
        <v>0</v>
      </c>
      <c r="H2947" s="10" t="str">
        <f t="shared" si="46"/>
        <v>GASTOS</v>
      </c>
      <c r="I2947" s="20">
        <v>2026</v>
      </c>
    </row>
    <row r="2948" spans="1:9" hidden="1" x14ac:dyDescent="0.3">
      <c r="A2948" s="23" t="s">
        <v>155</v>
      </c>
      <c r="B2948" s="23" t="s">
        <v>165</v>
      </c>
      <c r="C2948" s="22">
        <v>2</v>
      </c>
      <c r="D2948" s="25">
        <v>0</v>
      </c>
      <c r="E2948" s="25">
        <v>0</v>
      </c>
      <c r="F2948" s="25">
        <v>0</v>
      </c>
      <c r="G2948" s="26">
        <v>0</v>
      </c>
      <c r="H2948" s="10" t="str">
        <f t="shared" si="46"/>
        <v>GASTOS</v>
      </c>
      <c r="I2948" s="20">
        <v>2026</v>
      </c>
    </row>
    <row r="2949" spans="1:9" hidden="1" x14ac:dyDescent="0.3">
      <c r="A2949" s="23" t="s">
        <v>155</v>
      </c>
      <c r="B2949" s="24" t="s">
        <v>165</v>
      </c>
      <c r="C2949" s="22">
        <v>3</v>
      </c>
      <c r="D2949" s="25">
        <v>0</v>
      </c>
      <c r="E2949" s="25">
        <v>0</v>
      </c>
      <c r="F2949" s="25">
        <v>0</v>
      </c>
      <c r="G2949" s="26">
        <v>0</v>
      </c>
      <c r="H2949" s="10" t="str">
        <f t="shared" si="46"/>
        <v>GASTOS</v>
      </c>
      <c r="I2949" s="20">
        <v>2026</v>
      </c>
    </row>
    <row r="2950" spans="1:9" hidden="1" x14ac:dyDescent="0.3">
      <c r="A2950" s="23" t="s">
        <v>155</v>
      </c>
      <c r="B2950" s="24" t="s">
        <v>165</v>
      </c>
      <c r="C2950" s="22">
        <v>4</v>
      </c>
      <c r="D2950" s="25">
        <v>0</v>
      </c>
      <c r="E2950" s="25">
        <v>957791</v>
      </c>
      <c r="F2950" s="25">
        <v>957791</v>
      </c>
      <c r="G2950" s="26">
        <v>0</v>
      </c>
      <c r="H2950" s="10" t="str">
        <f t="shared" si="46"/>
        <v>GASTOS</v>
      </c>
      <c r="I2950" s="20">
        <v>2026</v>
      </c>
    </row>
    <row r="2951" spans="1:9" hidden="1" x14ac:dyDescent="0.3">
      <c r="A2951" s="23" t="s">
        <v>155</v>
      </c>
      <c r="B2951" s="24" t="s">
        <v>34</v>
      </c>
      <c r="C2951" s="22">
        <v>1</v>
      </c>
      <c r="D2951" s="25">
        <v>0</v>
      </c>
      <c r="E2951" s="25">
        <v>69214511</v>
      </c>
      <c r="F2951" s="25">
        <v>69214511</v>
      </c>
      <c r="G2951" s="26">
        <v>0</v>
      </c>
      <c r="H2951" s="10" t="str">
        <f t="shared" si="46"/>
        <v>GASTOS</v>
      </c>
      <c r="I2951" s="20">
        <v>2026</v>
      </c>
    </row>
    <row r="2952" spans="1:9" hidden="1" x14ac:dyDescent="0.3">
      <c r="A2952" s="23" t="s">
        <v>155</v>
      </c>
      <c r="B2952" s="23" t="s">
        <v>34</v>
      </c>
      <c r="C2952" s="22">
        <v>2</v>
      </c>
      <c r="D2952" s="25">
        <v>0</v>
      </c>
      <c r="E2952" s="25">
        <v>-69214511</v>
      </c>
      <c r="F2952" s="25">
        <v>-69214511</v>
      </c>
      <c r="G2952" s="26">
        <v>0</v>
      </c>
      <c r="H2952" s="10" t="str">
        <f t="shared" si="46"/>
        <v>GASTOS</v>
      </c>
      <c r="I2952" s="20">
        <v>2026</v>
      </c>
    </row>
    <row r="2953" spans="1:9" hidden="1" x14ac:dyDescent="0.3">
      <c r="A2953" s="23" t="s">
        <v>155</v>
      </c>
      <c r="B2953" s="24" t="s">
        <v>34</v>
      </c>
      <c r="C2953" s="22">
        <v>3</v>
      </c>
      <c r="D2953" s="25">
        <v>0</v>
      </c>
      <c r="E2953" s="25">
        <v>408049330</v>
      </c>
      <c r="F2953" s="25">
        <v>408049330</v>
      </c>
      <c r="G2953" s="26">
        <v>0</v>
      </c>
      <c r="H2953" s="10" t="str">
        <f t="shared" si="46"/>
        <v>GASTOS</v>
      </c>
      <c r="I2953" s="20">
        <v>2026</v>
      </c>
    </row>
    <row r="2954" spans="1:9" hidden="1" x14ac:dyDescent="0.3">
      <c r="A2954" s="23" t="s">
        <v>155</v>
      </c>
      <c r="B2954" s="24" t="s">
        <v>34</v>
      </c>
      <c r="C2954" s="22">
        <v>4</v>
      </c>
      <c r="D2954" s="25">
        <v>0</v>
      </c>
      <c r="E2954" s="25">
        <v>-338861663.39999998</v>
      </c>
      <c r="F2954" s="25">
        <v>-338861663.39999998</v>
      </c>
      <c r="G2954" s="26">
        <v>0</v>
      </c>
      <c r="H2954" s="10" t="str">
        <f t="shared" si="46"/>
        <v>GASTOS</v>
      </c>
      <c r="I2954" s="20">
        <v>2026</v>
      </c>
    </row>
    <row r="2955" spans="1:9" hidden="1" x14ac:dyDescent="0.3">
      <c r="A2955" s="23" t="s">
        <v>155</v>
      </c>
      <c r="B2955" s="24" t="s">
        <v>35</v>
      </c>
      <c r="C2955" s="22">
        <v>1</v>
      </c>
      <c r="D2955" s="25">
        <v>0</v>
      </c>
      <c r="E2955" s="25">
        <v>46811</v>
      </c>
      <c r="F2955" s="25">
        <v>46811</v>
      </c>
      <c r="G2955" s="26">
        <v>0</v>
      </c>
      <c r="H2955" s="10" t="str">
        <f t="shared" si="46"/>
        <v>GASTOS</v>
      </c>
      <c r="I2955" s="20">
        <v>2026</v>
      </c>
    </row>
    <row r="2956" spans="1:9" hidden="1" x14ac:dyDescent="0.3">
      <c r="A2956" s="23" t="s">
        <v>155</v>
      </c>
      <c r="B2956" s="21" t="s">
        <v>35</v>
      </c>
      <c r="C2956" s="22">
        <v>2</v>
      </c>
      <c r="D2956" s="25">
        <v>0</v>
      </c>
      <c r="E2956" s="25">
        <v>20407</v>
      </c>
      <c r="F2956" s="25">
        <v>20407</v>
      </c>
      <c r="G2956" s="26">
        <v>0</v>
      </c>
      <c r="H2956" s="10" t="str">
        <f t="shared" si="46"/>
        <v>GASTOS</v>
      </c>
      <c r="I2956" s="20">
        <v>2026</v>
      </c>
    </row>
    <row r="2957" spans="1:9" hidden="1" x14ac:dyDescent="0.3">
      <c r="A2957" s="23" t="s">
        <v>155</v>
      </c>
      <c r="B2957" s="23" t="s">
        <v>35</v>
      </c>
      <c r="C2957" s="22">
        <v>3</v>
      </c>
      <c r="D2957" s="25">
        <v>0</v>
      </c>
      <c r="E2957" s="25">
        <v>54839</v>
      </c>
      <c r="F2957" s="25">
        <v>54839</v>
      </c>
      <c r="G2957" s="26">
        <v>0</v>
      </c>
      <c r="H2957" s="10" t="str">
        <f t="shared" si="46"/>
        <v>GASTOS</v>
      </c>
      <c r="I2957" s="20">
        <v>2026</v>
      </c>
    </row>
    <row r="2958" spans="1:9" hidden="1" x14ac:dyDescent="0.3">
      <c r="A2958" s="23" t="s">
        <v>155</v>
      </c>
      <c r="B2958" s="24" t="s">
        <v>35</v>
      </c>
      <c r="C2958" s="22">
        <v>4</v>
      </c>
      <c r="D2958" s="25">
        <v>0</v>
      </c>
      <c r="E2958" s="25">
        <v>269770.99</v>
      </c>
      <c r="F2958" s="25">
        <v>269770.99</v>
      </c>
      <c r="G2958" s="26">
        <v>0</v>
      </c>
      <c r="H2958" s="10" t="str">
        <f t="shared" si="46"/>
        <v>GASTOS</v>
      </c>
      <c r="I2958" s="20">
        <v>2026</v>
      </c>
    </row>
    <row r="2959" spans="1:9" hidden="1" x14ac:dyDescent="0.3">
      <c r="A2959" s="23" t="s">
        <v>155</v>
      </c>
      <c r="B2959" s="24" t="s">
        <v>35</v>
      </c>
      <c r="C2959" s="22">
        <v>2</v>
      </c>
      <c r="D2959" s="25">
        <v>0</v>
      </c>
      <c r="E2959" s="25">
        <v>6912</v>
      </c>
      <c r="F2959" s="25">
        <v>6912</v>
      </c>
      <c r="G2959" s="26">
        <v>0</v>
      </c>
      <c r="H2959" s="10" t="str">
        <f t="shared" si="46"/>
        <v>GASTOS</v>
      </c>
      <c r="I2959" s="20">
        <v>2026</v>
      </c>
    </row>
    <row r="2960" spans="1:9" hidden="1" x14ac:dyDescent="0.3">
      <c r="A2960" s="23" t="s">
        <v>155</v>
      </c>
      <c r="B2960" s="24" t="s">
        <v>35</v>
      </c>
      <c r="C2960" s="22">
        <v>3</v>
      </c>
      <c r="D2960" s="25">
        <v>0</v>
      </c>
      <c r="E2960" s="25">
        <v>14454</v>
      </c>
      <c r="F2960" s="25">
        <v>14454</v>
      </c>
      <c r="G2960" s="26">
        <v>0</v>
      </c>
      <c r="H2960" s="10" t="str">
        <f t="shared" si="46"/>
        <v>GASTOS</v>
      </c>
      <c r="I2960" s="20">
        <v>2026</v>
      </c>
    </row>
    <row r="2961" spans="1:9" hidden="1" x14ac:dyDescent="0.3">
      <c r="A2961" s="23" t="s">
        <v>155</v>
      </c>
      <c r="B2961" s="23" t="s">
        <v>35</v>
      </c>
      <c r="C2961" s="22">
        <v>4</v>
      </c>
      <c r="D2961" s="25">
        <v>0</v>
      </c>
      <c r="E2961" s="25">
        <v>124625</v>
      </c>
      <c r="F2961" s="25">
        <v>124625</v>
      </c>
      <c r="G2961" s="26">
        <v>0</v>
      </c>
      <c r="H2961" s="10" t="str">
        <f t="shared" si="46"/>
        <v>GASTOS</v>
      </c>
      <c r="I2961" s="20">
        <v>2026</v>
      </c>
    </row>
    <row r="2962" spans="1:9" hidden="1" x14ac:dyDescent="0.3">
      <c r="A2962" s="24" t="s">
        <v>229</v>
      </c>
      <c r="B2962" s="24" t="s">
        <v>159</v>
      </c>
      <c r="C2962" s="22">
        <v>4</v>
      </c>
      <c r="D2962" s="25">
        <v>0</v>
      </c>
      <c r="E2962" s="25">
        <v>8657624</v>
      </c>
      <c r="F2962" s="25">
        <v>8657624</v>
      </c>
      <c r="G2962" s="26">
        <v>0</v>
      </c>
      <c r="H2962" s="10" t="str">
        <f t="shared" si="46"/>
        <v>COSTOS</v>
      </c>
      <c r="I2962" s="20">
        <v>2026</v>
      </c>
    </row>
    <row r="2963" spans="1:9" hidden="1" x14ac:dyDescent="0.3">
      <c r="A2963" s="23" t="s">
        <v>245</v>
      </c>
      <c r="B2963" s="23" t="s">
        <v>159</v>
      </c>
      <c r="C2963" s="22">
        <v>1</v>
      </c>
      <c r="D2963" s="25">
        <v>0</v>
      </c>
      <c r="E2963" s="25">
        <v>0</v>
      </c>
      <c r="F2963" s="25">
        <v>0</v>
      </c>
      <c r="G2963" s="26">
        <v>0</v>
      </c>
      <c r="H2963" s="10" t="str">
        <f t="shared" si="46"/>
        <v>COSTOS</v>
      </c>
      <c r="I2963" s="20">
        <v>2026</v>
      </c>
    </row>
    <row r="2964" spans="1:9" hidden="1" x14ac:dyDescent="0.3">
      <c r="A2964" s="24" t="s">
        <v>245</v>
      </c>
      <c r="B2964" s="24" t="s">
        <v>159</v>
      </c>
      <c r="C2964" s="22">
        <v>2</v>
      </c>
      <c r="D2964" s="25">
        <v>0</v>
      </c>
      <c r="E2964" s="25">
        <v>0</v>
      </c>
      <c r="F2964" s="25">
        <v>0</v>
      </c>
      <c r="G2964" s="26">
        <v>0</v>
      </c>
      <c r="H2964" s="10" t="str">
        <f t="shared" si="46"/>
        <v>COSTOS</v>
      </c>
      <c r="I2964" s="20">
        <v>2026</v>
      </c>
    </row>
    <row r="2965" spans="1:9" hidden="1" x14ac:dyDescent="0.3">
      <c r="A2965" s="23" t="s">
        <v>245</v>
      </c>
      <c r="B2965" s="23" t="s">
        <v>159</v>
      </c>
      <c r="C2965" s="22">
        <v>3</v>
      </c>
      <c r="D2965" s="25">
        <v>0</v>
      </c>
      <c r="E2965" s="25">
        <v>0</v>
      </c>
      <c r="F2965" s="25">
        <v>0</v>
      </c>
      <c r="G2965" s="26">
        <v>0</v>
      </c>
      <c r="H2965" s="10" t="str">
        <f t="shared" si="46"/>
        <v>COSTOS</v>
      </c>
      <c r="I2965" s="20">
        <v>2026</v>
      </c>
    </row>
    <row r="2966" spans="1:9" hidden="1" x14ac:dyDescent="0.3">
      <c r="A2966" s="24" t="s">
        <v>245</v>
      </c>
      <c r="B2966" s="24" t="s">
        <v>159</v>
      </c>
      <c r="C2966" s="22">
        <v>4</v>
      </c>
      <c r="D2966" s="25">
        <v>0</v>
      </c>
      <c r="E2966" s="25">
        <v>0</v>
      </c>
      <c r="F2966" s="25">
        <v>0</v>
      </c>
      <c r="G2966" s="26">
        <v>0</v>
      </c>
      <c r="H2966" s="10" t="str">
        <f t="shared" si="46"/>
        <v>COSTOS</v>
      </c>
      <c r="I2966" s="20">
        <v>2026</v>
      </c>
    </row>
    <row r="2967" spans="1:9" hidden="1" x14ac:dyDescent="0.3">
      <c r="A2967" s="23" t="s">
        <v>67</v>
      </c>
      <c r="B2967" s="23" t="s">
        <v>168</v>
      </c>
      <c r="C2967" s="22">
        <v>1</v>
      </c>
      <c r="D2967" s="25">
        <v>0</v>
      </c>
      <c r="E2967" s="25">
        <v>300000</v>
      </c>
      <c r="F2967" s="25">
        <v>300000</v>
      </c>
      <c r="G2967" s="26">
        <v>0</v>
      </c>
      <c r="H2967" s="10" t="str">
        <f t="shared" si="46"/>
        <v>COSTOS</v>
      </c>
      <c r="I2967" s="20">
        <v>2026</v>
      </c>
    </row>
    <row r="2968" spans="1:9" hidden="1" x14ac:dyDescent="0.3">
      <c r="A2968" s="24" t="s">
        <v>67</v>
      </c>
      <c r="B2968" s="24" t="s">
        <v>168</v>
      </c>
      <c r="C2968" s="22">
        <v>2</v>
      </c>
      <c r="D2968" s="25">
        <v>0</v>
      </c>
      <c r="E2968" s="25">
        <v>0</v>
      </c>
      <c r="F2968" s="25">
        <v>0</v>
      </c>
      <c r="G2968" s="26">
        <v>0</v>
      </c>
      <c r="H2968" s="10" t="str">
        <f t="shared" si="46"/>
        <v>COSTOS</v>
      </c>
      <c r="I2968" s="20">
        <v>2026</v>
      </c>
    </row>
    <row r="2969" spans="1:9" hidden="1" x14ac:dyDescent="0.3">
      <c r="A2969" s="24" t="s">
        <v>67</v>
      </c>
      <c r="B2969" s="24" t="s">
        <v>168</v>
      </c>
      <c r="C2969" s="22">
        <v>3</v>
      </c>
      <c r="D2969" s="25">
        <v>0</v>
      </c>
      <c r="E2969" s="25">
        <v>0</v>
      </c>
      <c r="F2969" s="25">
        <v>0</v>
      </c>
      <c r="G2969" s="26">
        <v>0</v>
      </c>
      <c r="H2969" s="10" t="str">
        <f t="shared" si="46"/>
        <v>COSTOS</v>
      </c>
      <c r="I2969" s="20">
        <v>2026</v>
      </c>
    </row>
    <row r="2970" spans="1:9" hidden="1" x14ac:dyDescent="0.3">
      <c r="A2970" s="21" t="s">
        <v>67</v>
      </c>
      <c r="B2970" s="21" t="s">
        <v>168</v>
      </c>
      <c r="C2970" s="22">
        <v>4</v>
      </c>
      <c r="D2970" s="25">
        <v>0</v>
      </c>
      <c r="E2970" s="25">
        <v>0</v>
      </c>
      <c r="F2970" s="25">
        <v>0</v>
      </c>
      <c r="G2970" s="26">
        <v>0</v>
      </c>
      <c r="H2970" s="10" t="str">
        <f t="shared" si="46"/>
        <v>COSTOS</v>
      </c>
      <c r="I2970" s="20">
        <v>2026</v>
      </c>
    </row>
    <row r="2971" spans="1:9" hidden="1" x14ac:dyDescent="0.3">
      <c r="A2971" s="23" t="s">
        <v>101</v>
      </c>
      <c r="B2971" s="23" t="s">
        <v>51</v>
      </c>
      <c r="C2971" s="22">
        <v>1</v>
      </c>
      <c r="D2971" s="25">
        <v>0</v>
      </c>
      <c r="E2971" s="25">
        <v>0</v>
      </c>
      <c r="F2971" s="25">
        <v>0</v>
      </c>
      <c r="G2971" s="26">
        <v>0</v>
      </c>
      <c r="H2971" s="10" t="str">
        <f t="shared" si="46"/>
        <v>COSTOS</v>
      </c>
      <c r="I2971" s="20">
        <v>2026</v>
      </c>
    </row>
    <row r="2972" spans="1:9" hidden="1" x14ac:dyDescent="0.3">
      <c r="A2972" s="24" t="s">
        <v>101</v>
      </c>
      <c r="B2972" s="24" t="s">
        <v>51</v>
      </c>
      <c r="C2972" s="22">
        <v>2</v>
      </c>
      <c r="D2972" s="25">
        <v>0</v>
      </c>
      <c r="E2972" s="25">
        <v>0</v>
      </c>
      <c r="F2972" s="25">
        <v>0</v>
      </c>
      <c r="G2972" s="26">
        <v>0</v>
      </c>
      <c r="H2972" s="10" t="str">
        <f t="shared" si="46"/>
        <v>COSTOS</v>
      </c>
      <c r="I2972" s="20">
        <v>2026</v>
      </c>
    </row>
    <row r="2973" spans="1:9" hidden="1" x14ac:dyDescent="0.3">
      <c r="A2973" s="23" t="s">
        <v>101</v>
      </c>
      <c r="B2973" s="23" t="s">
        <v>51</v>
      </c>
      <c r="C2973" s="22">
        <v>3</v>
      </c>
      <c r="D2973" s="25">
        <v>2460576</v>
      </c>
      <c r="E2973" s="25">
        <v>2460576</v>
      </c>
      <c r="F2973" s="25">
        <v>0</v>
      </c>
      <c r="G2973" s="26">
        <v>1</v>
      </c>
      <c r="H2973" s="10" t="str">
        <f t="shared" si="46"/>
        <v>COSTOS</v>
      </c>
      <c r="I2973" s="20">
        <v>2026</v>
      </c>
    </row>
    <row r="2974" spans="1:9" hidden="1" x14ac:dyDescent="0.3">
      <c r="A2974" s="24" t="s">
        <v>101</v>
      </c>
      <c r="B2974" s="24" t="s">
        <v>51</v>
      </c>
      <c r="C2974" s="22">
        <v>4</v>
      </c>
      <c r="D2974" s="25">
        <v>8660531</v>
      </c>
      <c r="E2974" s="25">
        <v>6140335</v>
      </c>
      <c r="F2974" s="25">
        <v>-2520196</v>
      </c>
      <c r="G2974" s="26">
        <v>0.70900213855247451</v>
      </c>
      <c r="H2974" s="10" t="str">
        <f t="shared" si="46"/>
        <v>COSTOS</v>
      </c>
      <c r="I2974" s="20">
        <v>2026</v>
      </c>
    </row>
    <row r="2975" spans="1:9" hidden="1" x14ac:dyDescent="0.3">
      <c r="A2975" s="21" t="s">
        <v>146</v>
      </c>
      <c r="B2975" s="21" t="s">
        <v>169</v>
      </c>
      <c r="C2975" s="22">
        <v>1</v>
      </c>
      <c r="D2975" s="25">
        <v>0</v>
      </c>
      <c r="E2975" s="25">
        <v>0</v>
      </c>
      <c r="F2975" s="25">
        <v>0</v>
      </c>
      <c r="G2975" s="26">
        <v>0</v>
      </c>
      <c r="H2975" s="10" t="str">
        <f t="shared" si="46"/>
        <v>COSTOS</v>
      </c>
      <c r="I2975" s="20">
        <v>2026</v>
      </c>
    </row>
    <row r="2976" spans="1:9" hidden="1" x14ac:dyDescent="0.3">
      <c r="A2976" s="23" t="s">
        <v>146</v>
      </c>
      <c r="B2976" s="23" t="s">
        <v>169</v>
      </c>
      <c r="C2976" s="22">
        <v>2</v>
      </c>
      <c r="D2976" s="25">
        <v>10118000</v>
      </c>
      <c r="E2976" s="25">
        <v>10118000</v>
      </c>
      <c r="F2976" s="25">
        <v>0</v>
      </c>
      <c r="G2976" s="26">
        <v>1</v>
      </c>
      <c r="H2976" s="10" t="str">
        <f t="shared" si="46"/>
        <v>COSTOS</v>
      </c>
      <c r="I2976" s="20">
        <v>2026</v>
      </c>
    </row>
    <row r="2977" spans="1:9" hidden="1" x14ac:dyDescent="0.3">
      <c r="A2977" s="24" t="s">
        <v>146</v>
      </c>
      <c r="B2977" s="24" t="s">
        <v>169</v>
      </c>
      <c r="C2977" s="22">
        <v>3</v>
      </c>
      <c r="D2977" s="25">
        <v>0</v>
      </c>
      <c r="E2977" s="25">
        <v>0</v>
      </c>
      <c r="F2977" s="25">
        <v>0</v>
      </c>
      <c r="G2977" s="26">
        <v>0</v>
      </c>
      <c r="H2977" s="10" t="str">
        <f t="shared" si="46"/>
        <v>COSTOS</v>
      </c>
      <c r="I2977" s="20">
        <v>2026</v>
      </c>
    </row>
    <row r="2978" spans="1:9" hidden="1" x14ac:dyDescent="0.3">
      <c r="A2978" s="24" t="s">
        <v>146</v>
      </c>
      <c r="B2978" s="24" t="s">
        <v>169</v>
      </c>
      <c r="C2978" s="22">
        <v>4</v>
      </c>
      <c r="D2978" s="25">
        <v>0</v>
      </c>
      <c r="E2978" s="25">
        <v>0</v>
      </c>
      <c r="F2978" s="25">
        <v>0</v>
      </c>
      <c r="G2978" s="26">
        <v>0</v>
      </c>
      <c r="H2978" s="10" t="str">
        <f t="shared" si="46"/>
        <v>COSTOS</v>
      </c>
      <c r="I2978" s="20">
        <v>2026</v>
      </c>
    </row>
    <row r="2979" spans="1:9" hidden="1" x14ac:dyDescent="0.3">
      <c r="A2979" s="24" t="s">
        <v>147</v>
      </c>
      <c r="B2979" s="24" t="s">
        <v>169</v>
      </c>
      <c r="C2979" s="22">
        <v>1</v>
      </c>
      <c r="D2979" s="25">
        <v>0</v>
      </c>
      <c r="E2979" s="25">
        <v>0</v>
      </c>
      <c r="F2979" s="25">
        <v>0</v>
      </c>
      <c r="G2979" s="26">
        <v>0</v>
      </c>
      <c r="H2979" s="10" t="str">
        <f t="shared" si="46"/>
        <v>COSTOS</v>
      </c>
      <c r="I2979" s="20">
        <v>2026</v>
      </c>
    </row>
    <row r="2980" spans="1:9" hidden="1" x14ac:dyDescent="0.3">
      <c r="A2980" s="23" t="s">
        <v>147</v>
      </c>
      <c r="B2980" s="23" t="s">
        <v>169</v>
      </c>
      <c r="C2980" s="22">
        <v>2</v>
      </c>
      <c r="D2980" s="25">
        <v>4185000</v>
      </c>
      <c r="E2980" s="25">
        <v>4185000</v>
      </c>
      <c r="F2980" s="25">
        <v>0</v>
      </c>
      <c r="G2980" s="26">
        <v>1</v>
      </c>
      <c r="H2980" s="10" t="str">
        <f t="shared" si="46"/>
        <v>COSTOS</v>
      </c>
      <c r="I2980" s="20">
        <v>2026</v>
      </c>
    </row>
    <row r="2981" spans="1:9" hidden="1" x14ac:dyDescent="0.3">
      <c r="A2981" s="24" t="s">
        <v>147</v>
      </c>
      <c r="B2981" s="24" t="s">
        <v>169</v>
      </c>
      <c r="C2981" s="22">
        <v>3</v>
      </c>
      <c r="D2981" s="25">
        <v>0</v>
      </c>
      <c r="E2981" s="25">
        <v>0</v>
      </c>
      <c r="F2981" s="25">
        <v>0</v>
      </c>
      <c r="G2981" s="26">
        <v>0</v>
      </c>
      <c r="H2981" s="10" t="str">
        <f t="shared" si="46"/>
        <v>COSTOS</v>
      </c>
      <c r="I2981" s="20">
        <v>2026</v>
      </c>
    </row>
    <row r="2982" spans="1:9" hidden="1" x14ac:dyDescent="0.3">
      <c r="A2982" s="24" t="s">
        <v>147</v>
      </c>
      <c r="B2982" s="24" t="s">
        <v>169</v>
      </c>
      <c r="C2982" s="22">
        <v>4</v>
      </c>
      <c r="D2982" s="25">
        <v>0</v>
      </c>
      <c r="E2982" s="25">
        <v>0</v>
      </c>
      <c r="F2982" s="25">
        <v>0</v>
      </c>
      <c r="G2982" s="26">
        <v>0</v>
      </c>
      <c r="H2982" s="10" t="str">
        <f t="shared" si="46"/>
        <v>COSTOS</v>
      </c>
      <c r="I2982" s="20">
        <v>2026</v>
      </c>
    </row>
    <row r="2983" spans="1:9" hidden="1" x14ac:dyDescent="0.3">
      <c r="A2983" s="24" t="s">
        <v>67</v>
      </c>
      <c r="B2983" s="24" t="s">
        <v>249</v>
      </c>
      <c r="C2983" s="22">
        <v>2</v>
      </c>
      <c r="D2983" s="25">
        <v>0</v>
      </c>
      <c r="E2983" s="25">
        <v>564000</v>
      </c>
      <c r="F2983" s="25">
        <v>564000</v>
      </c>
      <c r="G2983" s="26">
        <v>0</v>
      </c>
      <c r="H2983" s="10" t="str">
        <f t="shared" si="46"/>
        <v>COSTOS</v>
      </c>
      <c r="I2983" s="20">
        <v>2026</v>
      </c>
    </row>
    <row r="2984" spans="1:9" hidden="1" x14ac:dyDescent="0.3">
      <c r="A2984" s="23" t="s">
        <v>67</v>
      </c>
      <c r="B2984" s="23" t="s">
        <v>249</v>
      </c>
      <c r="C2984" s="22">
        <v>3</v>
      </c>
      <c r="D2984" s="25">
        <v>0</v>
      </c>
      <c r="E2984" s="25">
        <v>0</v>
      </c>
      <c r="F2984" s="25">
        <v>0</v>
      </c>
      <c r="G2984" s="26">
        <v>0</v>
      </c>
      <c r="H2984" s="10" t="str">
        <f t="shared" si="46"/>
        <v>COSTOS</v>
      </c>
      <c r="I2984" s="20">
        <v>2026</v>
      </c>
    </row>
    <row r="2985" spans="1:9" hidden="1" x14ac:dyDescent="0.3">
      <c r="A2985" s="24" t="s">
        <v>67</v>
      </c>
      <c r="B2985" s="24" t="s">
        <v>249</v>
      </c>
      <c r="C2985" s="22">
        <v>4</v>
      </c>
      <c r="D2985" s="25">
        <v>0</v>
      </c>
      <c r="E2985" s="25">
        <v>0</v>
      </c>
      <c r="F2985" s="25">
        <v>0</v>
      </c>
      <c r="G2985" s="26">
        <v>0</v>
      </c>
      <c r="H2985" s="10" t="str">
        <f t="shared" si="46"/>
        <v>COSTOS</v>
      </c>
      <c r="I2985" s="20">
        <v>2026</v>
      </c>
    </row>
    <row r="2986" spans="1:9" hidden="1" x14ac:dyDescent="0.3">
      <c r="A2986" s="24" t="s">
        <v>101</v>
      </c>
      <c r="B2986" s="24" t="s">
        <v>220</v>
      </c>
      <c r="C2986" s="22">
        <v>1</v>
      </c>
      <c r="D2986" s="25">
        <v>0</v>
      </c>
      <c r="E2986" s="25">
        <v>0</v>
      </c>
      <c r="F2986" s="25">
        <v>0</v>
      </c>
      <c r="G2986" s="26">
        <v>0</v>
      </c>
      <c r="H2986" s="10" t="str">
        <f t="shared" si="46"/>
        <v>COSTOS</v>
      </c>
      <c r="I2986" s="20">
        <v>2026</v>
      </c>
    </row>
    <row r="2987" spans="1:9" hidden="1" x14ac:dyDescent="0.3">
      <c r="A2987" s="24" t="s">
        <v>101</v>
      </c>
      <c r="B2987" s="24" t="s">
        <v>220</v>
      </c>
      <c r="C2987" s="22">
        <v>2</v>
      </c>
      <c r="D2987" s="25">
        <v>56250</v>
      </c>
      <c r="E2987" s="25">
        <v>56250</v>
      </c>
      <c r="F2987" s="25">
        <v>0</v>
      </c>
      <c r="G2987" s="26">
        <v>1</v>
      </c>
      <c r="H2987" s="10" t="str">
        <f t="shared" si="46"/>
        <v>COSTOS</v>
      </c>
      <c r="I2987" s="20">
        <v>2026</v>
      </c>
    </row>
    <row r="2988" spans="1:9" hidden="1" x14ac:dyDescent="0.3">
      <c r="A2988" s="23" t="s">
        <v>101</v>
      </c>
      <c r="B2988" s="23" t="s">
        <v>220</v>
      </c>
      <c r="C2988" s="22">
        <v>3</v>
      </c>
      <c r="D2988" s="25">
        <v>0</v>
      </c>
      <c r="E2988" s="25">
        <v>0</v>
      </c>
      <c r="F2988" s="25">
        <v>0</v>
      </c>
      <c r="G2988" s="26">
        <v>0</v>
      </c>
      <c r="H2988" s="10" t="str">
        <f t="shared" si="46"/>
        <v>COSTOS</v>
      </c>
      <c r="I2988" s="20">
        <v>2026</v>
      </c>
    </row>
    <row r="2989" spans="1:9" hidden="1" x14ac:dyDescent="0.3">
      <c r="A2989" s="24" t="s">
        <v>101</v>
      </c>
      <c r="B2989" s="24" t="s">
        <v>220</v>
      </c>
      <c r="C2989" s="22">
        <v>4</v>
      </c>
      <c r="D2989" s="25">
        <v>0</v>
      </c>
      <c r="E2989" s="25">
        <v>0</v>
      </c>
      <c r="F2989" s="25">
        <v>0</v>
      </c>
      <c r="G2989" s="26">
        <v>0</v>
      </c>
      <c r="H2989" s="10" t="str">
        <f t="shared" si="46"/>
        <v>COSTOS</v>
      </c>
      <c r="I2989" s="20">
        <v>2026</v>
      </c>
    </row>
    <row r="2990" spans="1:9" x14ac:dyDescent="0.3">
      <c r="A2990" s="24" t="s">
        <v>114</v>
      </c>
      <c r="B2990" s="24" t="s">
        <v>54</v>
      </c>
      <c r="C2990" s="22">
        <v>1</v>
      </c>
      <c r="D2990" s="25">
        <v>0</v>
      </c>
      <c r="E2990" s="25">
        <v>3760896</v>
      </c>
      <c r="F2990" s="25">
        <v>3760896</v>
      </c>
      <c r="G2990" s="26">
        <v>0</v>
      </c>
      <c r="H2990" s="10" t="str">
        <f t="shared" ref="H2990:H3053" si="47">+IF(OR(A2990="ADMINISTRACION",A2990="COMERCIAL",A2990="COMERCIAL-EXPORTACIONES",A2990="LEASING DE LA BODEGA",A2990="LOGISTICA-SALIDA",A2990="OTROS GASTOS",A2990="BODEGA ALQUILADA", A2990="BODEGA CARTOPLAST", A2990="BODEGA CARTOPLAS", A2990= "GESTION HUMANA-OTROS GASTOS",A2990="FAMILIA"),"GASTOS","COSTOS")</f>
        <v>COSTOS</v>
      </c>
      <c r="I2990" s="20">
        <v>2026</v>
      </c>
    </row>
    <row r="2991" spans="1:9" x14ac:dyDescent="0.3">
      <c r="A2991" s="24" t="s">
        <v>114</v>
      </c>
      <c r="B2991" s="24" t="s">
        <v>54</v>
      </c>
      <c r="C2991" s="22">
        <v>2</v>
      </c>
      <c r="D2991" s="25">
        <v>0</v>
      </c>
      <c r="E2991" s="25">
        <v>0</v>
      </c>
      <c r="F2991" s="25">
        <v>0</v>
      </c>
      <c r="G2991" s="26">
        <v>0</v>
      </c>
      <c r="H2991" s="10" t="str">
        <f t="shared" si="47"/>
        <v>COSTOS</v>
      </c>
      <c r="I2991" s="20">
        <v>2026</v>
      </c>
    </row>
    <row r="2992" spans="1:9" x14ac:dyDescent="0.3">
      <c r="A2992" s="23" t="s">
        <v>114</v>
      </c>
      <c r="B2992" s="23" t="s">
        <v>54</v>
      </c>
      <c r="C2992" s="22">
        <v>3</v>
      </c>
      <c r="D2992" s="25">
        <v>0</v>
      </c>
      <c r="E2992" s="25">
        <v>0</v>
      </c>
      <c r="F2992" s="25">
        <v>0</v>
      </c>
      <c r="G2992" s="26">
        <v>0</v>
      </c>
      <c r="H2992" s="10" t="str">
        <f t="shared" si="47"/>
        <v>COSTOS</v>
      </c>
      <c r="I2992" s="20">
        <v>2026</v>
      </c>
    </row>
    <row r="2993" spans="1:9" x14ac:dyDescent="0.3">
      <c r="A2993" s="24" t="s">
        <v>114</v>
      </c>
      <c r="B2993" s="24" t="s">
        <v>54</v>
      </c>
      <c r="C2993" s="22">
        <v>4</v>
      </c>
      <c r="D2993" s="25">
        <v>0</v>
      </c>
      <c r="E2993" s="25">
        <v>0</v>
      </c>
      <c r="F2993" s="25">
        <v>0</v>
      </c>
      <c r="G2993" s="26">
        <v>0</v>
      </c>
      <c r="H2993" s="10" t="str">
        <f t="shared" si="47"/>
        <v>COSTOS</v>
      </c>
      <c r="I2993" s="20">
        <v>2026</v>
      </c>
    </row>
    <row r="2994" spans="1:9" x14ac:dyDescent="0.3">
      <c r="A2994" s="24" t="s">
        <v>154</v>
      </c>
      <c r="B2994" s="24" t="s">
        <v>54</v>
      </c>
      <c r="C2994" s="22">
        <v>3</v>
      </c>
      <c r="D2994" s="25">
        <v>0</v>
      </c>
      <c r="E2994" s="25">
        <v>1105000</v>
      </c>
      <c r="F2994" s="25">
        <v>1105000</v>
      </c>
      <c r="G2994" s="26">
        <v>0</v>
      </c>
      <c r="H2994" s="10" t="str">
        <f t="shared" si="47"/>
        <v>COSTOS</v>
      </c>
      <c r="I2994" s="20">
        <v>2026</v>
      </c>
    </row>
    <row r="2995" spans="1:9" x14ac:dyDescent="0.3">
      <c r="A2995" s="24" t="s">
        <v>154</v>
      </c>
      <c r="B2995" s="24" t="s">
        <v>54</v>
      </c>
      <c r="C2995" s="22">
        <v>4</v>
      </c>
      <c r="D2995" s="25">
        <v>0</v>
      </c>
      <c r="E2995" s="25">
        <v>0</v>
      </c>
      <c r="F2995" s="25">
        <v>0</v>
      </c>
      <c r="G2995" s="26">
        <v>0</v>
      </c>
      <c r="H2995" s="10" t="str">
        <f t="shared" si="47"/>
        <v>COSTOS</v>
      </c>
      <c r="I2995" s="20">
        <v>2026</v>
      </c>
    </row>
    <row r="2996" spans="1:9" x14ac:dyDescent="0.3">
      <c r="A2996" s="23" t="s">
        <v>132</v>
      </c>
      <c r="B2996" s="23" t="s">
        <v>54</v>
      </c>
      <c r="C2996" s="22">
        <v>1</v>
      </c>
      <c r="D2996" s="25">
        <v>0</v>
      </c>
      <c r="E2996" s="25">
        <v>506390</v>
      </c>
      <c r="F2996" s="25">
        <v>506390</v>
      </c>
      <c r="G2996" s="26">
        <v>0</v>
      </c>
      <c r="H2996" s="10" t="str">
        <f t="shared" si="47"/>
        <v>COSTOS</v>
      </c>
      <c r="I2996" s="20">
        <v>2026</v>
      </c>
    </row>
    <row r="2997" spans="1:9" x14ac:dyDescent="0.3">
      <c r="A2997" s="24" t="s">
        <v>132</v>
      </c>
      <c r="B2997" s="24" t="s">
        <v>54</v>
      </c>
      <c r="C2997" s="22">
        <v>2</v>
      </c>
      <c r="D2997" s="25">
        <v>0</v>
      </c>
      <c r="E2997" s="25">
        <v>60000</v>
      </c>
      <c r="F2997" s="25">
        <v>60000</v>
      </c>
      <c r="G2997" s="26">
        <v>0</v>
      </c>
      <c r="H2997" s="10" t="str">
        <f t="shared" si="47"/>
        <v>COSTOS</v>
      </c>
      <c r="I2997" s="20">
        <v>2026</v>
      </c>
    </row>
    <row r="2998" spans="1:9" x14ac:dyDescent="0.3">
      <c r="A2998" s="24" t="s">
        <v>132</v>
      </c>
      <c r="B2998" s="24" t="s">
        <v>54</v>
      </c>
      <c r="C2998" s="22">
        <v>3</v>
      </c>
      <c r="D2998" s="25">
        <v>0</v>
      </c>
      <c r="E2998" s="25">
        <v>192010</v>
      </c>
      <c r="F2998" s="25">
        <v>192010</v>
      </c>
      <c r="G2998" s="26">
        <v>0</v>
      </c>
      <c r="H2998" s="10" t="str">
        <f t="shared" si="47"/>
        <v>COSTOS</v>
      </c>
      <c r="I2998" s="20">
        <v>2026</v>
      </c>
    </row>
    <row r="2999" spans="1:9" x14ac:dyDescent="0.3">
      <c r="A2999" s="24" t="s">
        <v>132</v>
      </c>
      <c r="B2999" s="24" t="s">
        <v>54</v>
      </c>
      <c r="C2999" s="22">
        <v>4</v>
      </c>
      <c r="D2999" s="25">
        <v>0</v>
      </c>
      <c r="E2999" s="25">
        <v>0</v>
      </c>
      <c r="F2999" s="25">
        <v>0</v>
      </c>
      <c r="G2999" s="26">
        <v>0</v>
      </c>
      <c r="H2999" s="10" t="str">
        <f t="shared" si="47"/>
        <v>COSTOS</v>
      </c>
      <c r="I2999" s="20">
        <v>2026</v>
      </c>
    </row>
    <row r="3000" spans="1:9" x14ac:dyDescent="0.3">
      <c r="A3000" s="23" t="s">
        <v>138</v>
      </c>
      <c r="B3000" s="23" t="s">
        <v>54</v>
      </c>
      <c r="C3000" s="22">
        <v>1</v>
      </c>
      <c r="D3000" s="25">
        <v>0</v>
      </c>
      <c r="E3000" s="25">
        <v>1460000</v>
      </c>
      <c r="F3000" s="25">
        <v>1460000</v>
      </c>
      <c r="G3000" s="26">
        <v>0</v>
      </c>
      <c r="H3000" s="10" t="str">
        <f t="shared" si="47"/>
        <v>COSTOS</v>
      </c>
      <c r="I3000" s="20">
        <v>2026</v>
      </c>
    </row>
    <row r="3001" spans="1:9" x14ac:dyDescent="0.3">
      <c r="A3001" s="24" t="s">
        <v>138</v>
      </c>
      <c r="B3001" s="24" t="s">
        <v>54</v>
      </c>
      <c r="C3001" s="22">
        <v>2</v>
      </c>
      <c r="D3001" s="25">
        <v>0</v>
      </c>
      <c r="E3001" s="25">
        <v>0</v>
      </c>
      <c r="F3001" s="25">
        <v>0</v>
      </c>
      <c r="G3001" s="26">
        <v>0</v>
      </c>
      <c r="H3001" s="10" t="str">
        <f t="shared" si="47"/>
        <v>COSTOS</v>
      </c>
      <c r="I3001" s="20">
        <v>2026</v>
      </c>
    </row>
    <row r="3002" spans="1:9" x14ac:dyDescent="0.3">
      <c r="A3002" s="24" t="s">
        <v>138</v>
      </c>
      <c r="B3002" s="24" t="s">
        <v>54</v>
      </c>
      <c r="C3002" s="22">
        <v>3</v>
      </c>
      <c r="D3002" s="25">
        <v>0</v>
      </c>
      <c r="E3002" s="25">
        <v>0</v>
      </c>
      <c r="F3002" s="25">
        <v>0</v>
      </c>
      <c r="G3002" s="26">
        <v>0</v>
      </c>
      <c r="H3002" s="10" t="str">
        <f t="shared" si="47"/>
        <v>COSTOS</v>
      </c>
      <c r="I3002" s="20">
        <v>2026</v>
      </c>
    </row>
    <row r="3003" spans="1:9" x14ac:dyDescent="0.3">
      <c r="A3003" s="24" t="s">
        <v>138</v>
      </c>
      <c r="B3003" s="24" t="s">
        <v>54</v>
      </c>
      <c r="C3003" s="22">
        <v>4</v>
      </c>
      <c r="D3003" s="25">
        <v>0</v>
      </c>
      <c r="E3003" s="25">
        <v>0</v>
      </c>
      <c r="F3003" s="25">
        <v>0</v>
      </c>
      <c r="G3003" s="26">
        <v>0</v>
      </c>
      <c r="H3003" s="10" t="str">
        <f t="shared" si="47"/>
        <v>COSTOS</v>
      </c>
      <c r="I3003" s="20">
        <v>2026</v>
      </c>
    </row>
    <row r="3004" spans="1:9" x14ac:dyDescent="0.3">
      <c r="A3004" s="23" t="s">
        <v>139</v>
      </c>
      <c r="B3004" s="23" t="s">
        <v>54</v>
      </c>
      <c r="C3004" s="22">
        <v>1</v>
      </c>
      <c r="D3004" s="25">
        <v>0</v>
      </c>
      <c r="E3004" s="25">
        <v>13760</v>
      </c>
      <c r="F3004" s="25">
        <v>13760</v>
      </c>
      <c r="G3004" s="26">
        <v>0</v>
      </c>
      <c r="H3004" s="10" t="str">
        <f t="shared" si="47"/>
        <v>COSTOS</v>
      </c>
      <c r="I3004" s="20">
        <v>2026</v>
      </c>
    </row>
    <row r="3005" spans="1:9" x14ac:dyDescent="0.3">
      <c r="A3005" s="24" t="s">
        <v>139</v>
      </c>
      <c r="B3005" s="24" t="s">
        <v>54</v>
      </c>
      <c r="C3005" s="22">
        <v>2</v>
      </c>
      <c r="D3005" s="25">
        <v>0</v>
      </c>
      <c r="E3005" s="25">
        <v>0</v>
      </c>
      <c r="F3005" s="25">
        <v>0</v>
      </c>
      <c r="G3005" s="26">
        <v>0</v>
      </c>
      <c r="H3005" s="10" t="str">
        <f t="shared" si="47"/>
        <v>COSTOS</v>
      </c>
      <c r="I3005" s="20">
        <v>2026</v>
      </c>
    </row>
    <row r="3006" spans="1:9" x14ac:dyDescent="0.3">
      <c r="A3006" s="24" t="s">
        <v>139</v>
      </c>
      <c r="B3006" s="24" t="s">
        <v>54</v>
      </c>
      <c r="C3006" s="22">
        <v>3</v>
      </c>
      <c r="D3006" s="25">
        <v>0</v>
      </c>
      <c r="E3006" s="25">
        <v>0</v>
      </c>
      <c r="F3006" s="25">
        <v>0</v>
      </c>
      <c r="G3006" s="26">
        <v>0</v>
      </c>
      <c r="H3006" s="10" t="str">
        <f t="shared" si="47"/>
        <v>COSTOS</v>
      </c>
      <c r="I3006" s="20">
        <v>2026</v>
      </c>
    </row>
    <row r="3007" spans="1:9" x14ac:dyDescent="0.3">
      <c r="A3007" s="24" t="s">
        <v>139</v>
      </c>
      <c r="B3007" s="24" t="s">
        <v>54</v>
      </c>
      <c r="C3007" s="22">
        <v>4</v>
      </c>
      <c r="D3007" s="25">
        <v>0</v>
      </c>
      <c r="E3007" s="25">
        <v>0</v>
      </c>
      <c r="F3007" s="25">
        <v>0</v>
      </c>
      <c r="G3007" s="26">
        <v>0</v>
      </c>
      <c r="H3007" s="10" t="str">
        <f t="shared" si="47"/>
        <v>COSTOS</v>
      </c>
      <c r="I3007" s="20">
        <v>2026</v>
      </c>
    </row>
    <row r="3008" spans="1:9" x14ac:dyDescent="0.3">
      <c r="A3008" s="23" t="s">
        <v>140</v>
      </c>
      <c r="B3008" s="23" t="s">
        <v>54</v>
      </c>
      <c r="C3008" s="22">
        <v>2</v>
      </c>
      <c r="D3008" s="25">
        <v>0</v>
      </c>
      <c r="E3008" s="25">
        <v>36000</v>
      </c>
      <c r="F3008" s="25">
        <v>36000</v>
      </c>
      <c r="G3008" s="26">
        <v>0</v>
      </c>
      <c r="H3008" s="10" t="str">
        <f t="shared" si="47"/>
        <v>COSTOS</v>
      </c>
      <c r="I3008" s="20">
        <v>2026</v>
      </c>
    </row>
    <row r="3009" spans="1:9" x14ac:dyDescent="0.3">
      <c r="A3009" s="24" t="s">
        <v>140</v>
      </c>
      <c r="B3009" s="24" t="s">
        <v>54</v>
      </c>
      <c r="C3009" s="22">
        <v>3</v>
      </c>
      <c r="D3009" s="25">
        <v>0</v>
      </c>
      <c r="E3009" s="25">
        <v>0</v>
      </c>
      <c r="F3009" s="25">
        <v>0</v>
      </c>
      <c r="G3009" s="26">
        <v>0</v>
      </c>
      <c r="H3009" s="10" t="str">
        <f t="shared" si="47"/>
        <v>COSTOS</v>
      </c>
      <c r="I3009" s="20">
        <v>2026</v>
      </c>
    </row>
    <row r="3010" spans="1:9" x14ac:dyDescent="0.3">
      <c r="A3010" s="24" t="s">
        <v>140</v>
      </c>
      <c r="B3010" s="24" t="s">
        <v>54</v>
      </c>
      <c r="C3010" s="22">
        <v>4</v>
      </c>
      <c r="D3010" s="25">
        <v>0</v>
      </c>
      <c r="E3010" s="25">
        <v>0</v>
      </c>
      <c r="F3010" s="25">
        <v>0</v>
      </c>
      <c r="G3010" s="26">
        <v>0</v>
      </c>
      <c r="H3010" s="10" t="str">
        <f t="shared" si="47"/>
        <v>COSTOS</v>
      </c>
      <c r="I3010" s="20">
        <v>2026</v>
      </c>
    </row>
    <row r="3011" spans="1:9" x14ac:dyDescent="0.3">
      <c r="A3011" s="24" t="s">
        <v>142</v>
      </c>
      <c r="B3011" s="24" t="s">
        <v>54</v>
      </c>
      <c r="C3011" s="22">
        <v>2</v>
      </c>
      <c r="D3011" s="25">
        <v>0</v>
      </c>
      <c r="E3011" s="25">
        <v>3024500</v>
      </c>
      <c r="F3011" s="25">
        <v>3024500</v>
      </c>
      <c r="G3011" s="26">
        <v>0</v>
      </c>
      <c r="H3011" s="10" t="str">
        <f t="shared" si="47"/>
        <v>COSTOS</v>
      </c>
      <c r="I3011" s="20">
        <v>2026</v>
      </c>
    </row>
    <row r="3012" spans="1:9" x14ac:dyDescent="0.3">
      <c r="A3012" s="23" t="s">
        <v>142</v>
      </c>
      <c r="B3012" s="23" t="s">
        <v>54</v>
      </c>
      <c r="C3012" s="22">
        <v>3</v>
      </c>
      <c r="D3012" s="25">
        <v>0</v>
      </c>
      <c r="E3012" s="25">
        <v>126050</v>
      </c>
      <c r="F3012" s="25">
        <v>126050</v>
      </c>
      <c r="G3012" s="26">
        <v>0</v>
      </c>
      <c r="H3012" s="10" t="str">
        <f t="shared" si="47"/>
        <v>COSTOS</v>
      </c>
      <c r="I3012" s="20">
        <v>2026</v>
      </c>
    </row>
    <row r="3013" spans="1:9" x14ac:dyDescent="0.3">
      <c r="A3013" s="24" t="s">
        <v>142</v>
      </c>
      <c r="B3013" s="24" t="s">
        <v>54</v>
      </c>
      <c r="C3013" s="22">
        <v>4</v>
      </c>
      <c r="D3013" s="25">
        <v>0</v>
      </c>
      <c r="E3013" s="25">
        <v>387200</v>
      </c>
      <c r="F3013" s="25">
        <v>387200</v>
      </c>
      <c r="G3013" s="26">
        <v>0</v>
      </c>
      <c r="H3013" s="10" t="str">
        <f t="shared" si="47"/>
        <v>COSTOS</v>
      </c>
      <c r="I3013" s="20">
        <v>2026</v>
      </c>
    </row>
    <row r="3014" spans="1:9" x14ac:dyDescent="0.3">
      <c r="A3014" s="24" t="s">
        <v>143</v>
      </c>
      <c r="B3014" s="24" t="s">
        <v>54</v>
      </c>
      <c r="C3014" s="22">
        <v>2</v>
      </c>
      <c r="D3014" s="25">
        <v>0</v>
      </c>
      <c r="E3014" s="25">
        <v>1105500</v>
      </c>
      <c r="F3014" s="25">
        <v>1105500</v>
      </c>
      <c r="G3014" s="26">
        <v>0</v>
      </c>
      <c r="H3014" s="10" t="str">
        <f t="shared" si="47"/>
        <v>COSTOS</v>
      </c>
      <c r="I3014" s="20">
        <v>2026</v>
      </c>
    </row>
    <row r="3015" spans="1:9" x14ac:dyDescent="0.3">
      <c r="A3015" s="24" t="s">
        <v>143</v>
      </c>
      <c r="B3015" s="24" t="s">
        <v>54</v>
      </c>
      <c r="C3015" s="22">
        <v>3</v>
      </c>
      <c r="D3015" s="25">
        <v>0</v>
      </c>
      <c r="E3015" s="25">
        <v>0</v>
      </c>
      <c r="F3015" s="25">
        <v>0</v>
      </c>
      <c r="G3015" s="26">
        <v>0</v>
      </c>
      <c r="H3015" s="10" t="str">
        <f t="shared" si="47"/>
        <v>COSTOS</v>
      </c>
      <c r="I3015" s="20">
        <v>2026</v>
      </c>
    </row>
    <row r="3016" spans="1:9" x14ac:dyDescent="0.3">
      <c r="A3016" s="23" t="s">
        <v>143</v>
      </c>
      <c r="B3016" s="23" t="s">
        <v>54</v>
      </c>
      <c r="C3016" s="22">
        <v>4</v>
      </c>
      <c r="D3016" s="25">
        <v>0</v>
      </c>
      <c r="E3016" s="25">
        <v>0</v>
      </c>
      <c r="F3016" s="25">
        <v>0</v>
      </c>
      <c r="G3016" s="26">
        <v>0</v>
      </c>
      <c r="H3016" s="10" t="str">
        <f t="shared" si="47"/>
        <v>COSTOS</v>
      </c>
      <c r="I3016" s="20">
        <v>2026</v>
      </c>
    </row>
    <row r="3017" spans="1:9" x14ac:dyDescent="0.3">
      <c r="A3017" s="24" t="s">
        <v>175</v>
      </c>
      <c r="B3017" s="24" t="s">
        <v>54</v>
      </c>
      <c r="C3017" s="22">
        <v>4</v>
      </c>
      <c r="D3017" s="25">
        <v>0</v>
      </c>
      <c r="E3017" s="25">
        <v>1360000</v>
      </c>
      <c r="F3017" s="25">
        <v>1360000</v>
      </c>
      <c r="G3017" s="26">
        <v>0</v>
      </c>
      <c r="H3017" s="10" t="str">
        <f t="shared" si="47"/>
        <v>COSTOS</v>
      </c>
      <c r="I3017" s="20">
        <v>2026</v>
      </c>
    </row>
    <row r="3018" spans="1:9" x14ac:dyDescent="0.3">
      <c r="A3018" s="24" t="s">
        <v>110</v>
      </c>
      <c r="B3018" s="24" t="s">
        <v>38</v>
      </c>
      <c r="C3018" s="22">
        <v>1</v>
      </c>
      <c r="D3018" s="25">
        <v>900000</v>
      </c>
      <c r="E3018" s="25">
        <v>0</v>
      </c>
      <c r="F3018" s="25">
        <v>-900000</v>
      </c>
      <c r="G3018" s="26">
        <v>0</v>
      </c>
      <c r="H3018" s="10" t="str">
        <f t="shared" si="47"/>
        <v>COSTOS</v>
      </c>
      <c r="I3018" s="20">
        <v>2026</v>
      </c>
    </row>
    <row r="3019" spans="1:9" x14ac:dyDescent="0.3">
      <c r="A3019" s="24" t="s">
        <v>110</v>
      </c>
      <c r="B3019" s="24" t="s">
        <v>38</v>
      </c>
      <c r="C3019" s="22">
        <v>2</v>
      </c>
      <c r="D3019" s="25">
        <v>0</v>
      </c>
      <c r="E3019" s="25">
        <v>0</v>
      </c>
      <c r="F3019" s="25">
        <v>0</v>
      </c>
      <c r="G3019" s="26">
        <v>0</v>
      </c>
      <c r="H3019" s="10" t="str">
        <f t="shared" si="47"/>
        <v>COSTOS</v>
      </c>
      <c r="I3019" s="20">
        <v>2026</v>
      </c>
    </row>
    <row r="3020" spans="1:9" x14ac:dyDescent="0.3">
      <c r="A3020" s="23" t="s">
        <v>110</v>
      </c>
      <c r="B3020" s="23" t="s">
        <v>38</v>
      </c>
      <c r="C3020" s="22">
        <v>3</v>
      </c>
      <c r="D3020" s="25">
        <v>0</v>
      </c>
      <c r="E3020" s="25">
        <v>0</v>
      </c>
      <c r="F3020" s="25">
        <v>0</v>
      </c>
      <c r="G3020" s="26">
        <v>0</v>
      </c>
      <c r="H3020" s="10" t="str">
        <f t="shared" si="47"/>
        <v>COSTOS</v>
      </c>
      <c r="I3020" s="20">
        <v>2026</v>
      </c>
    </row>
    <row r="3021" spans="1:9" x14ac:dyDescent="0.3">
      <c r="A3021" s="24" t="s">
        <v>110</v>
      </c>
      <c r="B3021" s="24" t="s">
        <v>38</v>
      </c>
      <c r="C3021" s="22">
        <v>4</v>
      </c>
      <c r="D3021" s="25">
        <v>0</v>
      </c>
      <c r="E3021" s="25">
        <v>0</v>
      </c>
      <c r="F3021" s="25">
        <v>0</v>
      </c>
      <c r="G3021" s="26">
        <v>0</v>
      </c>
      <c r="H3021" s="10" t="str">
        <f t="shared" si="47"/>
        <v>COSTOS</v>
      </c>
      <c r="I3021" s="20">
        <v>2026</v>
      </c>
    </row>
    <row r="3022" spans="1:9" x14ac:dyDescent="0.3">
      <c r="A3022" s="24" t="s">
        <v>112</v>
      </c>
      <c r="B3022" s="24" t="s">
        <v>38</v>
      </c>
      <c r="C3022" s="22">
        <v>1</v>
      </c>
      <c r="D3022" s="25">
        <v>0</v>
      </c>
      <c r="E3022" s="25">
        <v>0</v>
      </c>
      <c r="F3022" s="25">
        <v>0</v>
      </c>
      <c r="G3022" s="26">
        <v>0</v>
      </c>
      <c r="H3022" s="10" t="str">
        <f t="shared" si="47"/>
        <v>COSTOS</v>
      </c>
      <c r="I3022" s="20">
        <v>2026</v>
      </c>
    </row>
    <row r="3023" spans="1:9" x14ac:dyDescent="0.3">
      <c r="A3023" s="24" t="s">
        <v>112</v>
      </c>
      <c r="B3023" s="24" t="s">
        <v>38</v>
      </c>
      <c r="C3023" s="22">
        <v>2</v>
      </c>
      <c r="D3023" s="25">
        <v>0</v>
      </c>
      <c r="E3023" s="25">
        <v>0</v>
      </c>
      <c r="F3023" s="25">
        <v>0</v>
      </c>
      <c r="G3023" s="26">
        <v>0</v>
      </c>
      <c r="H3023" s="10" t="str">
        <f t="shared" si="47"/>
        <v>COSTOS</v>
      </c>
      <c r="I3023" s="20">
        <v>2026</v>
      </c>
    </row>
    <row r="3024" spans="1:9" x14ac:dyDescent="0.3">
      <c r="A3024" s="23" t="s">
        <v>112</v>
      </c>
      <c r="B3024" s="23" t="s">
        <v>38</v>
      </c>
      <c r="C3024" s="22">
        <v>3</v>
      </c>
      <c r="D3024" s="25">
        <v>7400000</v>
      </c>
      <c r="E3024" s="25">
        <v>0</v>
      </c>
      <c r="F3024" s="25">
        <v>-7400000</v>
      </c>
      <c r="G3024" s="26">
        <v>0</v>
      </c>
      <c r="H3024" s="10" t="str">
        <f t="shared" si="47"/>
        <v>COSTOS</v>
      </c>
      <c r="I3024" s="20">
        <v>2026</v>
      </c>
    </row>
    <row r="3025" spans="1:9" x14ac:dyDescent="0.3">
      <c r="A3025" s="24" t="s">
        <v>112</v>
      </c>
      <c r="B3025" s="24" t="s">
        <v>38</v>
      </c>
      <c r="C3025" s="22">
        <v>4</v>
      </c>
      <c r="D3025" s="25">
        <v>0</v>
      </c>
      <c r="E3025" s="25">
        <v>0</v>
      </c>
      <c r="F3025" s="25">
        <v>0</v>
      </c>
      <c r="G3025" s="26">
        <v>0</v>
      </c>
      <c r="H3025" s="10" t="str">
        <f t="shared" si="47"/>
        <v>COSTOS</v>
      </c>
      <c r="I3025" s="20">
        <v>2026</v>
      </c>
    </row>
    <row r="3026" spans="1:9" x14ac:dyDescent="0.3">
      <c r="A3026" s="24" t="s">
        <v>114</v>
      </c>
      <c r="B3026" s="24" t="s">
        <v>38</v>
      </c>
      <c r="C3026" s="22">
        <v>1</v>
      </c>
      <c r="D3026" s="25">
        <v>200000</v>
      </c>
      <c r="E3026" s="25">
        <v>0</v>
      </c>
      <c r="F3026" s="25">
        <v>-200000</v>
      </c>
      <c r="G3026" s="26">
        <v>0</v>
      </c>
      <c r="H3026" s="10" t="str">
        <f t="shared" si="47"/>
        <v>COSTOS</v>
      </c>
      <c r="I3026" s="20">
        <v>2026</v>
      </c>
    </row>
    <row r="3027" spans="1:9" x14ac:dyDescent="0.3">
      <c r="A3027" s="24" t="s">
        <v>114</v>
      </c>
      <c r="B3027" s="24" t="s">
        <v>38</v>
      </c>
      <c r="C3027" s="22">
        <v>2</v>
      </c>
      <c r="D3027" s="25">
        <v>200000</v>
      </c>
      <c r="E3027" s="25">
        <v>171286</v>
      </c>
      <c r="F3027" s="25">
        <v>-28714</v>
      </c>
      <c r="G3027" s="26">
        <v>0.85643000000000002</v>
      </c>
      <c r="H3027" s="10" t="str">
        <f t="shared" si="47"/>
        <v>COSTOS</v>
      </c>
      <c r="I3027" s="20">
        <v>2026</v>
      </c>
    </row>
    <row r="3028" spans="1:9" x14ac:dyDescent="0.3">
      <c r="A3028" s="23" t="s">
        <v>114</v>
      </c>
      <c r="B3028" s="23" t="s">
        <v>38</v>
      </c>
      <c r="C3028" s="22">
        <v>3</v>
      </c>
      <c r="D3028" s="25">
        <v>200000</v>
      </c>
      <c r="E3028" s="25">
        <v>0</v>
      </c>
      <c r="F3028" s="25">
        <v>-200000</v>
      </c>
      <c r="G3028" s="26">
        <v>0</v>
      </c>
      <c r="H3028" s="10" t="str">
        <f t="shared" si="47"/>
        <v>COSTOS</v>
      </c>
      <c r="I3028" s="20">
        <v>2026</v>
      </c>
    </row>
    <row r="3029" spans="1:9" x14ac:dyDescent="0.3">
      <c r="A3029" s="24" t="s">
        <v>114</v>
      </c>
      <c r="B3029" s="24" t="s">
        <v>38</v>
      </c>
      <c r="C3029" s="22">
        <v>4</v>
      </c>
      <c r="D3029" s="25">
        <v>200000</v>
      </c>
      <c r="E3029" s="25">
        <v>1980000</v>
      </c>
      <c r="F3029" s="25">
        <v>1780000</v>
      </c>
      <c r="G3029" s="26">
        <v>9.9</v>
      </c>
      <c r="H3029" s="10" t="str">
        <f t="shared" si="47"/>
        <v>COSTOS</v>
      </c>
      <c r="I3029" s="20">
        <v>2026</v>
      </c>
    </row>
    <row r="3030" spans="1:9" x14ac:dyDescent="0.3">
      <c r="A3030" s="24" t="s">
        <v>255</v>
      </c>
      <c r="B3030" s="24" t="s">
        <v>38</v>
      </c>
      <c r="C3030" s="22">
        <v>3</v>
      </c>
      <c r="D3030" s="25">
        <v>0</v>
      </c>
      <c r="E3030" s="25">
        <v>450000</v>
      </c>
      <c r="F3030" s="25">
        <v>450000</v>
      </c>
      <c r="G3030" s="26">
        <v>0</v>
      </c>
      <c r="H3030" s="10" t="str">
        <f t="shared" si="47"/>
        <v>COSTOS</v>
      </c>
      <c r="I3030" s="20">
        <v>2026</v>
      </c>
    </row>
    <row r="3031" spans="1:9" x14ac:dyDescent="0.3">
      <c r="A3031" s="24" t="s">
        <v>255</v>
      </c>
      <c r="B3031" s="24" t="s">
        <v>38</v>
      </c>
      <c r="C3031" s="22">
        <v>4</v>
      </c>
      <c r="D3031" s="25">
        <v>0</v>
      </c>
      <c r="E3031" s="25">
        <v>0</v>
      </c>
      <c r="F3031" s="25">
        <v>0</v>
      </c>
      <c r="G3031" s="26">
        <v>0</v>
      </c>
      <c r="H3031" s="10" t="str">
        <f t="shared" si="47"/>
        <v>COSTOS</v>
      </c>
      <c r="I3031" s="20">
        <v>2026</v>
      </c>
    </row>
    <row r="3032" spans="1:9" x14ac:dyDescent="0.3">
      <c r="A3032" s="23" t="s">
        <v>123</v>
      </c>
      <c r="B3032" s="23" t="s">
        <v>38</v>
      </c>
      <c r="C3032" s="22">
        <v>4</v>
      </c>
      <c r="D3032" s="25">
        <v>0</v>
      </c>
      <c r="E3032" s="25">
        <v>36500000</v>
      </c>
      <c r="F3032" s="25">
        <v>36500000</v>
      </c>
      <c r="G3032" s="26">
        <v>0</v>
      </c>
      <c r="H3032" s="10" t="str">
        <f t="shared" si="47"/>
        <v>COSTOS</v>
      </c>
      <c r="I3032" s="20">
        <v>2026</v>
      </c>
    </row>
    <row r="3033" spans="1:9" x14ac:dyDescent="0.3">
      <c r="A3033" s="24" t="s">
        <v>132</v>
      </c>
      <c r="B3033" s="24" t="s">
        <v>38</v>
      </c>
      <c r="C3033" s="22">
        <v>1</v>
      </c>
      <c r="D3033" s="25">
        <v>0</v>
      </c>
      <c r="E3033" s="25">
        <v>0</v>
      </c>
      <c r="F3033" s="25">
        <v>0</v>
      </c>
      <c r="G3033" s="26">
        <v>0</v>
      </c>
      <c r="H3033" s="10" t="str">
        <f t="shared" si="47"/>
        <v>COSTOS</v>
      </c>
      <c r="I3033" s="20">
        <v>2026</v>
      </c>
    </row>
    <row r="3034" spans="1:9" x14ac:dyDescent="0.3">
      <c r="A3034" s="24" t="s">
        <v>132</v>
      </c>
      <c r="B3034" s="24" t="s">
        <v>38</v>
      </c>
      <c r="C3034" s="22">
        <v>2</v>
      </c>
      <c r="D3034" s="25">
        <v>5000000</v>
      </c>
      <c r="E3034" s="25">
        <v>6761275</v>
      </c>
      <c r="F3034" s="25">
        <v>1761275</v>
      </c>
      <c r="G3034" s="26">
        <v>1.352255</v>
      </c>
      <c r="H3034" s="10" t="str">
        <f t="shared" si="47"/>
        <v>COSTOS</v>
      </c>
      <c r="I3034" s="20">
        <v>2026</v>
      </c>
    </row>
    <row r="3035" spans="1:9" x14ac:dyDescent="0.3">
      <c r="A3035" s="24" t="s">
        <v>132</v>
      </c>
      <c r="B3035" s="24" t="s">
        <v>38</v>
      </c>
      <c r="C3035" s="22">
        <v>3</v>
      </c>
      <c r="D3035" s="25">
        <v>17000000</v>
      </c>
      <c r="E3035" s="25">
        <v>9117372</v>
      </c>
      <c r="F3035" s="25">
        <v>-7882628</v>
      </c>
      <c r="G3035" s="26">
        <v>0.53631600000000001</v>
      </c>
      <c r="H3035" s="10" t="str">
        <f t="shared" si="47"/>
        <v>COSTOS</v>
      </c>
      <c r="I3035" s="20">
        <v>2026</v>
      </c>
    </row>
    <row r="3036" spans="1:9" x14ac:dyDescent="0.3">
      <c r="A3036" s="23" t="s">
        <v>132</v>
      </c>
      <c r="B3036" s="23" t="s">
        <v>38</v>
      </c>
      <c r="C3036" s="22">
        <v>4</v>
      </c>
      <c r="D3036" s="25">
        <v>0</v>
      </c>
      <c r="E3036" s="25">
        <v>0</v>
      </c>
      <c r="F3036" s="25">
        <v>0</v>
      </c>
      <c r="G3036" s="26">
        <v>0</v>
      </c>
      <c r="H3036" s="10" t="str">
        <f t="shared" si="47"/>
        <v>COSTOS</v>
      </c>
      <c r="I3036" s="20">
        <v>2026</v>
      </c>
    </row>
    <row r="3037" spans="1:9" x14ac:dyDescent="0.3">
      <c r="A3037" s="24" t="s">
        <v>134</v>
      </c>
      <c r="B3037" s="24" t="s">
        <v>38</v>
      </c>
      <c r="C3037" s="22">
        <v>1</v>
      </c>
      <c r="D3037" s="25">
        <v>0</v>
      </c>
      <c r="E3037" s="25">
        <v>0</v>
      </c>
      <c r="F3037" s="25">
        <v>0</v>
      </c>
      <c r="G3037" s="26">
        <v>0</v>
      </c>
      <c r="H3037" s="10" t="str">
        <f t="shared" si="47"/>
        <v>COSTOS</v>
      </c>
      <c r="I3037" s="20">
        <v>2026</v>
      </c>
    </row>
    <row r="3038" spans="1:9" x14ac:dyDescent="0.3">
      <c r="A3038" s="24" t="s">
        <v>134</v>
      </c>
      <c r="B3038" s="24" t="s">
        <v>38</v>
      </c>
      <c r="C3038" s="22">
        <v>2</v>
      </c>
      <c r="D3038" s="25">
        <v>0</v>
      </c>
      <c r="E3038" s="25">
        <v>0</v>
      </c>
      <c r="F3038" s="25">
        <v>0</v>
      </c>
      <c r="G3038" s="26">
        <v>0</v>
      </c>
      <c r="H3038" s="10" t="str">
        <f t="shared" si="47"/>
        <v>COSTOS</v>
      </c>
      <c r="I3038" s="20">
        <v>2026</v>
      </c>
    </row>
    <row r="3039" spans="1:9" x14ac:dyDescent="0.3">
      <c r="A3039" s="24" t="s">
        <v>134</v>
      </c>
      <c r="B3039" s="24" t="s">
        <v>38</v>
      </c>
      <c r="C3039" s="22">
        <v>3</v>
      </c>
      <c r="D3039" s="25">
        <v>250000</v>
      </c>
      <c r="E3039" s="25">
        <v>71500</v>
      </c>
      <c r="F3039" s="25">
        <v>-178500</v>
      </c>
      <c r="G3039" s="26">
        <v>0.28599999999999998</v>
      </c>
      <c r="H3039" s="10" t="str">
        <f t="shared" si="47"/>
        <v>COSTOS</v>
      </c>
      <c r="I3039" s="20">
        <v>2026</v>
      </c>
    </row>
    <row r="3040" spans="1:9" x14ac:dyDescent="0.3">
      <c r="A3040" s="23" t="s">
        <v>134</v>
      </c>
      <c r="B3040" s="23" t="s">
        <v>38</v>
      </c>
      <c r="C3040" s="22">
        <v>4</v>
      </c>
      <c r="D3040" s="25">
        <v>0</v>
      </c>
      <c r="E3040" s="25">
        <v>0</v>
      </c>
      <c r="F3040" s="25">
        <v>0</v>
      </c>
      <c r="G3040" s="26">
        <v>0</v>
      </c>
      <c r="H3040" s="10" t="str">
        <f t="shared" si="47"/>
        <v>COSTOS</v>
      </c>
      <c r="I3040" s="20">
        <v>2026</v>
      </c>
    </row>
    <row r="3041" spans="1:9" x14ac:dyDescent="0.3">
      <c r="A3041" s="24" t="s">
        <v>135</v>
      </c>
      <c r="B3041" s="24" t="s">
        <v>38</v>
      </c>
      <c r="C3041" s="22">
        <v>1</v>
      </c>
      <c r="D3041" s="25">
        <v>300000</v>
      </c>
      <c r="E3041" s="25">
        <v>0</v>
      </c>
      <c r="F3041" s="25">
        <v>-300000</v>
      </c>
      <c r="G3041" s="26">
        <v>0</v>
      </c>
      <c r="H3041" s="10" t="str">
        <f t="shared" si="47"/>
        <v>COSTOS</v>
      </c>
      <c r="I3041" s="20">
        <v>2026</v>
      </c>
    </row>
    <row r="3042" spans="1:9" x14ac:dyDescent="0.3">
      <c r="A3042" s="24" t="s">
        <v>135</v>
      </c>
      <c r="B3042" s="24" t="s">
        <v>38</v>
      </c>
      <c r="C3042" s="22">
        <v>2</v>
      </c>
      <c r="D3042" s="25">
        <v>300000</v>
      </c>
      <c r="E3042" s="25">
        <v>0</v>
      </c>
      <c r="F3042" s="25">
        <v>-300000</v>
      </c>
      <c r="G3042" s="26">
        <v>0</v>
      </c>
      <c r="H3042" s="10" t="str">
        <f t="shared" si="47"/>
        <v>COSTOS</v>
      </c>
      <c r="I3042" s="20">
        <v>2026</v>
      </c>
    </row>
    <row r="3043" spans="1:9" x14ac:dyDescent="0.3">
      <c r="A3043" s="24" t="s">
        <v>135</v>
      </c>
      <c r="B3043" s="24" t="s">
        <v>38</v>
      </c>
      <c r="C3043" s="22">
        <v>3</v>
      </c>
      <c r="D3043" s="25">
        <v>600000</v>
      </c>
      <c r="E3043" s="25">
        <v>0</v>
      </c>
      <c r="F3043" s="25">
        <v>-600000</v>
      </c>
      <c r="G3043" s="26">
        <v>0</v>
      </c>
      <c r="H3043" s="10" t="str">
        <f t="shared" si="47"/>
        <v>COSTOS</v>
      </c>
      <c r="I3043" s="20">
        <v>2026</v>
      </c>
    </row>
    <row r="3044" spans="1:9" x14ac:dyDescent="0.3">
      <c r="A3044" s="23" t="s">
        <v>135</v>
      </c>
      <c r="B3044" s="23" t="s">
        <v>38</v>
      </c>
      <c r="C3044" s="22">
        <v>4</v>
      </c>
      <c r="D3044" s="25">
        <v>300000</v>
      </c>
      <c r="E3044" s="25">
        <v>0</v>
      </c>
      <c r="F3044" s="25">
        <v>-300000</v>
      </c>
      <c r="G3044" s="26">
        <v>0</v>
      </c>
      <c r="H3044" s="10" t="str">
        <f t="shared" si="47"/>
        <v>COSTOS</v>
      </c>
      <c r="I3044" s="20">
        <v>2026</v>
      </c>
    </row>
    <row r="3045" spans="1:9" x14ac:dyDescent="0.3">
      <c r="A3045" s="24" t="s">
        <v>136</v>
      </c>
      <c r="B3045" s="24" t="s">
        <v>38</v>
      </c>
      <c r="C3045" s="22">
        <v>3</v>
      </c>
      <c r="D3045" s="25">
        <v>0</v>
      </c>
      <c r="E3045" s="25">
        <v>650062</v>
      </c>
      <c r="F3045" s="25">
        <v>650062</v>
      </c>
      <c r="G3045" s="26">
        <v>0</v>
      </c>
      <c r="H3045" s="10" t="str">
        <f t="shared" si="47"/>
        <v>COSTOS</v>
      </c>
      <c r="I3045" s="20">
        <v>2026</v>
      </c>
    </row>
    <row r="3046" spans="1:9" x14ac:dyDescent="0.3">
      <c r="A3046" s="24" t="s">
        <v>136</v>
      </c>
      <c r="B3046" s="24" t="s">
        <v>38</v>
      </c>
      <c r="C3046" s="22">
        <v>4</v>
      </c>
      <c r="D3046" s="25">
        <v>0</v>
      </c>
      <c r="E3046" s="25">
        <v>464800</v>
      </c>
      <c r="F3046" s="25">
        <v>464800</v>
      </c>
      <c r="G3046" s="26">
        <v>0</v>
      </c>
      <c r="H3046" s="10" t="str">
        <f t="shared" si="47"/>
        <v>COSTOS</v>
      </c>
      <c r="I3046" s="20">
        <v>2026</v>
      </c>
    </row>
    <row r="3047" spans="1:9" x14ac:dyDescent="0.3">
      <c r="A3047" s="24" t="s">
        <v>137</v>
      </c>
      <c r="B3047" s="24" t="s">
        <v>38</v>
      </c>
      <c r="C3047" s="22">
        <v>1</v>
      </c>
      <c r="D3047" s="25">
        <v>250000</v>
      </c>
      <c r="E3047" s="25">
        <v>70993</v>
      </c>
      <c r="F3047" s="25">
        <v>-179007</v>
      </c>
      <c r="G3047" s="26">
        <v>0.283972</v>
      </c>
      <c r="H3047" s="10" t="str">
        <f t="shared" si="47"/>
        <v>COSTOS</v>
      </c>
      <c r="I3047" s="20">
        <v>2026</v>
      </c>
    </row>
    <row r="3048" spans="1:9" x14ac:dyDescent="0.3">
      <c r="A3048" s="23" t="s">
        <v>137</v>
      </c>
      <c r="B3048" s="23" t="s">
        <v>38</v>
      </c>
      <c r="C3048" s="22">
        <v>2</v>
      </c>
      <c r="D3048" s="25">
        <v>7000000</v>
      </c>
      <c r="E3048" s="25">
        <v>230000</v>
      </c>
      <c r="F3048" s="25">
        <v>-6770000</v>
      </c>
      <c r="G3048" s="26">
        <v>3.2857142857142856E-2</v>
      </c>
      <c r="H3048" s="10" t="str">
        <f t="shared" si="47"/>
        <v>COSTOS</v>
      </c>
      <c r="I3048" s="20">
        <v>2026</v>
      </c>
    </row>
    <row r="3049" spans="1:9" x14ac:dyDescent="0.3">
      <c r="A3049" s="24" t="s">
        <v>137</v>
      </c>
      <c r="B3049" s="24" t="s">
        <v>38</v>
      </c>
      <c r="C3049" s="22">
        <v>3</v>
      </c>
      <c r="D3049" s="25">
        <v>250000</v>
      </c>
      <c r="E3049" s="25">
        <v>0</v>
      </c>
      <c r="F3049" s="25">
        <v>-250000</v>
      </c>
      <c r="G3049" s="26">
        <v>0</v>
      </c>
      <c r="H3049" s="10" t="str">
        <f t="shared" si="47"/>
        <v>COSTOS</v>
      </c>
      <c r="I3049" s="20">
        <v>2026</v>
      </c>
    </row>
    <row r="3050" spans="1:9" x14ac:dyDescent="0.3">
      <c r="A3050" s="24" t="s">
        <v>137</v>
      </c>
      <c r="B3050" s="24" t="s">
        <v>38</v>
      </c>
      <c r="C3050" s="22">
        <v>4</v>
      </c>
      <c r="D3050" s="25">
        <v>250000</v>
      </c>
      <c r="E3050" s="25">
        <v>177724</v>
      </c>
      <c r="F3050" s="25">
        <v>-72276</v>
      </c>
      <c r="G3050" s="26">
        <v>0.71089599999999997</v>
      </c>
      <c r="H3050" s="10" t="str">
        <f t="shared" si="47"/>
        <v>COSTOS</v>
      </c>
      <c r="I3050" s="20">
        <v>2026</v>
      </c>
    </row>
    <row r="3051" spans="1:9" x14ac:dyDescent="0.3">
      <c r="A3051" s="24" t="s">
        <v>138</v>
      </c>
      <c r="B3051" s="24" t="s">
        <v>38</v>
      </c>
      <c r="C3051" s="22">
        <v>1</v>
      </c>
      <c r="D3051" s="25">
        <v>750000</v>
      </c>
      <c r="E3051" s="25">
        <v>0</v>
      </c>
      <c r="F3051" s="25">
        <v>-750000</v>
      </c>
      <c r="G3051" s="26">
        <v>0</v>
      </c>
      <c r="H3051" s="10" t="str">
        <f t="shared" si="47"/>
        <v>COSTOS</v>
      </c>
      <c r="I3051" s="20">
        <v>2026</v>
      </c>
    </row>
    <row r="3052" spans="1:9" x14ac:dyDescent="0.3">
      <c r="A3052" s="23" t="s">
        <v>138</v>
      </c>
      <c r="B3052" s="23" t="s">
        <v>38</v>
      </c>
      <c r="C3052" s="22">
        <v>2</v>
      </c>
      <c r="D3052" s="25">
        <v>750000</v>
      </c>
      <c r="E3052" s="25">
        <v>0</v>
      </c>
      <c r="F3052" s="25">
        <v>-750000</v>
      </c>
      <c r="G3052" s="26">
        <v>0</v>
      </c>
      <c r="H3052" s="10" t="str">
        <f t="shared" si="47"/>
        <v>COSTOS</v>
      </c>
      <c r="I3052" s="20">
        <v>2026</v>
      </c>
    </row>
    <row r="3053" spans="1:9" x14ac:dyDescent="0.3">
      <c r="A3053" s="24" t="s">
        <v>138</v>
      </c>
      <c r="B3053" s="24" t="s">
        <v>38</v>
      </c>
      <c r="C3053" s="22">
        <v>3</v>
      </c>
      <c r="D3053" s="25">
        <v>750000</v>
      </c>
      <c r="E3053" s="25">
        <v>0</v>
      </c>
      <c r="F3053" s="25">
        <v>-750000</v>
      </c>
      <c r="G3053" s="26">
        <v>0</v>
      </c>
      <c r="H3053" s="10" t="str">
        <f t="shared" si="47"/>
        <v>COSTOS</v>
      </c>
      <c r="I3053" s="20">
        <v>2026</v>
      </c>
    </row>
    <row r="3054" spans="1:9" x14ac:dyDescent="0.3">
      <c r="A3054" s="24" t="s">
        <v>138</v>
      </c>
      <c r="B3054" s="24" t="s">
        <v>38</v>
      </c>
      <c r="C3054" s="22">
        <v>4</v>
      </c>
      <c r="D3054" s="25">
        <v>750000</v>
      </c>
      <c r="E3054" s="25">
        <v>0</v>
      </c>
      <c r="F3054" s="25">
        <v>-750000</v>
      </c>
      <c r="G3054" s="26">
        <v>0</v>
      </c>
      <c r="H3054" s="10" t="str">
        <f t="shared" ref="H3054:H3117" si="48">+IF(OR(A3054="ADMINISTRACION",A3054="COMERCIAL",A3054="COMERCIAL-EXPORTACIONES",A3054="LEASING DE LA BODEGA",A3054="LOGISTICA-SALIDA",A3054="OTROS GASTOS",A3054="BODEGA ALQUILADA", A3054="BODEGA CARTOPLAST", A3054="BODEGA CARTOPLAS", A3054= "GESTION HUMANA-OTROS GASTOS",A3054="FAMILIA"),"GASTOS","COSTOS")</f>
        <v>COSTOS</v>
      </c>
      <c r="I3054" s="20">
        <v>2026</v>
      </c>
    </row>
    <row r="3055" spans="1:9" x14ac:dyDescent="0.3">
      <c r="A3055" s="24" t="s">
        <v>139</v>
      </c>
      <c r="B3055" s="24" t="s">
        <v>38</v>
      </c>
      <c r="C3055" s="22">
        <v>1</v>
      </c>
      <c r="D3055" s="25">
        <v>3000000</v>
      </c>
      <c r="E3055" s="25">
        <v>310000</v>
      </c>
      <c r="F3055" s="25">
        <v>-2690000</v>
      </c>
      <c r="G3055" s="26">
        <v>0.10333333333333333</v>
      </c>
      <c r="H3055" s="10" t="str">
        <f t="shared" si="48"/>
        <v>COSTOS</v>
      </c>
      <c r="I3055" s="20">
        <v>2026</v>
      </c>
    </row>
    <row r="3056" spans="1:9" x14ac:dyDescent="0.3">
      <c r="A3056" s="23" t="s">
        <v>139</v>
      </c>
      <c r="B3056" s="23" t="s">
        <v>38</v>
      </c>
      <c r="C3056" s="22">
        <v>2</v>
      </c>
      <c r="D3056" s="25">
        <v>0</v>
      </c>
      <c r="E3056" s="25">
        <v>0</v>
      </c>
      <c r="F3056" s="25">
        <v>0</v>
      </c>
      <c r="G3056" s="26">
        <v>0</v>
      </c>
      <c r="H3056" s="10" t="str">
        <f t="shared" si="48"/>
        <v>COSTOS</v>
      </c>
      <c r="I3056" s="20">
        <v>2026</v>
      </c>
    </row>
    <row r="3057" spans="1:9" x14ac:dyDescent="0.3">
      <c r="A3057" s="24" t="s">
        <v>139</v>
      </c>
      <c r="B3057" s="24" t="s">
        <v>38</v>
      </c>
      <c r="C3057" s="22">
        <v>3</v>
      </c>
      <c r="D3057" s="25">
        <v>3000000</v>
      </c>
      <c r="E3057" s="25">
        <v>821171</v>
      </c>
      <c r="F3057" s="25">
        <v>-2178829</v>
      </c>
      <c r="G3057" s="26">
        <v>0.2737236666666667</v>
      </c>
      <c r="H3057" s="10" t="str">
        <f t="shared" si="48"/>
        <v>COSTOS</v>
      </c>
      <c r="I3057" s="20">
        <v>2026</v>
      </c>
    </row>
    <row r="3058" spans="1:9" x14ac:dyDescent="0.3">
      <c r="A3058" s="24" t="s">
        <v>139</v>
      </c>
      <c r="B3058" s="24" t="s">
        <v>38</v>
      </c>
      <c r="C3058" s="22">
        <v>4</v>
      </c>
      <c r="D3058" s="25">
        <v>0</v>
      </c>
      <c r="E3058" s="25">
        <v>20148921</v>
      </c>
      <c r="F3058" s="25">
        <v>20148921</v>
      </c>
      <c r="G3058" s="26">
        <v>0</v>
      </c>
      <c r="H3058" s="10" t="str">
        <f t="shared" si="48"/>
        <v>COSTOS</v>
      </c>
      <c r="I3058" s="20">
        <v>2026</v>
      </c>
    </row>
    <row r="3059" spans="1:9" x14ac:dyDescent="0.3">
      <c r="A3059" s="24" t="s">
        <v>140</v>
      </c>
      <c r="B3059" s="24" t="s">
        <v>38</v>
      </c>
      <c r="C3059" s="22">
        <v>1</v>
      </c>
      <c r="D3059" s="25">
        <v>150000</v>
      </c>
      <c r="E3059" s="25">
        <v>88290</v>
      </c>
      <c r="F3059" s="25">
        <v>-61710</v>
      </c>
      <c r="G3059" s="26">
        <v>0.58860000000000001</v>
      </c>
      <c r="H3059" s="10" t="str">
        <f t="shared" si="48"/>
        <v>COSTOS</v>
      </c>
      <c r="I3059" s="20">
        <v>2026</v>
      </c>
    </row>
    <row r="3060" spans="1:9" x14ac:dyDescent="0.3">
      <c r="A3060" s="23" t="s">
        <v>140</v>
      </c>
      <c r="B3060" s="23" t="s">
        <v>38</v>
      </c>
      <c r="C3060" s="22">
        <v>2</v>
      </c>
      <c r="D3060" s="25">
        <v>150000</v>
      </c>
      <c r="E3060" s="25">
        <v>81840</v>
      </c>
      <c r="F3060" s="25">
        <v>-68160</v>
      </c>
      <c r="G3060" s="26">
        <v>0.54559999999999997</v>
      </c>
      <c r="H3060" s="10" t="str">
        <f t="shared" si="48"/>
        <v>COSTOS</v>
      </c>
      <c r="I3060" s="20">
        <v>2026</v>
      </c>
    </row>
    <row r="3061" spans="1:9" x14ac:dyDescent="0.3">
      <c r="A3061" s="24" t="s">
        <v>140</v>
      </c>
      <c r="B3061" s="24" t="s">
        <v>38</v>
      </c>
      <c r="C3061" s="22">
        <v>3</v>
      </c>
      <c r="D3061" s="25">
        <v>150000</v>
      </c>
      <c r="E3061" s="25">
        <v>0</v>
      </c>
      <c r="F3061" s="25">
        <v>-150000</v>
      </c>
      <c r="G3061" s="26">
        <v>0</v>
      </c>
      <c r="H3061" s="10" t="str">
        <f t="shared" si="48"/>
        <v>COSTOS</v>
      </c>
      <c r="I3061" s="20">
        <v>2026</v>
      </c>
    </row>
    <row r="3062" spans="1:9" x14ac:dyDescent="0.3">
      <c r="A3062" s="24" t="s">
        <v>140</v>
      </c>
      <c r="B3062" s="24" t="s">
        <v>38</v>
      </c>
      <c r="C3062" s="22">
        <v>4</v>
      </c>
      <c r="D3062" s="25">
        <v>150000</v>
      </c>
      <c r="E3062" s="25">
        <v>947500</v>
      </c>
      <c r="F3062" s="25">
        <v>797500</v>
      </c>
      <c r="G3062" s="26">
        <v>6.3166666666666673</v>
      </c>
      <c r="H3062" s="10" t="str">
        <f t="shared" si="48"/>
        <v>COSTOS</v>
      </c>
      <c r="I3062" s="20">
        <v>2026</v>
      </c>
    </row>
    <row r="3063" spans="1:9" x14ac:dyDescent="0.3">
      <c r="A3063" s="24" t="s">
        <v>141</v>
      </c>
      <c r="B3063" s="24" t="s">
        <v>38</v>
      </c>
      <c r="C3063" s="22">
        <v>3</v>
      </c>
      <c r="D3063" s="25">
        <v>0</v>
      </c>
      <c r="E3063" s="25">
        <v>65550</v>
      </c>
      <c r="F3063" s="25">
        <v>65550</v>
      </c>
      <c r="G3063" s="26">
        <v>0</v>
      </c>
      <c r="H3063" s="10" t="str">
        <f t="shared" si="48"/>
        <v>COSTOS</v>
      </c>
      <c r="I3063" s="20">
        <v>2026</v>
      </c>
    </row>
    <row r="3064" spans="1:9" x14ac:dyDescent="0.3">
      <c r="A3064" s="23" t="s">
        <v>141</v>
      </c>
      <c r="B3064" s="23" t="s">
        <v>38</v>
      </c>
      <c r="C3064" s="22">
        <v>4</v>
      </c>
      <c r="D3064" s="25">
        <v>0</v>
      </c>
      <c r="E3064" s="25">
        <v>185330</v>
      </c>
      <c r="F3064" s="25">
        <v>185330</v>
      </c>
      <c r="G3064" s="26">
        <v>0</v>
      </c>
      <c r="H3064" s="10" t="str">
        <f t="shared" si="48"/>
        <v>COSTOS</v>
      </c>
      <c r="I3064" s="20">
        <v>2026</v>
      </c>
    </row>
    <row r="3065" spans="1:9" x14ac:dyDescent="0.3">
      <c r="A3065" s="24" t="s">
        <v>142</v>
      </c>
      <c r="B3065" s="24" t="s">
        <v>38</v>
      </c>
      <c r="C3065" s="22">
        <v>1</v>
      </c>
      <c r="D3065" s="25">
        <v>1500000</v>
      </c>
      <c r="E3065" s="25">
        <v>169300</v>
      </c>
      <c r="F3065" s="25">
        <v>-1330700</v>
      </c>
      <c r="G3065" s="26">
        <v>0.11286666666666667</v>
      </c>
      <c r="H3065" s="10" t="str">
        <f t="shared" si="48"/>
        <v>COSTOS</v>
      </c>
      <c r="I3065" s="20">
        <v>2026</v>
      </c>
    </row>
    <row r="3066" spans="1:9" x14ac:dyDescent="0.3">
      <c r="A3066" s="24" t="s">
        <v>142</v>
      </c>
      <c r="B3066" s="24" t="s">
        <v>38</v>
      </c>
      <c r="C3066" s="22">
        <v>2</v>
      </c>
      <c r="D3066" s="25">
        <v>1500000</v>
      </c>
      <c r="E3066" s="25">
        <v>366689</v>
      </c>
      <c r="F3066" s="25">
        <v>-1133311</v>
      </c>
      <c r="G3066" s="26">
        <v>0.24445933333333333</v>
      </c>
      <c r="H3066" s="10" t="str">
        <f t="shared" si="48"/>
        <v>COSTOS</v>
      </c>
      <c r="I3066" s="20">
        <v>2026</v>
      </c>
    </row>
    <row r="3067" spans="1:9" x14ac:dyDescent="0.3">
      <c r="A3067" s="24" t="s">
        <v>142</v>
      </c>
      <c r="B3067" s="24" t="s">
        <v>38</v>
      </c>
      <c r="C3067" s="22">
        <v>3</v>
      </c>
      <c r="D3067" s="25">
        <v>1500000</v>
      </c>
      <c r="E3067" s="25">
        <v>735371</v>
      </c>
      <c r="F3067" s="25">
        <v>-764629</v>
      </c>
      <c r="G3067" s="26">
        <v>0.49024733333333337</v>
      </c>
      <c r="H3067" s="10" t="str">
        <f t="shared" si="48"/>
        <v>COSTOS</v>
      </c>
      <c r="I3067" s="20">
        <v>2026</v>
      </c>
    </row>
    <row r="3068" spans="1:9" x14ac:dyDescent="0.3">
      <c r="A3068" s="23" t="s">
        <v>142</v>
      </c>
      <c r="B3068" s="23" t="s">
        <v>38</v>
      </c>
      <c r="C3068" s="22">
        <v>4</v>
      </c>
      <c r="D3068" s="25">
        <v>1500000</v>
      </c>
      <c r="E3068" s="25">
        <v>706971</v>
      </c>
      <c r="F3068" s="25">
        <v>-793029</v>
      </c>
      <c r="G3068" s="26">
        <v>0.47131400000000001</v>
      </c>
      <c r="H3068" s="10" t="str">
        <f t="shared" si="48"/>
        <v>COSTOS</v>
      </c>
      <c r="I3068" s="20">
        <v>2026</v>
      </c>
    </row>
    <row r="3069" spans="1:9" x14ac:dyDescent="0.3">
      <c r="A3069" s="24" t="s">
        <v>143</v>
      </c>
      <c r="B3069" s="24" t="s">
        <v>38</v>
      </c>
      <c r="C3069" s="22">
        <v>1</v>
      </c>
      <c r="D3069" s="25">
        <v>1000000</v>
      </c>
      <c r="E3069" s="25">
        <v>280000</v>
      </c>
      <c r="F3069" s="25">
        <v>-720000</v>
      </c>
      <c r="G3069" s="26">
        <v>0.28000000000000003</v>
      </c>
      <c r="H3069" s="10" t="str">
        <f t="shared" si="48"/>
        <v>COSTOS</v>
      </c>
      <c r="I3069" s="20">
        <v>2026</v>
      </c>
    </row>
    <row r="3070" spans="1:9" x14ac:dyDescent="0.3">
      <c r="A3070" s="24" t="s">
        <v>143</v>
      </c>
      <c r="B3070" s="24" t="s">
        <v>38</v>
      </c>
      <c r="C3070" s="22">
        <v>2</v>
      </c>
      <c r="D3070" s="25">
        <v>1400000</v>
      </c>
      <c r="E3070" s="25">
        <v>1267800</v>
      </c>
      <c r="F3070" s="25">
        <v>-132200</v>
      </c>
      <c r="G3070" s="26">
        <v>0.90557142857142858</v>
      </c>
      <c r="H3070" s="10" t="str">
        <f t="shared" si="48"/>
        <v>COSTOS</v>
      </c>
      <c r="I3070" s="20">
        <v>2026</v>
      </c>
    </row>
    <row r="3071" spans="1:9" x14ac:dyDescent="0.3">
      <c r="A3071" s="24" t="s">
        <v>143</v>
      </c>
      <c r="B3071" s="24" t="s">
        <v>38</v>
      </c>
      <c r="C3071" s="22">
        <v>3</v>
      </c>
      <c r="D3071" s="25">
        <v>1000000</v>
      </c>
      <c r="E3071" s="25">
        <v>9416270</v>
      </c>
      <c r="F3071" s="25">
        <v>8416270</v>
      </c>
      <c r="G3071" s="26">
        <v>9.4162700000000008</v>
      </c>
      <c r="H3071" s="10" t="str">
        <f t="shared" si="48"/>
        <v>COSTOS</v>
      </c>
      <c r="I3071" s="20">
        <v>2026</v>
      </c>
    </row>
    <row r="3072" spans="1:9" x14ac:dyDescent="0.3">
      <c r="A3072" s="23" t="s">
        <v>143</v>
      </c>
      <c r="B3072" s="23" t="s">
        <v>38</v>
      </c>
      <c r="C3072" s="22">
        <v>4</v>
      </c>
      <c r="D3072" s="25">
        <v>1000000</v>
      </c>
      <c r="E3072" s="25">
        <v>128600</v>
      </c>
      <c r="F3072" s="25">
        <v>-871400</v>
      </c>
      <c r="G3072" s="26">
        <v>0.12859999999999999</v>
      </c>
      <c r="H3072" s="10" t="str">
        <f t="shared" si="48"/>
        <v>COSTOS</v>
      </c>
      <c r="I3072" s="20">
        <v>2026</v>
      </c>
    </row>
    <row r="3073" spans="1:9" x14ac:dyDescent="0.3">
      <c r="A3073" s="24" t="s">
        <v>144</v>
      </c>
      <c r="B3073" s="24" t="s">
        <v>38</v>
      </c>
      <c r="C3073" s="22">
        <v>1</v>
      </c>
      <c r="D3073" s="25">
        <v>0</v>
      </c>
      <c r="E3073" s="25">
        <v>0</v>
      </c>
      <c r="F3073" s="25">
        <v>0</v>
      </c>
      <c r="G3073" s="26">
        <v>0</v>
      </c>
      <c r="H3073" s="10" t="str">
        <f t="shared" si="48"/>
        <v>COSTOS</v>
      </c>
      <c r="I3073" s="20">
        <v>2026</v>
      </c>
    </row>
    <row r="3074" spans="1:9" x14ac:dyDescent="0.3">
      <c r="A3074" s="24" t="s">
        <v>144</v>
      </c>
      <c r="B3074" s="24" t="s">
        <v>38</v>
      </c>
      <c r="C3074" s="22">
        <v>2</v>
      </c>
      <c r="D3074" s="25">
        <v>0</v>
      </c>
      <c r="E3074" s="25">
        <v>0</v>
      </c>
      <c r="F3074" s="25">
        <v>0</v>
      </c>
      <c r="G3074" s="26">
        <v>0</v>
      </c>
      <c r="H3074" s="10" t="str">
        <f t="shared" si="48"/>
        <v>COSTOS</v>
      </c>
      <c r="I3074" s="20">
        <v>2026</v>
      </c>
    </row>
    <row r="3075" spans="1:9" x14ac:dyDescent="0.3">
      <c r="A3075" s="24" t="s">
        <v>144</v>
      </c>
      <c r="B3075" s="24" t="s">
        <v>38</v>
      </c>
      <c r="C3075" s="22">
        <v>3</v>
      </c>
      <c r="D3075" s="25">
        <v>0</v>
      </c>
      <c r="E3075" s="25">
        <v>0</v>
      </c>
      <c r="F3075" s="25">
        <v>0</v>
      </c>
      <c r="G3075" s="26">
        <v>0</v>
      </c>
      <c r="H3075" s="10" t="str">
        <f t="shared" si="48"/>
        <v>COSTOS</v>
      </c>
      <c r="I3075" s="20">
        <v>2026</v>
      </c>
    </row>
    <row r="3076" spans="1:9" x14ac:dyDescent="0.3">
      <c r="A3076" s="23" t="s">
        <v>144</v>
      </c>
      <c r="B3076" s="23" t="s">
        <v>38</v>
      </c>
      <c r="C3076" s="22">
        <v>4</v>
      </c>
      <c r="D3076" s="25">
        <v>2000000</v>
      </c>
      <c r="E3076" s="25">
        <v>0</v>
      </c>
      <c r="F3076" s="25">
        <v>-2000000</v>
      </c>
      <c r="G3076" s="26">
        <v>0</v>
      </c>
      <c r="H3076" s="10" t="str">
        <f t="shared" si="48"/>
        <v>COSTOS</v>
      </c>
      <c r="I3076" s="20">
        <v>2026</v>
      </c>
    </row>
    <row r="3077" spans="1:9" x14ac:dyDescent="0.3">
      <c r="A3077" s="24" t="s">
        <v>251</v>
      </c>
      <c r="B3077" s="24" t="s">
        <v>38</v>
      </c>
      <c r="C3077" s="22">
        <v>1</v>
      </c>
      <c r="D3077" s="25">
        <v>0</v>
      </c>
      <c r="E3077" s="25">
        <v>525000</v>
      </c>
      <c r="F3077" s="25">
        <v>525000</v>
      </c>
      <c r="G3077" s="26">
        <v>0</v>
      </c>
      <c r="H3077" s="10" t="str">
        <f t="shared" si="48"/>
        <v>COSTOS</v>
      </c>
      <c r="I3077" s="20">
        <v>2026</v>
      </c>
    </row>
    <row r="3078" spans="1:9" x14ac:dyDescent="0.3">
      <c r="A3078" s="24" t="s">
        <v>251</v>
      </c>
      <c r="B3078" s="24" t="s">
        <v>38</v>
      </c>
      <c r="C3078" s="22">
        <v>2</v>
      </c>
      <c r="D3078" s="25">
        <v>0</v>
      </c>
      <c r="E3078" s="25">
        <v>0</v>
      </c>
      <c r="F3078" s="25">
        <v>0</v>
      </c>
      <c r="G3078" s="26">
        <v>0</v>
      </c>
      <c r="H3078" s="10" t="str">
        <f t="shared" si="48"/>
        <v>COSTOS</v>
      </c>
      <c r="I3078" s="20">
        <v>2026</v>
      </c>
    </row>
    <row r="3079" spans="1:9" x14ac:dyDescent="0.3">
      <c r="A3079" s="24" t="s">
        <v>251</v>
      </c>
      <c r="B3079" s="24" t="s">
        <v>38</v>
      </c>
      <c r="C3079" s="22">
        <v>3</v>
      </c>
      <c r="D3079" s="25">
        <v>0</v>
      </c>
      <c r="E3079" s="25">
        <v>125000</v>
      </c>
      <c r="F3079" s="25">
        <v>125000</v>
      </c>
      <c r="G3079" s="26">
        <v>0</v>
      </c>
      <c r="H3079" s="10" t="str">
        <f t="shared" si="48"/>
        <v>COSTOS</v>
      </c>
      <c r="I3079" s="20">
        <v>2026</v>
      </c>
    </row>
    <row r="3080" spans="1:9" x14ac:dyDescent="0.3">
      <c r="A3080" s="23" t="s">
        <v>251</v>
      </c>
      <c r="B3080" s="23" t="s">
        <v>38</v>
      </c>
      <c r="C3080" s="22">
        <v>4</v>
      </c>
      <c r="D3080" s="25">
        <v>0</v>
      </c>
      <c r="E3080" s="25">
        <v>0</v>
      </c>
      <c r="F3080" s="25">
        <v>0</v>
      </c>
      <c r="G3080" s="26">
        <v>0</v>
      </c>
      <c r="H3080" s="10" t="str">
        <f t="shared" si="48"/>
        <v>COSTOS</v>
      </c>
      <c r="I3080" s="20">
        <v>2026</v>
      </c>
    </row>
    <row r="3081" spans="1:9" x14ac:dyDescent="0.3">
      <c r="A3081" s="24" t="s">
        <v>115</v>
      </c>
      <c r="B3081" s="24" t="s">
        <v>55</v>
      </c>
      <c r="C3081" s="22">
        <v>1</v>
      </c>
      <c r="D3081" s="25">
        <v>0</v>
      </c>
      <c r="E3081" s="25">
        <v>108000</v>
      </c>
      <c r="F3081" s="25">
        <v>108000</v>
      </c>
      <c r="G3081" s="26">
        <v>0</v>
      </c>
      <c r="H3081" s="10" t="str">
        <f t="shared" si="48"/>
        <v>COSTOS</v>
      </c>
      <c r="I3081" s="20">
        <v>2026</v>
      </c>
    </row>
    <row r="3082" spans="1:9" x14ac:dyDescent="0.3">
      <c r="A3082" s="24" t="s">
        <v>115</v>
      </c>
      <c r="B3082" s="24" t="s">
        <v>55</v>
      </c>
      <c r="C3082" s="22">
        <v>2</v>
      </c>
      <c r="D3082" s="25">
        <v>0</v>
      </c>
      <c r="E3082" s="25">
        <v>0</v>
      </c>
      <c r="F3082" s="25">
        <v>0</v>
      </c>
      <c r="G3082" s="26">
        <v>0</v>
      </c>
      <c r="H3082" s="10" t="str">
        <f t="shared" si="48"/>
        <v>COSTOS</v>
      </c>
      <c r="I3082" s="20">
        <v>2026</v>
      </c>
    </row>
    <row r="3083" spans="1:9" x14ac:dyDescent="0.3">
      <c r="A3083" s="24" t="s">
        <v>115</v>
      </c>
      <c r="B3083" s="24" t="s">
        <v>55</v>
      </c>
      <c r="C3083" s="22">
        <v>3</v>
      </c>
      <c r="D3083" s="25">
        <v>0</v>
      </c>
      <c r="E3083" s="25">
        <v>0</v>
      </c>
      <c r="F3083" s="25">
        <v>0</v>
      </c>
      <c r="G3083" s="26">
        <v>0</v>
      </c>
      <c r="H3083" s="10" t="str">
        <f t="shared" si="48"/>
        <v>COSTOS</v>
      </c>
      <c r="I3083" s="20">
        <v>2026</v>
      </c>
    </row>
    <row r="3084" spans="1:9" x14ac:dyDescent="0.3">
      <c r="A3084" s="23" t="s">
        <v>115</v>
      </c>
      <c r="B3084" s="23" t="s">
        <v>55</v>
      </c>
      <c r="C3084" s="22">
        <v>4</v>
      </c>
      <c r="D3084" s="25">
        <v>0</v>
      </c>
      <c r="E3084" s="25">
        <v>0</v>
      </c>
      <c r="F3084" s="25">
        <v>0</v>
      </c>
      <c r="G3084" s="26">
        <v>0</v>
      </c>
      <c r="H3084" s="10" t="str">
        <f t="shared" si="48"/>
        <v>COSTOS</v>
      </c>
      <c r="I3084" s="20">
        <v>2026</v>
      </c>
    </row>
    <row r="3085" spans="1:9" x14ac:dyDescent="0.3">
      <c r="A3085" s="24" t="s">
        <v>121</v>
      </c>
      <c r="B3085" s="24" t="s">
        <v>55</v>
      </c>
      <c r="C3085" s="22">
        <v>2</v>
      </c>
      <c r="D3085" s="25">
        <v>0</v>
      </c>
      <c r="E3085" s="25">
        <v>91400</v>
      </c>
      <c r="F3085" s="25">
        <v>91400</v>
      </c>
      <c r="G3085" s="26">
        <v>0</v>
      </c>
      <c r="H3085" s="10" t="str">
        <f t="shared" si="48"/>
        <v>COSTOS</v>
      </c>
      <c r="I3085" s="20">
        <v>2026</v>
      </c>
    </row>
    <row r="3086" spans="1:9" x14ac:dyDescent="0.3">
      <c r="A3086" s="24" t="s">
        <v>121</v>
      </c>
      <c r="B3086" s="24" t="s">
        <v>55</v>
      </c>
      <c r="C3086" s="22">
        <v>3</v>
      </c>
      <c r="D3086" s="25">
        <v>0</v>
      </c>
      <c r="E3086" s="25">
        <v>145833</v>
      </c>
      <c r="F3086" s="25">
        <v>145833</v>
      </c>
      <c r="G3086" s="26">
        <v>0</v>
      </c>
      <c r="H3086" s="10" t="str">
        <f t="shared" si="48"/>
        <v>COSTOS</v>
      </c>
      <c r="I3086" s="20">
        <v>2026</v>
      </c>
    </row>
    <row r="3087" spans="1:9" x14ac:dyDescent="0.3">
      <c r="A3087" s="24" t="s">
        <v>121</v>
      </c>
      <c r="B3087" s="24" t="s">
        <v>55</v>
      </c>
      <c r="C3087" s="22">
        <v>4</v>
      </c>
      <c r="D3087" s="25">
        <v>0</v>
      </c>
      <c r="E3087" s="25">
        <v>0</v>
      </c>
      <c r="F3087" s="25">
        <v>0</v>
      </c>
      <c r="G3087" s="26">
        <v>0</v>
      </c>
      <c r="H3087" s="10" t="str">
        <f t="shared" si="48"/>
        <v>COSTOS</v>
      </c>
      <c r="I3087" s="20">
        <v>2026</v>
      </c>
    </row>
    <row r="3088" spans="1:9" x14ac:dyDescent="0.3">
      <c r="A3088" s="23" t="s">
        <v>122</v>
      </c>
      <c r="B3088" s="23" t="s">
        <v>55</v>
      </c>
      <c r="C3088" s="22">
        <v>3</v>
      </c>
      <c r="D3088" s="25">
        <v>0</v>
      </c>
      <c r="E3088" s="25">
        <v>1184900</v>
      </c>
      <c r="F3088" s="25">
        <v>1184900</v>
      </c>
      <c r="G3088" s="26">
        <v>0</v>
      </c>
      <c r="H3088" s="10" t="str">
        <f t="shared" si="48"/>
        <v>COSTOS</v>
      </c>
      <c r="I3088" s="20">
        <v>2026</v>
      </c>
    </row>
    <row r="3089" spans="1:9" x14ac:dyDescent="0.3">
      <c r="A3089" s="24" t="s">
        <v>122</v>
      </c>
      <c r="B3089" s="24" t="s">
        <v>55</v>
      </c>
      <c r="C3089" s="22">
        <v>4</v>
      </c>
      <c r="D3089" s="25">
        <v>0</v>
      </c>
      <c r="E3089" s="25">
        <v>0</v>
      </c>
      <c r="F3089" s="25">
        <v>0</v>
      </c>
      <c r="G3089" s="26">
        <v>0</v>
      </c>
      <c r="H3089" s="10" t="str">
        <f t="shared" si="48"/>
        <v>COSTOS</v>
      </c>
      <c r="I3089" s="20">
        <v>2026</v>
      </c>
    </row>
    <row r="3090" spans="1:9" x14ac:dyDescent="0.3">
      <c r="A3090" s="24" t="s">
        <v>123</v>
      </c>
      <c r="B3090" s="24" t="s">
        <v>55</v>
      </c>
      <c r="C3090" s="22">
        <v>2</v>
      </c>
      <c r="D3090" s="25">
        <v>0</v>
      </c>
      <c r="E3090" s="25">
        <v>2198400</v>
      </c>
      <c r="F3090" s="25">
        <v>2198400</v>
      </c>
      <c r="G3090" s="26">
        <v>0</v>
      </c>
      <c r="H3090" s="10" t="str">
        <f t="shared" si="48"/>
        <v>COSTOS</v>
      </c>
      <c r="I3090" s="20">
        <v>2026</v>
      </c>
    </row>
    <row r="3091" spans="1:9" x14ac:dyDescent="0.3">
      <c r="A3091" s="24" t="s">
        <v>123</v>
      </c>
      <c r="B3091" s="24" t="s">
        <v>55</v>
      </c>
      <c r="C3091" s="22">
        <v>3</v>
      </c>
      <c r="D3091" s="25">
        <v>0</v>
      </c>
      <c r="E3091" s="25">
        <v>233000</v>
      </c>
      <c r="F3091" s="25">
        <v>233000</v>
      </c>
      <c r="G3091" s="26">
        <v>0</v>
      </c>
      <c r="H3091" s="10" t="str">
        <f t="shared" si="48"/>
        <v>COSTOS</v>
      </c>
      <c r="I3091" s="20">
        <v>2026</v>
      </c>
    </row>
    <row r="3092" spans="1:9" x14ac:dyDescent="0.3">
      <c r="A3092" s="23" t="s">
        <v>123</v>
      </c>
      <c r="B3092" s="23" t="s">
        <v>55</v>
      </c>
      <c r="C3092" s="22">
        <v>4</v>
      </c>
      <c r="D3092" s="25">
        <v>0</v>
      </c>
      <c r="E3092" s="25">
        <v>0</v>
      </c>
      <c r="F3092" s="25">
        <v>0</v>
      </c>
      <c r="G3092" s="26">
        <v>0</v>
      </c>
      <c r="H3092" s="10" t="str">
        <f t="shared" si="48"/>
        <v>COSTOS</v>
      </c>
      <c r="I3092" s="20">
        <v>2026</v>
      </c>
    </row>
    <row r="3093" spans="1:9" x14ac:dyDescent="0.3">
      <c r="A3093" s="24" t="s">
        <v>124</v>
      </c>
      <c r="B3093" s="24" t="s">
        <v>55</v>
      </c>
      <c r="C3093" s="22">
        <v>1</v>
      </c>
      <c r="D3093" s="25">
        <v>0</v>
      </c>
      <c r="E3093" s="25">
        <v>211000</v>
      </c>
      <c r="F3093" s="25">
        <v>211000</v>
      </c>
      <c r="G3093" s="26">
        <v>0</v>
      </c>
      <c r="H3093" s="10" t="str">
        <f t="shared" si="48"/>
        <v>COSTOS</v>
      </c>
      <c r="I3093" s="20">
        <v>2026</v>
      </c>
    </row>
    <row r="3094" spans="1:9" x14ac:dyDescent="0.3">
      <c r="A3094" s="24" t="s">
        <v>124</v>
      </c>
      <c r="B3094" s="24" t="s">
        <v>55</v>
      </c>
      <c r="C3094" s="22">
        <v>2</v>
      </c>
      <c r="D3094" s="25">
        <v>0</v>
      </c>
      <c r="E3094" s="25">
        <v>170000</v>
      </c>
      <c r="F3094" s="25">
        <v>170000</v>
      </c>
      <c r="G3094" s="26">
        <v>0</v>
      </c>
      <c r="H3094" s="10" t="str">
        <f t="shared" si="48"/>
        <v>COSTOS</v>
      </c>
      <c r="I3094" s="20">
        <v>2026</v>
      </c>
    </row>
    <row r="3095" spans="1:9" x14ac:dyDescent="0.3">
      <c r="A3095" s="24" t="s">
        <v>124</v>
      </c>
      <c r="B3095" s="24" t="s">
        <v>55</v>
      </c>
      <c r="C3095" s="22">
        <v>3</v>
      </c>
      <c r="D3095" s="25">
        <v>0</v>
      </c>
      <c r="E3095" s="25">
        <v>0</v>
      </c>
      <c r="F3095" s="25">
        <v>0</v>
      </c>
      <c r="G3095" s="26">
        <v>0</v>
      </c>
      <c r="H3095" s="10" t="str">
        <f t="shared" si="48"/>
        <v>COSTOS</v>
      </c>
      <c r="I3095" s="20">
        <v>2026</v>
      </c>
    </row>
    <row r="3096" spans="1:9" x14ac:dyDescent="0.3">
      <c r="A3096" s="23" t="s">
        <v>124</v>
      </c>
      <c r="B3096" s="23" t="s">
        <v>55</v>
      </c>
      <c r="C3096" s="22">
        <v>4</v>
      </c>
      <c r="D3096" s="25">
        <v>0</v>
      </c>
      <c r="E3096" s="25">
        <v>0</v>
      </c>
      <c r="F3096" s="25">
        <v>0</v>
      </c>
      <c r="G3096" s="26">
        <v>0</v>
      </c>
      <c r="H3096" s="10" t="str">
        <f t="shared" si="48"/>
        <v>COSTOS</v>
      </c>
      <c r="I3096" s="20">
        <v>2026</v>
      </c>
    </row>
    <row r="3097" spans="1:9" x14ac:dyDescent="0.3">
      <c r="A3097" s="24" t="s">
        <v>250</v>
      </c>
      <c r="B3097" s="24" t="s">
        <v>55</v>
      </c>
      <c r="C3097" s="22">
        <v>3</v>
      </c>
      <c r="D3097" s="25">
        <v>0</v>
      </c>
      <c r="E3097" s="25">
        <v>2900000</v>
      </c>
      <c r="F3097" s="25">
        <v>2900000</v>
      </c>
      <c r="G3097" s="26">
        <v>0</v>
      </c>
      <c r="H3097" s="10" t="str">
        <f t="shared" si="48"/>
        <v>COSTOS</v>
      </c>
      <c r="I3097" s="20">
        <v>2026</v>
      </c>
    </row>
    <row r="3098" spans="1:9" x14ac:dyDescent="0.3">
      <c r="A3098" s="24" t="s">
        <v>250</v>
      </c>
      <c r="B3098" s="24" t="s">
        <v>55</v>
      </c>
      <c r="C3098" s="22">
        <v>4</v>
      </c>
      <c r="D3098" s="25">
        <v>0</v>
      </c>
      <c r="E3098" s="25">
        <v>0</v>
      </c>
      <c r="F3098" s="25">
        <v>0</v>
      </c>
      <c r="G3098" s="26">
        <v>0</v>
      </c>
      <c r="H3098" s="10" t="str">
        <f t="shared" si="48"/>
        <v>COSTOS</v>
      </c>
      <c r="I3098" s="20">
        <v>2026</v>
      </c>
    </row>
    <row r="3099" spans="1:9" x14ac:dyDescent="0.3">
      <c r="A3099" s="24" t="s">
        <v>126</v>
      </c>
      <c r="B3099" s="24" t="s">
        <v>55</v>
      </c>
      <c r="C3099" s="22">
        <v>4</v>
      </c>
      <c r="D3099" s="25">
        <v>0</v>
      </c>
      <c r="E3099" s="25">
        <v>45054</v>
      </c>
      <c r="F3099" s="25">
        <v>45054</v>
      </c>
      <c r="G3099" s="26">
        <v>0</v>
      </c>
      <c r="H3099" s="10" t="str">
        <f t="shared" si="48"/>
        <v>COSTOS</v>
      </c>
      <c r="I3099" s="20">
        <v>2026</v>
      </c>
    </row>
    <row r="3100" spans="1:9" x14ac:dyDescent="0.3">
      <c r="A3100" s="23" t="s">
        <v>114</v>
      </c>
      <c r="B3100" s="23" t="s">
        <v>63</v>
      </c>
      <c r="C3100" s="22">
        <v>3</v>
      </c>
      <c r="D3100" s="25">
        <v>0</v>
      </c>
      <c r="E3100" s="25">
        <v>114000</v>
      </c>
      <c r="F3100" s="25">
        <v>114000</v>
      </c>
      <c r="G3100" s="26">
        <v>0</v>
      </c>
      <c r="H3100" s="10" t="str">
        <f t="shared" si="48"/>
        <v>COSTOS</v>
      </c>
      <c r="I3100" s="20">
        <v>2026</v>
      </c>
    </row>
    <row r="3101" spans="1:9" x14ac:dyDescent="0.3">
      <c r="A3101" s="24" t="s">
        <v>114</v>
      </c>
      <c r="B3101" s="24" t="s">
        <v>63</v>
      </c>
      <c r="C3101" s="22">
        <v>4</v>
      </c>
      <c r="D3101" s="25">
        <v>0</v>
      </c>
      <c r="E3101" s="25">
        <v>0</v>
      </c>
      <c r="F3101" s="25">
        <v>0</v>
      </c>
      <c r="G3101" s="26">
        <v>0</v>
      </c>
      <c r="H3101" s="10" t="str">
        <f t="shared" si="48"/>
        <v>COSTOS</v>
      </c>
      <c r="I3101" s="20">
        <v>2026</v>
      </c>
    </row>
    <row r="3102" spans="1:9" x14ac:dyDescent="0.3">
      <c r="A3102" s="24" t="s">
        <v>115</v>
      </c>
      <c r="B3102" s="24" t="s">
        <v>63</v>
      </c>
      <c r="C3102" s="22">
        <v>4</v>
      </c>
      <c r="D3102" s="25">
        <v>0</v>
      </c>
      <c r="E3102" s="25">
        <v>60000</v>
      </c>
      <c r="F3102" s="25">
        <v>60000</v>
      </c>
      <c r="G3102" s="26">
        <v>0</v>
      </c>
      <c r="H3102" s="10" t="str">
        <f t="shared" si="48"/>
        <v>COSTOS</v>
      </c>
      <c r="I3102" s="20">
        <v>2026</v>
      </c>
    </row>
    <row r="3103" spans="1:9" x14ac:dyDescent="0.3">
      <c r="A3103" s="24" t="s">
        <v>116</v>
      </c>
      <c r="B3103" s="24" t="s">
        <v>63</v>
      </c>
      <c r="C3103" s="22">
        <v>1</v>
      </c>
      <c r="D3103" s="25">
        <v>200000</v>
      </c>
      <c r="E3103" s="25">
        <v>0</v>
      </c>
      <c r="F3103" s="25">
        <v>-200000</v>
      </c>
      <c r="G3103" s="26">
        <v>0</v>
      </c>
      <c r="H3103" s="10" t="str">
        <f t="shared" si="48"/>
        <v>COSTOS</v>
      </c>
      <c r="I3103" s="20">
        <v>2026</v>
      </c>
    </row>
    <row r="3104" spans="1:9" x14ac:dyDescent="0.3">
      <c r="A3104" s="23" t="s">
        <v>116</v>
      </c>
      <c r="B3104" s="23" t="s">
        <v>63</v>
      </c>
      <c r="C3104" s="22">
        <v>2</v>
      </c>
      <c r="D3104" s="25">
        <v>200000</v>
      </c>
      <c r="E3104" s="25">
        <v>0</v>
      </c>
      <c r="F3104" s="25">
        <v>-200000</v>
      </c>
      <c r="G3104" s="26">
        <v>0</v>
      </c>
      <c r="H3104" s="10" t="str">
        <f t="shared" si="48"/>
        <v>COSTOS</v>
      </c>
      <c r="I3104" s="20">
        <v>2026</v>
      </c>
    </row>
    <row r="3105" spans="1:9" x14ac:dyDescent="0.3">
      <c r="A3105" s="24" t="s">
        <v>116</v>
      </c>
      <c r="B3105" s="24" t="s">
        <v>63</v>
      </c>
      <c r="C3105" s="22">
        <v>3</v>
      </c>
      <c r="D3105" s="25">
        <v>200000</v>
      </c>
      <c r="E3105" s="25">
        <v>0</v>
      </c>
      <c r="F3105" s="25">
        <v>-200000</v>
      </c>
      <c r="G3105" s="26">
        <v>0</v>
      </c>
      <c r="H3105" s="10" t="str">
        <f t="shared" si="48"/>
        <v>COSTOS</v>
      </c>
      <c r="I3105" s="20">
        <v>2026</v>
      </c>
    </row>
    <row r="3106" spans="1:9" x14ac:dyDescent="0.3">
      <c r="A3106" s="24" t="s">
        <v>116</v>
      </c>
      <c r="B3106" s="24" t="s">
        <v>63</v>
      </c>
      <c r="C3106" s="22">
        <v>4</v>
      </c>
      <c r="D3106" s="25">
        <v>200000</v>
      </c>
      <c r="E3106" s="25">
        <v>0</v>
      </c>
      <c r="F3106" s="25">
        <v>-200000</v>
      </c>
      <c r="G3106" s="26">
        <v>0</v>
      </c>
      <c r="H3106" s="10" t="str">
        <f t="shared" si="48"/>
        <v>COSTOS</v>
      </c>
      <c r="I3106" s="20">
        <v>2026</v>
      </c>
    </row>
    <row r="3107" spans="1:9" x14ac:dyDescent="0.3">
      <c r="A3107" s="24" t="s">
        <v>117</v>
      </c>
      <c r="B3107" s="24" t="s">
        <v>63</v>
      </c>
      <c r="C3107" s="22">
        <v>1</v>
      </c>
      <c r="D3107" s="25">
        <v>3500000</v>
      </c>
      <c r="E3107" s="25">
        <v>0</v>
      </c>
      <c r="F3107" s="25">
        <v>-3500000</v>
      </c>
      <c r="G3107" s="26">
        <v>0</v>
      </c>
      <c r="H3107" s="10" t="str">
        <f t="shared" si="48"/>
        <v>COSTOS</v>
      </c>
      <c r="I3107" s="20">
        <v>2026</v>
      </c>
    </row>
    <row r="3108" spans="1:9" x14ac:dyDescent="0.3">
      <c r="A3108" s="23" t="s">
        <v>117</v>
      </c>
      <c r="B3108" s="23" t="s">
        <v>63</v>
      </c>
      <c r="C3108" s="22">
        <v>2</v>
      </c>
      <c r="D3108" s="25">
        <v>200000</v>
      </c>
      <c r="E3108" s="25">
        <v>0</v>
      </c>
      <c r="F3108" s="25">
        <v>-200000</v>
      </c>
      <c r="G3108" s="26">
        <v>0</v>
      </c>
      <c r="H3108" s="10" t="str">
        <f t="shared" si="48"/>
        <v>COSTOS</v>
      </c>
      <c r="I3108" s="20">
        <v>2026</v>
      </c>
    </row>
    <row r="3109" spans="1:9" x14ac:dyDescent="0.3">
      <c r="A3109" s="24" t="s">
        <v>117</v>
      </c>
      <c r="B3109" s="24" t="s">
        <v>63</v>
      </c>
      <c r="C3109" s="22">
        <v>3</v>
      </c>
      <c r="D3109" s="25">
        <v>200000</v>
      </c>
      <c r="E3109" s="25">
        <v>0</v>
      </c>
      <c r="F3109" s="25">
        <v>-200000</v>
      </c>
      <c r="G3109" s="26">
        <v>0</v>
      </c>
      <c r="H3109" s="10" t="str">
        <f t="shared" si="48"/>
        <v>COSTOS</v>
      </c>
      <c r="I3109" s="20">
        <v>2026</v>
      </c>
    </row>
    <row r="3110" spans="1:9" x14ac:dyDescent="0.3">
      <c r="A3110" s="24" t="s">
        <v>117</v>
      </c>
      <c r="B3110" s="24" t="s">
        <v>63</v>
      </c>
      <c r="C3110" s="22">
        <v>4</v>
      </c>
      <c r="D3110" s="25">
        <v>200000</v>
      </c>
      <c r="E3110" s="25">
        <v>0</v>
      </c>
      <c r="F3110" s="25">
        <v>-200000</v>
      </c>
      <c r="G3110" s="26">
        <v>0</v>
      </c>
      <c r="H3110" s="10" t="str">
        <f t="shared" si="48"/>
        <v>COSTOS</v>
      </c>
      <c r="I3110" s="20">
        <v>2026</v>
      </c>
    </row>
    <row r="3111" spans="1:9" x14ac:dyDescent="0.3">
      <c r="A3111" s="24" t="s">
        <v>118</v>
      </c>
      <c r="B3111" s="24" t="s">
        <v>63</v>
      </c>
      <c r="C3111" s="22">
        <v>1</v>
      </c>
      <c r="D3111" s="25">
        <v>200000</v>
      </c>
      <c r="E3111" s="25">
        <v>0</v>
      </c>
      <c r="F3111" s="25">
        <v>-200000</v>
      </c>
      <c r="G3111" s="26">
        <v>0</v>
      </c>
      <c r="H3111" s="10" t="str">
        <f t="shared" si="48"/>
        <v>COSTOS</v>
      </c>
      <c r="I3111" s="20">
        <v>2026</v>
      </c>
    </row>
    <row r="3112" spans="1:9" x14ac:dyDescent="0.3">
      <c r="A3112" s="23" t="s">
        <v>118</v>
      </c>
      <c r="B3112" s="23" t="s">
        <v>63</v>
      </c>
      <c r="C3112" s="22">
        <v>2</v>
      </c>
      <c r="D3112" s="25">
        <v>200000</v>
      </c>
      <c r="E3112" s="25">
        <v>0</v>
      </c>
      <c r="F3112" s="25">
        <v>-200000</v>
      </c>
      <c r="G3112" s="26">
        <v>0</v>
      </c>
      <c r="H3112" s="10" t="str">
        <f t="shared" si="48"/>
        <v>COSTOS</v>
      </c>
      <c r="I3112" s="20">
        <v>2026</v>
      </c>
    </row>
    <row r="3113" spans="1:9" x14ac:dyDescent="0.3">
      <c r="A3113" s="24" t="s">
        <v>118</v>
      </c>
      <c r="B3113" s="24" t="s">
        <v>63</v>
      </c>
      <c r="C3113" s="22">
        <v>3</v>
      </c>
      <c r="D3113" s="25">
        <v>200000</v>
      </c>
      <c r="E3113" s="25">
        <v>0</v>
      </c>
      <c r="F3113" s="25">
        <v>-200000</v>
      </c>
      <c r="G3113" s="26">
        <v>0</v>
      </c>
      <c r="H3113" s="10" t="str">
        <f t="shared" si="48"/>
        <v>COSTOS</v>
      </c>
      <c r="I3113" s="20">
        <v>2026</v>
      </c>
    </row>
    <row r="3114" spans="1:9" x14ac:dyDescent="0.3">
      <c r="A3114" s="24" t="s">
        <v>118</v>
      </c>
      <c r="B3114" s="24" t="s">
        <v>63</v>
      </c>
      <c r="C3114" s="22">
        <v>4</v>
      </c>
      <c r="D3114" s="25">
        <v>3500000</v>
      </c>
      <c r="E3114" s="25">
        <v>365815</v>
      </c>
      <c r="F3114" s="25">
        <v>-3134185</v>
      </c>
      <c r="G3114" s="26">
        <v>0.10451857142857143</v>
      </c>
      <c r="H3114" s="10" t="str">
        <f t="shared" si="48"/>
        <v>COSTOS</v>
      </c>
      <c r="I3114" s="20">
        <v>2026</v>
      </c>
    </row>
    <row r="3115" spans="1:9" x14ac:dyDescent="0.3">
      <c r="A3115" s="24" t="s">
        <v>119</v>
      </c>
      <c r="B3115" s="24" t="s">
        <v>63</v>
      </c>
      <c r="C3115" s="22">
        <v>1</v>
      </c>
      <c r="D3115" s="25">
        <v>200000</v>
      </c>
      <c r="E3115" s="25">
        <v>0</v>
      </c>
      <c r="F3115" s="25">
        <v>-200000</v>
      </c>
      <c r="G3115" s="26">
        <v>0</v>
      </c>
      <c r="H3115" s="10" t="str">
        <f t="shared" si="48"/>
        <v>COSTOS</v>
      </c>
      <c r="I3115" s="20">
        <v>2026</v>
      </c>
    </row>
    <row r="3116" spans="1:9" x14ac:dyDescent="0.3">
      <c r="A3116" s="23" t="s">
        <v>119</v>
      </c>
      <c r="B3116" s="23" t="s">
        <v>63</v>
      </c>
      <c r="C3116" s="22">
        <v>2</v>
      </c>
      <c r="D3116" s="25">
        <v>200000</v>
      </c>
      <c r="E3116" s="25">
        <v>0</v>
      </c>
      <c r="F3116" s="25">
        <v>-200000</v>
      </c>
      <c r="G3116" s="26">
        <v>0</v>
      </c>
      <c r="H3116" s="10" t="str">
        <f t="shared" si="48"/>
        <v>COSTOS</v>
      </c>
      <c r="I3116" s="20">
        <v>2026</v>
      </c>
    </row>
    <row r="3117" spans="1:9" x14ac:dyDescent="0.3">
      <c r="A3117" s="24" t="s">
        <v>119</v>
      </c>
      <c r="B3117" s="24" t="s">
        <v>63</v>
      </c>
      <c r="C3117" s="22">
        <v>3</v>
      </c>
      <c r="D3117" s="25">
        <v>200000</v>
      </c>
      <c r="E3117" s="25">
        <v>0</v>
      </c>
      <c r="F3117" s="25">
        <v>-200000</v>
      </c>
      <c r="G3117" s="26">
        <v>0</v>
      </c>
      <c r="H3117" s="10" t="str">
        <f t="shared" si="48"/>
        <v>COSTOS</v>
      </c>
      <c r="I3117" s="20">
        <v>2026</v>
      </c>
    </row>
    <row r="3118" spans="1:9" x14ac:dyDescent="0.3">
      <c r="A3118" s="24" t="s">
        <v>119</v>
      </c>
      <c r="B3118" s="24" t="s">
        <v>63</v>
      </c>
      <c r="C3118" s="22">
        <v>4</v>
      </c>
      <c r="D3118" s="25">
        <v>200000</v>
      </c>
      <c r="E3118" s="25">
        <v>0</v>
      </c>
      <c r="F3118" s="25">
        <v>-200000</v>
      </c>
      <c r="G3118" s="26">
        <v>0</v>
      </c>
      <c r="H3118" s="10" t="str">
        <f t="shared" ref="H3118:H3181" si="49">+IF(OR(A3118="ADMINISTRACION",A3118="COMERCIAL",A3118="COMERCIAL-EXPORTACIONES",A3118="LEASING DE LA BODEGA",A3118="LOGISTICA-SALIDA",A3118="OTROS GASTOS",A3118="BODEGA ALQUILADA", A3118="BODEGA CARTOPLAST", A3118="BODEGA CARTOPLAS", A3118= "GESTION HUMANA-OTROS GASTOS",A3118="FAMILIA"),"GASTOS","COSTOS")</f>
        <v>COSTOS</v>
      </c>
      <c r="I3118" s="20">
        <v>2026</v>
      </c>
    </row>
    <row r="3119" spans="1:9" x14ac:dyDescent="0.3">
      <c r="A3119" s="24" t="s">
        <v>120</v>
      </c>
      <c r="B3119" s="24" t="s">
        <v>63</v>
      </c>
      <c r="C3119" s="22">
        <v>1</v>
      </c>
      <c r="D3119" s="25">
        <v>200000</v>
      </c>
      <c r="E3119" s="25">
        <v>0</v>
      </c>
      <c r="F3119" s="25">
        <v>-200000</v>
      </c>
      <c r="G3119" s="26">
        <v>0</v>
      </c>
      <c r="H3119" s="10" t="str">
        <f t="shared" si="49"/>
        <v>COSTOS</v>
      </c>
      <c r="I3119" s="20">
        <v>2026</v>
      </c>
    </row>
    <row r="3120" spans="1:9" x14ac:dyDescent="0.3">
      <c r="A3120" s="23" t="s">
        <v>120</v>
      </c>
      <c r="B3120" s="23" t="s">
        <v>63</v>
      </c>
      <c r="C3120" s="22">
        <v>2</v>
      </c>
      <c r="D3120" s="25">
        <v>3500000</v>
      </c>
      <c r="E3120" s="25">
        <v>176420</v>
      </c>
      <c r="F3120" s="25">
        <v>-3323580</v>
      </c>
      <c r="G3120" s="26">
        <v>5.040571428571429E-2</v>
      </c>
      <c r="H3120" s="10" t="str">
        <f t="shared" si="49"/>
        <v>COSTOS</v>
      </c>
      <c r="I3120" s="20">
        <v>2026</v>
      </c>
    </row>
    <row r="3121" spans="1:9" x14ac:dyDescent="0.3">
      <c r="A3121" s="24" t="s">
        <v>120</v>
      </c>
      <c r="B3121" s="24" t="s">
        <v>63</v>
      </c>
      <c r="C3121" s="22">
        <v>3</v>
      </c>
      <c r="D3121" s="25">
        <v>200000</v>
      </c>
      <c r="E3121" s="25">
        <v>0</v>
      </c>
      <c r="F3121" s="25">
        <v>-200000</v>
      </c>
      <c r="G3121" s="26">
        <v>0</v>
      </c>
      <c r="H3121" s="10" t="str">
        <f t="shared" si="49"/>
        <v>COSTOS</v>
      </c>
      <c r="I3121" s="20">
        <v>2026</v>
      </c>
    </row>
    <row r="3122" spans="1:9" x14ac:dyDescent="0.3">
      <c r="A3122" s="24" t="s">
        <v>120</v>
      </c>
      <c r="B3122" s="24" t="s">
        <v>63</v>
      </c>
      <c r="C3122" s="22">
        <v>4</v>
      </c>
      <c r="D3122" s="25">
        <v>200000</v>
      </c>
      <c r="E3122" s="25">
        <v>0</v>
      </c>
      <c r="F3122" s="25">
        <v>-200000</v>
      </c>
      <c r="G3122" s="26">
        <v>0</v>
      </c>
      <c r="H3122" s="10" t="str">
        <f t="shared" si="49"/>
        <v>COSTOS</v>
      </c>
      <c r="I3122" s="20">
        <v>2026</v>
      </c>
    </row>
    <row r="3123" spans="1:9" x14ac:dyDescent="0.3">
      <c r="A3123" s="24" t="s">
        <v>121</v>
      </c>
      <c r="B3123" s="24" t="s">
        <v>63</v>
      </c>
      <c r="C3123" s="22">
        <v>1</v>
      </c>
      <c r="D3123" s="25">
        <v>200000</v>
      </c>
      <c r="E3123" s="25">
        <v>0</v>
      </c>
      <c r="F3123" s="25">
        <v>-200000</v>
      </c>
      <c r="G3123" s="26">
        <v>0</v>
      </c>
      <c r="H3123" s="10" t="str">
        <f t="shared" si="49"/>
        <v>COSTOS</v>
      </c>
      <c r="I3123" s="20">
        <v>2026</v>
      </c>
    </row>
    <row r="3124" spans="1:9" x14ac:dyDescent="0.3">
      <c r="A3124" s="23" t="s">
        <v>121</v>
      </c>
      <c r="B3124" s="23" t="s">
        <v>63</v>
      </c>
      <c r="C3124" s="22">
        <v>2</v>
      </c>
      <c r="D3124" s="25">
        <v>200000</v>
      </c>
      <c r="E3124" s="25">
        <v>0</v>
      </c>
      <c r="F3124" s="25">
        <v>-200000</v>
      </c>
      <c r="G3124" s="26">
        <v>0</v>
      </c>
      <c r="H3124" s="10" t="str">
        <f t="shared" si="49"/>
        <v>COSTOS</v>
      </c>
      <c r="I3124" s="20">
        <v>2026</v>
      </c>
    </row>
    <row r="3125" spans="1:9" x14ac:dyDescent="0.3">
      <c r="A3125" s="24" t="s">
        <v>121</v>
      </c>
      <c r="B3125" s="24" t="s">
        <v>63</v>
      </c>
      <c r="C3125" s="22">
        <v>3</v>
      </c>
      <c r="D3125" s="25">
        <v>200000</v>
      </c>
      <c r="E3125" s="25">
        <v>0</v>
      </c>
      <c r="F3125" s="25">
        <v>-200000</v>
      </c>
      <c r="G3125" s="26">
        <v>0</v>
      </c>
      <c r="H3125" s="10" t="str">
        <f t="shared" si="49"/>
        <v>COSTOS</v>
      </c>
      <c r="I3125" s="20">
        <v>2026</v>
      </c>
    </row>
    <row r="3126" spans="1:9" x14ac:dyDescent="0.3">
      <c r="A3126" s="24" t="s">
        <v>121</v>
      </c>
      <c r="B3126" s="24" t="s">
        <v>63</v>
      </c>
      <c r="C3126" s="22">
        <v>4</v>
      </c>
      <c r="D3126" s="25">
        <v>200000</v>
      </c>
      <c r="E3126" s="25">
        <v>321230</v>
      </c>
      <c r="F3126" s="25">
        <v>121230</v>
      </c>
      <c r="G3126" s="26">
        <v>1.60615</v>
      </c>
      <c r="H3126" s="10" t="str">
        <f t="shared" si="49"/>
        <v>COSTOS</v>
      </c>
      <c r="I3126" s="20">
        <v>2026</v>
      </c>
    </row>
    <row r="3127" spans="1:9" x14ac:dyDescent="0.3">
      <c r="A3127" s="24" t="s">
        <v>122</v>
      </c>
      <c r="B3127" s="24" t="s">
        <v>63</v>
      </c>
      <c r="C3127" s="22">
        <v>1</v>
      </c>
      <c r="D3127" s="25">
        <v>200000</v>
      </c>
      <c r="E3127" s="25">
        <v>0</v>
      </c>
      <c r="F3127" s="25">
        <v>-200000</v>
      </c>
      <c r="G3127" s="26">
        <v>0</v>
      </c>
      <c r="H3127" s="10" t="str">
        <f t="shared" si="49"/>
        <v>COSTOS</v>
      </c>
      <c r="I3127" s="20">
        <v>2026</v>
      </c>
    </row>
    <row r="3128" spans="1:9" x14ac:dyDescent="0.3">
      <c r="A3128" s="23" t="s">
        <v>122</v>
      </c>
      <c r="B3128" s="23" t="s">
        <v>63</v>
      </c>
      <c r="C3128" s="22">
        <v>2</v>
      </c>
      <c r="D3128" s="25">
        <v>200000</v>
      </c>
      <c r="E3128" s="25">
        <v>0</v>
      </c>
      <c r="F3128" s="25">
        <v>-200000</v>
      </c>
      <c r="G3128" s="26">
        <v>0</v>
      </c>
      <c r="H3128" s="10" t="str">
        <f t="shared" si="49"/>
        <v>COSTOS</v>
      </c>
      <c r="I3128" s="20">
        <v>2026</v>
      </c>
    </row>
    <row r="3129" spans="1:9" x14ac:dyDescent="0.3">
      <c r="A3129" s="24" t="s">
        <v>122</v>
      </c>
      <c r="B3129" s="24" t="s">
        <v>63</v>
      </c>
      <c r="C3129" s="22">
        <v>3</v>
      </c>
      <c r="D3129" s="25">
        <v>3500000</v>
      </c>
      <c r="E3129" s="25">
        <v>0</v>
      </c>
      <c r="F3129" s="25">
        <v>-3500000</v>
      </c>
      <c r="G3129" s="26">
        <v>0</v>
      </c>
      <c r="H3129" s="10" t="str">
        <f t="shared" si="49"/>
        <v>COSTOS</v>
      </c>
      <c r="I3129" s="20">
        <v>2026</v>
      </c>
    </row>
    <row r="3130" spans="1:9" x14ac:dyDescent="0.3">
      <c r="A3130" s="24" t="s">
        <v>122</v>
      </c>
      <c r="B3130" s="24" t="s">
        <v>63</v>
      </c>
      <c r="C3130" s="22">
        <v>4</v>
      </c>
      <c r="D3130" s="25">
        <v>200000</v>
      </c>
      <c r="E3130" s="25">
        <v>0</v>
      </c>
      <c r="F3130" s="25">
        <v>-200000</v>
      </c>
      <c r="G3130" s="26">
        <v>0</v>
      </c>
      <c r="H3130" s="10" t="str">
        <f t="shared" si="49"/>
        <v>COSTOS</v>
      </c>
      <c r="I3130" s="20">
        <v>2026</v>
      </c>
    </row>
    <row r="3131" spans="1:9" x14ac:dyDescent="0.3">
      <c r="A3131" s="24" t="s">
        <v>123</v>
      </c>
      <c r="B3131" s="24" t="s">
        <v>63</v>
      </c>
      <c r="C3131" s="22">
        <v>1</v>
      </c>
      <c r="D3131" s="25">
        <v>5000000</v>
      </c>
      <c r="E3131" s="25">
        <v>0</v>
      </c>
      <c r="F3131" s="25">
        <v>-5000000</v>
      </c>
      <c r="G3131" s="26">
        <v>0</v>
      </c>
      <c r="H3131" s="10" t="str">
        <f t="shared" si="49"/>
        <v>COSTOS</v>
      </c>
      <c r="I3131" s="20">
        <v>2026</v>
      </c>
    </row>
    <row r="3132" spans="1:9" x14ac:dyDescent="0.3">
      <c r="A3132" s="23" t="s">
        <v>123</v>
      </c>
      <c r="B3132" s="23" t="s">
        <v>63</v>
      </c>
      <c r="C3132" s="22">
        <v>2</v>
      </c>
      <c r="D3132" s="25">
        <v>5000000</v>
      </c>
      <c r="E3132" s="25">
        <v>0</v>
      </c>
      <c r="F3132" s="25">
        <v>-5000000</v>
      </c>
      <c r="G3132" s="26">
        <v>0</v>
      </c>
      <c r="H3132" s="10" t="str">
        <f t="shared" si="49"/>
        <v>COSTOS</v>
      </c>
      <c r="I3132" s="20">
        <v>2026</v>
      </c>
    </row>
    <row r="3133" spans="1:9" x14ac:dyDescent="0.3">
      <c r="A3133" s="24" t="s">
        <v>123</v>
      </c>
      <c r="B3133" s="24" t="s">
        <v>63</v>
      </c>
      <c r="C3133" s="22">
        <v>3</v>
      </c>
      <c r="D3133" s="25">
        <v>5000000</v>
      </c>
      <c r="E3133" s="25">
        <v>52070000</v>
      </c>
      <c r="F3133" s="25">
        <v>47070000</v>
      </c>
      <c r="G3133" s="26">
        <v>10.414</v>
      </c>
      <c r="H3133" s="10" t="str">
        <f t="shared" si="49"/>
        <v>COSTOS</v>
      </c>
      <c r="I3133" s="20">
        <v>2026</v>
      </c>
    </row>
    <row r="3134" spans="1:9" x14ac:dyDescent="0.3">
      <c r="A3134" s="24" t="s">
        <v>123</v>
      </c>
      <c r="B3134" s="24" t="s">
        <v>63</v>
      </c>
      <c r="C3134" s="22">
        <v>4</v>
      </c>
      <c r="D3134" s="25">
        <v>7850000</v>
      </c>
      <c r="E3134" s="25">
        <v>0</v>
      </c>
      <c r="F3134" s="25">
        <v>-7850000</v>
      </c>
      <c r="G3134" s="26">
        <v>0</v>
      </c>
      <c r="H3134" s="10" t="str">
        <f t="shared" si="49"/>
        <v>COSTOS</v>
      </c>
      <c r="I3134" s="20">
        <v>2026</v>
      </c>
    </row>
    <row r="3135" spans="1:9" x14ac:dyDescent="0.3">
      <c r="A3135" s="24" t="s">
        <v>124</v>
      </c>
      <c r="B3135" s="24" t="s">
        <v>63</v>
      </c>
      <c r="C3135" s="22">
        <v>1</v>
      </c>
      <c r="D3135" s="25">
        <v>0</v>
      </c>
      <c r="E3135" s="25">
        <v>0</v>
      </c>
      <c r="F3135" s="25">
        <v>0</v>
      </c>
      <c r="G3135" s="26">
        <v>0</v>
      </c>
      <c r="H3135" s="10" t="str">
        <f t="shared" si="49"/>
        <v>COSTOS</v>
      </c>
      <c r="I3135" s="20">
        <v>2026</v>
      </c>
    </row>
    <row r="3136" spans="1:9" x14ac:dyDescent="0.3">
      <c r="A3136" s="23" t="s">
        <v>124</v>
      </c>
      <c r="B3136" s="23" t="s">
        <v>63</v>
      </c>
      <c r="C3136" s="22">
        <v>2</v>
      </c>
      <c r="D3136" s="25">
        <v>0</v>
      </c>
      <c r="E3136" s="25">
        <v>0</v>
      </c>
      <c r="F3136" s="25">
        <v>0</v>
      </c>
      <c r="G3136" s="26">
        <v>0</v>
      </c>
      <c r="H3136" s="10" t="str">
        <f t="shared" si="49"/>
        <v>COSTOS</v>
      </c>
      <c r="I3136" s="20">
        <v>2026</v>
      </c>
    </row>
    <row r="3137" spans="1:9" x14ac:dyDescent="0.3">
      <c r="A3137" s="24" t="s">
        <v>124</v>
      </c>
      <c r="B3137" s="24" t="s">
        <v>63</v>
      </c>
      <c r="C3137" s="22">
        <v>3</v>
      </c>
      <c r="D3137" s="25">
        <v>0</v>
      </c>
      <c r="E3137" s="25">
        <v>0</v>
      </c>
      <c r="F3137" s="25">
        <v>0</v>
      </c>
      <c r="G3137" s="26">
        <v>0</v>
      </c>
      <c r="H3137" s="10" t="str">
        <f t="shared" si="49"/>
        <v>COSTOS</v>
      </c>
      <c r="I3137" s="20">
        <v>2026</v>
      </c>
    </row>
    <row r="3138" spans="1:9" x14ac:dyDescent="0.3">
      <c r="A3138" s="24" t="s">
        <v>124</v>
      </c>
      <c r="B3138" s="24" t="s">
        <v>63</v>
      </c>
      <c r="C3138" s="22">
        <v>4</v>
      </c>
      <c r="D3138" s="25">
        <v>0</v>
      </c>
      <c r="E3138" s="25">
        <v>0</v>
      </c>
      <c r="F3138" s="25">
        <v>0</v>
      </c>
      <c r="G3138" s="26">
        <v>0</v>
      </c>
      <c r="H3138" s="10" t="str">
        <f t="shared" si="49"/>
        <v>COSTOS</v>
      </c>
      <c r="I3138" s="20">
        <v>2026</v>
      </c>
    </row>
    <row r="3139" spans="1:9" x14ac:dyDescent="0.3">
      <c r="A3139" s="24" t="s">
        <v>167</v>
      </c>
      <c r="B3139" s="24" t="s">
        <v>63</v>
      </c>
      <c r="C3139" s="22">
        <v>1</v>
      </c>
      <c r="D3139" s="25">
        <v>0</v>
      </c>
      <c r="E3139" s="25">
        <v>0</v>
      </c>
      <c r="F3139" s="25">
        <v>0</v>
      </c>
      <c r="G3139" s="26">
        <v>0</v>
      </c>
      <c r="H3139" s="10" t="str">
        <f t="shared" si="49"/>
        <v>COSTOS</v>
      </c>
      <c r="I3139" s="20">
        <v>2026</v>
      </c>
    </row>
    <row r="3140" spans="1:9" x14ac:dyDescent="0.3">
      <c r="A3140" s="23" t="s">
        <v>167</v>
      </c>
      <c r="B3140" s="23" t="s">
        <v>63</v>
      </c>
      <c r="C3140" s="22">
        <v>2</v>
      </c>
      <c r="D3140" s="25">
        <v>0</v>
      </c>
      <c r="E3140" s="25">
        <v>0</v>
      </c>
      <c r="F3140" s="25">
        <v>0</v>
      </c>
      <c r="G3140" s="26">
        <v>0</v>
      </c>
      <c r="H3140" s="10" t="str">
        <f t="shared" si="49"/>
        <v>COSTOS</v>
      </c>
      <c r="I3140" s="20">
        <v>2026</v>
      </c>
    </row>
    <row r="3141" spans="1:9" x14ac:dyDescent="0.3">
      <c r="A3141" s="24" t="s">
        <v>167</v>
      </c>
      <c r="B3141" s="24" t="s">
        <v>63</v>
      </c>
      <c r="C3141" s="22">
        <v>3</v>
      </c>
      <c r="D3141" s="25">
        <v>0</v>
      </c>
      <c r="E3141" s="25">
        <v>0</v>
      </c>
      <c r="F3141" s="25">
        <v>0</v>
      </c>
      <c r="G3141" s="26">
        <v>0</v>
      </c>
      <c r="H3141" s="10" t="str">
        <f t="shared" si="49"/>
        <v>COSTOS</v>
      </c>
      <c r="I3141" s="20">
        <v>2026</v>
      </c>
    </row>
    <row r="3142" spans="1:9" x14ac:dyDescent="0.3">
      <c r="A3142" s="24" t="s">
        <v>167</v>
      </c>
      <c r="B3142" s="24" t="s">
        <v>63</v>
      </c>
      <c r="C3142" s="22">
        <v>4</v>
      </c>
      <c r="D3142" s="25">
        <v>0</v>
      </c>
      <c r="E3142" s="25">
        <v>0</v>
      </c>
      <c r="F3142" s="25">
        <v>0</v>
      </c>
      <c r="G3142" s="26">
        <v>0</v>
      </c>
      <c r="H3142" s="10" t="str">
        <f t="shared" si="49"/>
        <v>COSTOS</v>
      </c>
      <c r="I3142" s="20">
        <v>2026</v>
      </c>
    </row>
    <row r="3143" spans="1:9" x14ac:dyDescent="0.3">
      <c r="A3143" s="24" t="s">
        <v>250</v>
      </c>
      <c r="B3143" s="24" t="s">
        <v>63</v>
      </c>
      <c r="C3143" s="22">
        <v>2</v>
      </c>
      <c r="D3143" s="25">
        <v>0</v>
      </c>
      <c r="E3143" s="25">
        <v>69952</v>
      </c>
      <c r="F3143" s="25">
        <v>69952</v>
      </c>
      <c r="G3143" s="26">
        <v>0</v>
      </c>
      <c r="H3143" s="10" t="str">
        <f t="shared" si="49"/>
        <v>COSTOS</v>
      </c>
      <c r="I3143" s="20">
        <v>2026</v>
      </c>
    </row>
    <row r="3144" spans="1:9" x14ac:dyDescent="0.3">
      <c r="A3144" s="23" t="s">
        <v>250</v>
      </c>
      <c r="B3144" s="23" t="s">
        <v>63</v>
      </c>
      <c r="C3144" s="22">
        <v>3</v>
      </c>
      <c r="D3144" s="25">
        <v>0</v>
      </c>
      <c r="E3144" s="25">
        <v>672000</v>
      </c>
      <c r="F3144" s="25">
        <v>672000</v>
      </c>
      <c r="G3144" s="26">
        <v>0</v>
      </c>
      <c r="H3144" s="10" t="str">
        <f t="shared" si="49"/>
        <v>COSTOS</v>
      </c>
      <c r="I3144" s="20">
        <v>2026</v>
      </c>
    </row>
    <row r="3145" spans="1:9" x14ac:dyDescent="0.3">
      <c r="A3145" s="24" t="s">
        <v>250</v>
      </c>
      <c r="B3145" s="24" t="s">
        <v>63</v>
      </c>
      <c r="C3145" s="22">
        <v>4</v>
      </c>
      <c r="D3145" s="25">
        <v>0</v>
      </c>
      <c r="E3145" s="25">
        <v>0</v>
      </c>
      <c r="F3145" s="25">
        <v>0</v>
      </c>
      <c r="G3145" s="26">
        <v>0</v>
      </c>
      <c r="H3145" s="10" t="str">
        <f t="shared" si="49"/>
        <v>COSTOS</v>
      </c>
      <c r="I3145" s="20">
        <v>2026</v>
      </c>
    </row>
    <row r="3146" spans="1:9" x14ac:dyDescent="0.3">
      <c r="A3146" s="24" t="s">
        <v>154</v>
      </c>
      <c r="B3146" s="24" t="s">
        <v>63</v>
      </c>
      <c r="C3146" s="22">
        <v>1</v>
      </c>
      <c r="D3146" s="25">
        <v>1700000</v>
      </c>
      <c r="E3146" s="25">
        <v>386647</v>
      </c>
      <c r="F3146" s="25">
        <v>-1313353</v>
      </c>
      <c r="G3146" s="26">
        <v>0.22743941176470589</v>
      </c>
      <c r="H3146" s="10" t="str">
        <f t="shared" si="49"/>
        <v>COSTOS</v>
      </c>
      <c r="I3146" s="20">
        <v>2026</v>
      </c>
    </row>
    <row r="3147" spans="1:9" x14ac:dyDescent="0.3">
      <c r="A3147" s="24" t="s">
        <v>154</v>
      </c>
      <c r="B3147" s="24" t="s">
        <v>63</v>
      </c>
      <c r="C3147" s="22">
        <v>2</v>
      </c>
      <c r="D3147" s="25">
        <v>0</v>
      </c>
      <c r="E3147" s="25">
        <v>0</v>
      </c>
      <c r="F3147" s="25">
        <v>0</v>
      </c>
      <c r="G3147" s="26">
        <v>0</v>
      </c>
      <c r="H3147" s="10" t="str">
        <f t="shared" si="49"/>
        <v>COSTOS</v>
      </c>
      <c r="I3147" s="20">
        <v>2026</v>
      </c>
    </row>
    <row r="3148" spans="1:9" x14ac:dyDescent="0.3">
      <c r="A3148" s="23" t="s">
        <v>154</v>
      </c>
      <c r="B3148" s="23" t="s">
        <v>63</v>
      </c>
      <c r="C3148" s="22">
        <v>3</v>
      </c>
      <c r="D3148" s="25">
        <v>0</v>
      </c>
      <c r="E3148" s="25">
        <v>1712875</v>
      </c>
      <c r="F3148" s="25">
        <v>1712875</v>
      </c>
      <c r="G3148" s="26">
        <v>0</v>
      </c>
      <c r="H3148" s="10" t="str">
        <f t="shared" si="49"/>
        <v>COSTOS</v>
      </c>
      <c r="I3148" s="20">
        <v>2026</v>
      </c>
    </row>
    <row r="3149" spans="1:9" x14ac:dyDescent="0.3">
      <c r="A3149" s="24" t="s">
        <v>154</v>
      </c>
      <c r="B3149" s="24" t="s">
        <v>63</v>
      </c>
      <c r="C3149" s="22">
        <v>4</v>
      </c>
      <c r="D3149" s="25">
        <v>0</v>
      </c>
      <c r="E3149" s="25">
        <v>0</v>
      </c>
      <c r="F3149" s="25">
        <v>0</v>
      </c>
      <c r="G3149" s="26">
        <v>0</v>
      </c>
      <c r="H3149" s="10" t="str">
        <f t="shared" si="49"/>
        <v>COSTOS</v>
      </c>
      <c r="I3149" s="20">
        <v>2026</v>
      </c>
    </row>
    <row r="3150" spans="1:9" x14ac:dyDescent="0.3">
      <c r="A3150" s="23" t="s">
        <v>125</v>
      </c>
      <c r="B3150" s="23" t="s">
        <v>63</v>
      </c>
      <c r="C3150" s="22">
        <v>1</v>
      </c>
      <c r="D3150" s="25">
        <v>1000000</v>
      </c>
      <c r="E3150" s="25">
        <v>0</v>
      </c>
      <c r="F3150" s="25">
        <v>-1000000</v>
      </c>
      <c r="G3150" s="26">
        <v>0</v>
      </c>
      <c r="H3150" s="10" t="str">
        <f t="shared" si="49"/>
        <v>COSTOS</v>
      </c>
      <c r="I3150" s="20">
        <v>2026</v>
      </c>
    </row>
    <row r="3151" spans="1:9" x14ac:dyDescent="0.3">
      <c r="A3151" s="24" t="s">
        <v>125</v>
      </c>
      <c r="B3151" s="24" t="s">
        <v>63</v>
      </c>
      <c r="C3151" s="22">
        <v>2</v>
      </c>
      <c r="D3151" s="25">
        <v>0</v>
      </c>
      <c r="E3151" s="25">
        <v>990000</v>
      </c>
      <c r="F3151" s="25">
        <v>990000</v>
      </c>
      <c r="G3151" s="26">
        <v>0</v>
      </c>
      <c r="H3151" s="10" t="str">
        <f t="shared" si="49"/>
        <v>COSTOS</v>
      </c>
      <c r="I3151" s="20">
        <v>2026</v>
      </c>
    </row>
    <row r="3152" spans="1:9" x14ac:dyDescent="0.3">
      <c r="A3152" s="24" t="s">
        <v>125</v>
      </c>
      <c r="B3152" s="24" t="s">
        <v>63</v>
      </c>
      <c r="C3152" s="22">
        <v>3</v>
      </c>
      <c r="D3152" s="25">
        <v>0</v>
      </c>
      <c r="E3152" s="25">
        <v>0</v>
      </c>
      <c r="F3152" s="25">
        <v>0</v>
      </c>
      <c r="G3152" s="26">
        <v>0</v>
      </c>
      <c r="H3152" s="10" t="str">
        <f t="shared" si="49"/>
        <v>COSTOS</v>
      </c>
      <c r="I3152" s="20">
        <v>2026</v>
      </c>
    </row>
    <row r="3153" spans="1:9" x14ac:dyDescent="0.3">
      <c r="A3153" s="24" t="s">
        <v>125</v>
      </c>
      <c r="B3153" s="24" t="s">
        <v>63</v>
      </c>
      <c r="C3153" s="22">
        <v>4</v>
      </c>
      <c r="D3153" s="25">
        <v>100000</v>
      </c>
      <c r="E3153" s="25">
        <v>0</v>
      </c>
      <c r="F3153" s="25">
        <v>-100000</v>
      </c>
      <c r="G3153" s="26">
        <v>0</v>
      </c>
      <c r="H3153" s="10" t="str">
        <f t="shared" si="49"/>
        <v>COSTOS</v>
      </c>
      <c r="I3153" s="20">
        <v>2026</v>
      </c>
    </row>
    <row r="3154" spans="1:9" x14ac:dyDescent="0.3">
      <c r="A3154" s="23" t="s">
        <v>126</v>
      </c>
      <c r="B3154" s="23" t="s">
        <v>63</v>
      </c>
      <c r="C3154" s="22">
        <v>1</v>
      </c>
      <c r="D3154" s="25">
        <v>0</v>
      </c>
      <c r="E3154" s="25">
        <v>0</v>
      </c>
      <c r="F3154" s="25">
        <v>0</v>
      </c>
      <c r="G3154" s="26">
        <v>0</v>
      </c>
      <c r="H3154" s="10" t="str">
        <f t="shared" si="49"/>
        <v>COSTOS</v>
      </c>
      <c r="I3154" s="20">
        <v>2026</v>
      </c>
    </row>
    <row r="3155" spans="1:9" x14ac:dyDescent="0.3">
      <c r="A3155" s="24" t="s">
        <v>126</v>
      </c>
      <c r="B3155" s="24" t="s">
        <v>63</v>
      </c>
      <c r="C3155" s="22">
        <v>2</v>
      </c>
      <c r="D3155" s="25">
        <v>0</v>
      </c>
      <c r="E3155" s="25">
        <v>0</v>
      </c>
      <c r="F3155" s="25">
        <v>0</v>
      </c>
      <c r="G3155" s="26">
        <v>0</v>
      </c>
      <c r="H3155" s="10" t="str">
        <f t="shared" si="49"/>
        <v>COSTOS</v>
      </c>
      <c r="I3155" s="20">
        <v>2026</v>
      </c>
    </row>
    <row r="3156" spans="1:9" x14ac:dyDescent="0.3">
      <c r="A3156" s="24" t="s">
        <v>126</v>
      </c>
      <c r="B3156" s="24" t="s">
        <v>63</v>
      </c>
      <c r="C3156" s="22">
        <v>3</v>
      </c>
      <c r="D3156" s="25">
        <v>200000</v>
      </c>
      <c r="E3156" s="25">
        <v>0</v>
      </c>
      <c r="F3156" s="25">
        <v>-200000</v>
      </c>
      <c r="G3156" s="26">
        <v>0</v>
      </c>
      <c r="H3156" s="10" t="str">
        <f t="shared" si="49"/>
        <v>COSTOS</v>
      </c>
      <c r="I3156" s="20">
        <v>2026</v>
      </c>
    </row>
    <row r="3157" spans="1:9" x14ac:dyDescent="0.3">
      <c r="A3157" s="24" t="s">
        <v>126</v>
      </c>
      <c r="B3157" s="24" t="s">
        <v>63</v>
      </c>
      <c r="C3157" s="22">
        <v>4</v>
      </c>
      <c r="D3157" s="25">
        <v>0</v>
      </c>
      <c r="E3157" s="25">
        <v>0</v>
      </c>
      <c r="F3157" s="25">
        <v>0</v>
      </c>
      <c r="G3157" s="26">
        <v>0</v>
      </c>
      <c r="H3157" s="10" t="str">
        <f t="shared" si="49"/>
        <v>COSTOS</v>
      </c>
      <c r="I3157" s="20">
        <v>2026</v>
      </c>
    </row>
    <row r="3158" spans="1:9" x14ac:dyDescent="0.3">
      <c r="A3158" s="23" t="s">
        <v>127</v>
      </c>
      <c r="B3158" s="23" t="s">
        <v>63</v>
      </c>
      <c r="C3158" s="22">
        <v>1</v>
      </c>
      <c r="D3158" s="25">
        <v>50000</v>
      </c>
      <c r="E3158" s="25">
        <v>0</v>
      </c>
      <c r="F3158" s="25">
        <v>-50000</v>
      </c>
      <c r="G3158" s="26">
        <v>0</v>
      </c>
      <c r="H3158" s="10" t="str">
        <f t="shared" si="49"/>
        <v>COSTOS</v>
      </c>
      <c r="I3158" s="20">
        <v>2026</v>
      </c>
    </row>
    <row r="3159" spans="1:9" x14ac:dyDescent="0.3">
      <c r="A3159" s="24" t="s">
        <v>127</v>
      </c>
      <c r="B3159" s="24" t="s">
        <v>63</v>
      </c>
      <c r="C3159" s="22">
        <v>2</v>
      </c>
      <c r="D3159" s="25">
        <v>50000</v>
      </c>
      <c r="E3159" s="25">
        <v>0</v>
      </c>
      <c r="F3159" s="25">
        <v>-50000</v>
      </c>
      <c r="G3159" s="26">
        <v>0</v>
      </c>
      <c r="H3159" s="10" t="str">
        <f t="shared" si="49"/>
        <v>COSTOS</v>
      </c>
      <c r="I3159" s="20">
        <v>2026</v>
      </c>
    </row>
    <row r="3160" spans="1:9" x14ac:dyDescent="0.3">
      <c r="A3160" s="24" t="s">
        <v>127</v>
      </c>
      <c r="B3160" s="24" t="s">
        <v>63</v>
      </c>
      <c r="C3160" s="22">
        <v>3</v>
      </c>
      <c r="D3160" s="25">
        <v>50000</v>
      </c>
      <c r="E3160" s="25">
        <v>0</v>
      </c>
      <c r="F3160" s="25">
        <v>-50000</v>
      </c>
      <c r="G3160" s="26">
        <v>0</v>
      </c>
      <c r="H3160" s="10" t="str">
        <f t="shared" si="49"/>
        <v>COSTOS</v>
      </c>
      <c r="I3160" s="20">
        <v>2026</v>
      </c>
    </row>
    <row r="3161" spans="1:9" x14ac:dyDescent="0.3">
      <c r="A3161" s="24" t="s">
        <v>127</v>
      </c>
      <c r="B3161" s="24" t="s">
        <v>63</v>
      </c>
      <c r="C3161" s="22">
        <v>4</v>
      </c>
      <c r="D3161" s="25">
        <v>50000</v>
      </c>
      <c r="E3161" s="25">
        <v>0</v>
      </c>
      <c r="F3161" s="25">
        <v>-50000</v>
      </c>
      <c r="G3161" s="26">
        <v>0</v>
      </c>
      <c r="H3161" s="10" t="str">
        <f t="shared" si="49"/>
        <v>COSTOS</v>
      </c>
      <c r="I3161" s="20">
        <v>2026</v>
      </c>
    </row>
    <row r="3162" spans="1:9" x14ac:dyDescent="0.3">
      <c r="A3162" s="23" t="s">
        <v>128</v>
      </c>
      <c r="B3162" s="23" t="s">
        <v>63</v>
      </c>
      <c r="C3162" s="22">
        <v>1</v>
      </c>
      <c r="D3162" s="25">
        <v>200000</v>
      </c>
      <c r="E3162" s="25">
        <v>0</v>
      </c>
      <c r="F3162" s="25">
        <v>-200000</v>
      </c>
      <c r="G3162" s="26">
        <v>0</v>
      </c>
      <c r="H3162" s="10" t="str">
        <f t="shared" si="49"/>
        <v>COSTOS</v>
      </c>
      <c r="I3162" s="20">
        <v>2026</v>
      </c>
    </row>
    <row r="3163" spans="1:9" x14ac:dyDescent="0.3">
      <c r="A3163" s="24" t="s">
        <v>128</v>
      </c>
      <c r="B3163" s="24" t="s">
        <v>63</v>
      </c>
      <c r="C3163" s="22">
        <v>2</v>
      </c>
      <c r="D3163" s="25">
        <v>200000</v>
      </c>
      <c r="E3163" s="25">
        <v>0</v>
      </c>
      <c r="F3163" s="25">
        <v>-200000</v>
      </c>
      <c r="G3163" s="26">
        <v>0</v>
      </c>
      <c r="H3163" s="10" t="str">
        <f t="shared" si="49"/>
        <v>COSTOS</v>
      </c>
      <c r="I3163" s="20">
        <v>2026</v>
      </c>
    </row>
    <row r="3164" spans="1:9" x14ac:dyDescent="0.3">
      <c r="A3164" s="24" t="s">
        <v>128</v>
      </c>
      <c r="B3164" s="24" t="s">
        <v>63</v>
      </c>
      <c r="C3164" s="22">
        <v>3</v>
      </c>
      <c r="D3164" s="25">
        <v>200000</v>
      </c>
      <c r="E3164" s="25">
        <v>0</v>
      </c>
      <c r="F3164" s="25">
        <v>-200000</v>
      </c>
      <c r="G3164" s="26">
        <v>0</v>
      </c>
      <c r="H3164" s="10" t="str">
        <f t="shared" si="49"/>
        <v>COSTOS</v>
      </c>
      <c r="I3164" s="20">
        <v>2026</v>
      </c>
    </row>
    <row r="3165" spans="1:9" x14ac:dyDescent="0.3">
      <c r="A3165" s="24" t="s">
        <v>128</v>
      </c>
      <c r="B3165" s="24" t="s">
        <v>63</v>
      </c>
      <c r="C3165" s="22">
        <v>4</v>
      </c>
      <c r="D3165" s="25">
        <v>200000</v>
      </c>
      <c r="E3165" s="25">
        <v>0</v>
      </c>
      <c r="F3165" s="25">
        <v>-200000</v>
      </c>
      <c r="G3165" s="26">
        <v>0</v>
      </c>
      <c r="H3165" s="10" t="str">
        <f t="shared" si="49"/>
        <v>COSTOS</v>
      </c>
      <c r="I3165" s="20">
        <v>2026</v>
      </c>
    </row>
    <row r="3166" spans="1:9" hidden="1" x14ac:dyDescent="0.3">
      <c r="A3166" s="23" t="s">
        <v>243</v>
      </c>
      <c r="B3166" s="23" t="s">
        <v>41</v>
      </c>
      <c r="C3166" s="22">
        <v>1</v>
      </c>
      <c r="D3166" s="25">
        <v>0</v>
      </c>
      <c r="E3166" s="25">
        <v>0</v>
      </c>
      <c r="F3166" s="25">
        <v>0</v>
      </c>
      <c r="G3166" s="26">
        <v>0</v>
      </c>
      <c r="H3166" s="10" t="str">
        <f t="shared" si="49"/>
        <v>COSTOS</v>
      </c>
      <c r="I3166" s="20">
        <v>2026</v>
      </c>
    </row>
    <row r="3167" spans="1:9" hidden="1" x14ac:dyDescent="0.3">
      <c r="A3167" s="24" t="s">
        <v>243</v>
      </c>
      <c r="B3167" s="24" t="s">
        <v>41</v>
      </c>
      <c r="C3167" s="22">
        <v>2</v>
      </c>
      <c r="D3167" s="25">
        <v>0</v>
      </c>
      <c r="E3167" s="25">
        <v>0</v>
      </c>
      <c r="F3167" s="25">
        <v>0</v>
      </c>
      <c r="G3167" s="26">
        <v>0</v>
      </c>
      <c r="H3167" s="10" t="str">
        <f t="shared" si="49"/>
        <v>COSTOS</v>
      </c>
      <c r="I3167" s="20">
        <v>2026</v>
      </c>
    </row>
    <row r="3168" spans="1:9" hidden="1" x14ac:dyDescent="0.3">
      <c r="A3168" s="24" t="s">
        <v>243</v>
      </c>
      <c r="B3168" s="24" t="s">
        <v>41</v>
      </c>
      <c r="C3168" s="22">
        <v>3</v>
      </c>
      <c r="D3168" s="25">
        <v>0</v>
      </c>
      <c r="E3168" s="25">
        <v>0</v>
      </c>
      <c r="F3168" s="25">
        <v>0</v>
      </c>
      <c r="G3168" s="26">
        <v>0</v>
      </c>
      <c r="H3168" s="10" t="str">
        <f t="shared" si="49"/>
        <v>COSTOS</v>
      </c>
      <c r="I3168" s="20">
        <v>2026</v>
      </c>
    </row>
    <row r="3169" spans="1:9" hidden="1" x14ac:dyDescent="0.3">
      <c r="A3169" s="24" t="s">
        <v>243</v>
      </c>
      <c r="B3169" s="24" t="s">
        <v>41</v>
      </c>
      <c r="C3169" s="22">
        <v>4</v>
      </c>
      <c r="D3169" s="25">
        <v>220000</v>
      </c>
      <c r="E3169" s="25">
        <v>0</v>
      </c>
      <c r="F3169" s="25">
        <v>-220000</v>
      </c>
      <c r="G3169" s="26">
        <v>0</v>
      </c>
      <c r="H3169" s="10" t="str">
        <f t="shared" si="49"/>
        <v>COSTOS</v>
      </c>
      <c r="I3169" s="20">
        <v>2026</v>
      </c>
    </row>
    <row r="3170" spans="1:9" hidden="1" x14ac:dyDescent="0.3">
      <c r="A3170" s="23" t="s">
        <v>244</v>
      </c>
      <c r="B3170" s="23" t="s">
        <v>41</v>
      </c>
      <c r="C3170" s="22">
        <v>3</v>
      </c>
      <c r="D3170" s="25">
        <v>0</v>
      </c>
      <c r="E3170" s="25">
        <v>210084</v>
      </c>
      <c r="F3170" s="25">
        <v>210084</v>
      </c>
      <c r="G3170" s="26">
        <v>0</v>
      </c>
      <c r="H3170" s="10" t="str">
        <f t="shared" si="49"/>
        <v>COSTOS</v>
      </c>
      <c r="I3170" s="20">
        <v>2026</v>
      </c>
    </row>
    <row r="3171" spans="1:9" hidden="1" x14ac:dyDescent="0.3">
      <c r="A3171" s="24" t="s">
        <v>244</v>
      </c>
      <c r="B3171" s="24" t="s">
        <v>41</v>
      </c>
      <c r="C3171" s="22">
        <v>4</v>
      </c>
      <c r="D3171" s="25">
        <v>0</v>
      </c>
      <c r="E3171" s="25">
        <v>0</v>
      </c>
      <c r="F3171" s="25">
        <v>0</v>
      </c>
      <c r="G3171" s="26">
        <v>0</v>
      </c>
      <c r="H3171" s="10" t="str">
        <f t="shared" si="49"/>
        <v>COSTOS</v>
      </c>
      <c r="I3171" s="20">
        <v>2026</v>
      </c>
    </row>
    <row r="3172" spans="1:9" hidden="1" x14ac:dyDescent="0.3">
      <c r="A3172" s="24" t="s">
        <v>101</v>
      </c>
      <c r="B3172" s="24" t="s">
        <v>41</v>
      </c>
      <c r="C3172" s="22">
        <v>1</v>
      </c>
      <c r="D3172" s="25">
        <v>0</v>
      </c>
      <c r="E3172" s="25">
        <v>0</v>
      </c>
      <c r="F3172" s="25">
        <v>0</v>
      </c>
      <c r="G3172" s="26">
        <v>0</v>
      </c>
      <c r="H3172" s="10" t="str">
        <f t="shared" si="49"/>
        <v>COSTOS</v>
      </c>
      <c r="I3172" s="20">
        <v>2026</v>
      </c>
    </row>
    <row r="3173" spans="1:9" hidden="1" x14ac:dyDescent="0.3">
      <c r="A3173" s="24" t="s">
        <v>101</v>
      </c>
      <c r="B3173" s="24" t="s">
        <v>41</v>
      </c>
      <c r="C3173" s="22">
        <v>2</v>
      </c>
      <c r="D3173" s="25">
        <v>0</v>
      </c>
      <c r="E3173" s="25">
        <v>0</v>
      </c>
      <c r="F3173" s="25">
        <v>0</v>
      </c>
      <c r="G3173" s="26">
        <v>0</v>
      </c>
      <c r="H3173" s="10" t="str">
        <f t="shared" si="49"/>
        <v>COSTOS</v>
      </c>
      <c r="I3173" s="20">
        <v>2026</v>
      </c>
    </row>
    <row r="3174" spans="1:9" hidden="1" x14ac:dyDescent="0.3">
      <c r="A3174" s="23" t="s">
        <v>101</v>
      </c>
      <c r="B3174" s="23" t="s">
        <v>41</v>
      </c>
      <c r="C3174" s="22">
        <v>3</v>
      </c>
      <c r="D3174" s="25">
        <v>270000</v>
      </c>
      <c r="E3174" s="25">
        <v>270000</v>
      </c>
      <c r="F3174" s="25">
        <v>0</v>
      </c>
      <c r="G3174" s="26">
        <v>1</v>
      </c>
      <c r="H3174" s="10" t="str">
        <f t="shared" si="49"/>
        <v>COSTOS</v>
      </c>
      <c r="I3174" s="20">
        <v>2026</v>
      </c>
    </row>
    <row r="3175" spans="1:9" hidden="1" x14ac:dyDescent="0.3">
      <c r="A3175" s="24" t="s">
        <v>101</v>
      </c>
      <c r="B3175" s="24" t="s">
        <v>41</v>
      </c>
      <c r="C3175" s="22">
        <v>4</v>
      </c>
      <c r="D3175" s="25">
        <v>0</v>
      </c>
      <c r="E3175" s="25">
        <v>0</v>
      </c>
      <c r="F3175" s="25">
        <v>0</v>
      </c>
      <c r="G3175" s="26">
        <v>0</v>
      </c>
      <c r="H3175" s="10" t="str">
        <f t="shared" si="49"/>
        <v>COSTOS</v>
      </c>
      <c r="I3175" s="20">
        <v>2026</v>
      </c>
    </row>
    <row r="3176" spans="1:9" hidden="1" x14ac:dyDescent="0.3">
      <c r="A3176" s="24" t="s">
        <v>67</v>
      </c>
      <c r="B3176" s="24" t="s">
        <v>41</v>
      </c>
      <c r="C3176" s="22">
        <v>1</v>
      </c>
      <c r="D3176" s="25">
        <v>27225</v>
      </c>
      <c r="E3176" s="25">
        <v>0</v>
      </c>
      <c r="F3176" s="25">
        <v>-27225</v>
      </c>
      <c r="G3176" s="26">
        <v>0</v>
      </c>
      <c r="H3176" s="10" t="str">
        <f t="shared" si="49"/>
        <v>COSTOS</v>
      </c>
      <c r="I3176" s="20">
        <v>2026</v>
      </c>
    </row>
    <row r="3177" spans="1:9" hidden="1" x14ac:dyDescent="0.3">
      <c r="A3177" s="24" t="s">
        <v>67</v>
      </c>
      <c r="B3177" s="24" t="s">
        <v>41</v>
      </c>
      <c r="C3177" s="22">
        <v>2</v>
      </c>
      <c r="D3177" s="25">
        <v>27225</v>
      </c>
      <c r="E3177" s="25">
        <v>0</v>
      </c>
      <c r="F3177" s="25">
        <v>-27225</v>
      </c>
      <c r="G3177" s="26">
        <v>0</v>
      </c>
      <c r="H3177" s="10" t="str">
        <f t="shared" si="49"/>
        <v>COSTOS</v>
      </c>
      <c r="I3177" s="20">
        <v>2026</v>
      </c>
    </row>
    <row r="3178" spans="1:9" hidden="1" x14ac:dyDescent="0.3">
      <c r="A3178" s="23" t="s">
        <v>67</v>
      </c>
      <c r="B3178" s="23" t="s">
        <v>41</v>
      </c>
      <c r="C3178" s="22">
        <v>3</v>
      </c>
      <c r="D3178" s="25">
        <v>27225</v>
      </c>
      <c r="E3178" s="25">
        <v>0</v>
      </c>
      <c r="F3178" s="25">
        <v>-27225</v>
      </c>
      <c r="G3178" s="26">
        <v>0</v>
      </c>
      <c r="H3178" s="10" t="str">
        <f t="shared" si="49"/>
        <v>COSTOS</v>
      </c>
      <c r="I3178" s="20">
        <v>2026</v>
      </c>
    </row>
    <row r="3179" spans="1:9" hidden="1" x14ac:dyDescent="0.3">
      <c r="A3179" s="24" t="s">
        <v>67</v>
      </c>
      <c r="B3179" s="24" t="s">
        <v>41</v>
      </c>
      <c r="C3179" s="22">
        <v>4</v>
      </c>
      <c r="D3179" s="25">
        <v>27225</v>
      </c>
      <c r="E3179" s="25">
        <v>0</v>
      </c>
      <c r="F3179" s="25">
        <v>-27225</v>
      </c>
      <c r="G3179" s="26">
        <v>0</v>
      </c>
      <c r="H3179" s="10" t="str">
        <f t="shared" si="49"/>
        <v>COSTOS</v>
      </c>
      <c r="I3179" s="20">
        <v>2026</v>
      </c>
    </row>
    <row r="3180" spans="1:9" hidden="1" x14ac:dyDescent="0.3">
      <c r="A3180" s="24" t="s">
        <v>146</v>
      </c>
      <c r="B3180" s="24" t="s">
        <v>41</v>
      </c>
      <c r="C3180" s="22">
        <v>1</v>
      </c>
      <c r="D3180" s="25">
        <v>0</v>
      </c>
      <c r="E3180" s="25">
        <v>0</v>
      </c>
      <c r="F3180" s="25">
        <v>0</v>
      </c>
      <c r="G3180" s="26">
        <v>0</v>
      </c>
      <c r="H3180" s="10" t="str">
        <f t="shared" si="49"/>
        <v>COSTOS</v>
      </c>
      <c r="I3180" s="20">
        <v>2026</v>
      </c>
    </row>
    <row r="3181" spans="1:9" hidden="1" x14ac:dyDescent="0.3">
      <c r="A3181" s="24" t="s">
        <v>146</v>
      </c>
      <c r="B3181" s="24" t="s">
        <v>41</v>
      </c>
      <c r="C3181" s="22">
        <v>2</v>
      </c>
      <c r="D3181" s="25">
        <v>294000</v>
      </c>
      <c r="E3181" s="25">
        <v>294000</v>
      </c>
      <c r="F3181" s="25">
        <v>0</v>
      </c>
      <c r="G3181" s="26">
        <v>1</v>
      </c>
      <c r="H3181" s="10" t="str">
        <f t="shared" si="49"/>
        <v>COSTOS</v>
      </c>
      <c r="I3181" s="20">
        <v>2026</v>
      </c>
    </row>
    <row r="3182" spans="1:9" hidden="1" x14ac:dyDescent="0.3">
      <c r="A3182" s="23" t="s">
        <v>146</v>
      </c>
      <c r="B3182" s="23" t="s">
        <v>41</v>
      </c>
      <c r="C3182" s="22">
        <v>3</v>
      </c>
      <c r="D3182" s="25">
        <v>0</v>
      </c>
      <c r="E3182" s="25">
        <v>0</v>
      </c>
      <c r="F3182" s="25">
        <v>0</v>
      </c>
      <c r="G3182" s="26">
        <v>0</v>
      </c>
      <c r="H3182" s="10" t="str">
        <f t="shared" ref="H3182:H3245" si="50">+IF(OR(A3182="ADMINISTRACION",A3182="COMERCIAL",A3182="COMERCIAL-EXPORTACIONES",A3182="LEASING DE LA BODEGA",A3182="LOGISTICA-SALIDA",A3182="OTROS GASTOS",A3182="BODEGA ALQUILADA", A3182="BODEGA CARTOPLAST", A3182="BODEGA CARTOPLAS", A3182= "GESTION HUMANA-OTROS GASTOS",A3182="FAMILIA"),"GASTOS","COSTOS")</f>
        <v>COSTOS</v>
      </c>
      <c r="I3182" s="20">
        <v>2026</v>
      </c>
    </row>
    <row r="3183" spans="1:9" hidden="1" x14ac:dyDescent="0.3">
      <c r="A3183" s="24" t="s">
        <v>146</v>
      </c>
      <c r="B3183" s="24" t="s">
        <v>41</v>
      </c>
      <c r="C3183" s="22">
        <v>4</v>
      </c>
      <c r="D3183" s="25">
        <v>0</v>
      </c>
      <c r="E3183" s="25">
        <v>90000</v>
      </c>
      <c r="F3183" s="25">
        <v>90000</v>
      </c>
      <c r="G3183" s="26">
        <v>0</v>
      </c>
      <c r="H3183" s="10" t="str">
        <f t="shared" si="50"/>
        <v>COSTOS</v>
      </c>
      <c r="I3183" s="20">
        <v>2026</v>
      </c>
    </row>
    <row r="3184" spans="1:9" hidden="1" x14ac:dyDescent="0.3">
      <c r="A3184" s="24" t="s">
        <v>147</v>
      </c>
      <c r="B3184" s="24" t="s">
        <v>41</v>
      </c>
      <c r="C3184" s="22">
        <v>1</v>
      </c>
      <c r="D3184" s="25">
        <v>0</v>
      </c>
      <c r="E3184" s="25">
        <v>0</v>
      </c>
      <c r="F3184" s="25">
        <v>0</v>
      </c>
      <c r="G3184" s="26">
        <v>0</v>
      </c>
      <c r="H3184" s="10" t="str">
        <f t="shared" si="50"/>
        <v>COSTOS</v>
      </c>
      <c r="I3184" s="20">
        <v>2026</v>
      </c>
    </row>
    <row r="3185" spans="1:9" hidden="1" x14ac:dyDescent="0.3">
      <c r="A3185" s="24" t="s">
        <v>147</v>
      </c>
      <c r="B3185" s="24" t="s">
        <v>41</v>
      </c>
      <c r="C3185" s="22">
        <v>2</v>
      </c>
      <c r="D3185" s="25">
        <v>289000</v>
      </c>
      <c r="E3185" s="25">
        <v>289000</v>
      </c>
      <c r="F3185" s="25">
        <v>0</v>
      </c>
      <c r="G3185" s="26">
        <v>1</v>
      </c>
      <c r="H3185" s="10" t="str">
        <f t="shared" si="50"/>
        <v>COSTOS</v>
      </c>
      <c r="I3185" s="20">
        <v>2026</v>
      </c>
    </row>
    <row r="3186" spans="1:9" hidden="1" x14ac:dyDescent="0.3">
      <c r="A3186" s="23" t="s">
        <v>147</v>
      </c>
      <c r="B3186" s="23" t="s">
        <v>41</v>
      </c>
      <c r="C3186" s="22">
        <v>3</v>
      </c>
      <c r="D3186" s="25">
        <v>0</v>
      </c>
      <c r="E3186" s="25">
        <v>0</v>
      </c>
      <c r="F3186" s="25">
        <v>0</v>
      </c>
      <c r="G3186" s="26">
        <v>0</v>
      </c>
      <c r="H3186" s="10" t="str">
        <f t="shared" si="50"/>
        <v>COSTOS</v>
      </c>
      <c r="I3186" s="20">
        <v>2026</v>
      </c>
    </row>
    <row r="3187" spans="1:9" hidden="1" x14ac:dyDescent="0.3">
      <c r="A3187" s="24" t="s">
        <v>147</v>
      </c>
      <c r="B3187" s="24" t="s">
        <v>41</v>
      </c>
      <c r="C3187" s="22">
        <v>4</v>
      </c>
      <c r="D3187" s="25">
        <v>347000</v>
      </c>
      <c r="E3187" s="25">
        <v>347000</v>
      </c>
      <c r="F3187" s="25">
        <v>0</v>
      </c>
      <c r="G3187" s="26">
        <v>1</v>
      </c>
      <c r="H3187" s="10" t="str">
        <f t="shared" si="50"/>
        <v>COSTOS</v>
      </c>
      <c r="I3187" s="20">
        <v>2026</v>
      </c>
    </row>
    <row r="3188" spans="1:9" hidden="1" x14ac:dyDescent="0.3">
      <c r="A3188" s="24" t="s">
        <v>240</v>
      </c>
      <c r="B3188" s="24" t="s">
        <v>94</v>
      </c>
      <c r="C3188" s="22">
        <v>2</v>
      </c>
      <c r="D3188" s="25">
        <v>0</v>
      </c>
      <c r="E3188" s="25">
        <v>45006</v>
      </c>
      <c r="F3188" s="25">
        <v>45006</v>
      </c>
      <c r="G3188" s="26">
        <v>0</v>
      </c>
      <c r="H3188" s="10" t="str">
        <f t="shared" si="50"/>
        <v>COSTOS</v>
      </c>
      <c r="I3188" s="20">
        <v>2026</v>
      </c>
    </row>
    <row r="3189" spans="1:9" hidden="1" x14ac:dyDescent="0.3">
      <c r="A3189" s="24" t="s">
        <v>240</v>
      </c>
      <c r="B3189" s="24" t="s">
        <v>94</v>
      </c>
      <c r="C3189" s="22">
        <v>3</v>
      </c>
      <c r="D3189" s="25">
        <v>0</v>
      </c>
      <c r="E3189" s="25">
        <v>46559</v>
      </c>
      <c r="F3189" s="25">
        <v>46559</v>
      </c>
      <c r="G3189" s="26">
        <v>0</v>
      </c>
      <c r="H3189" s="10" t="str">
        <f t="shared" si="50"/>
        <v>COSTOS</v>
      </c>
      <c r="I3189" s="20">
        <v>2026</v>
      </c>
    </row>
    <row r="3190" spans="1:9" hidden="1" x14ac:dyDescent="0.3">
      <c r="A3190" s="23" t="s">
        <v>240</v>
      </c>
      <c r="B3190" s="23" t="s">
        <v>94</v>
      </c>
      <c r="C3190" s="22">
        <v>4</v>
      </c>
      <c r="D3190" s="25">
        <v>0</v>
      </c>
      <c r="E3190" s="25">
        <v>45094</v>
      </c>
      <c r="F3190" s="25">
        <v>45094</v>
      </c>
      <c r="G3190" s="26">
        <v>0</v>
      </c>
      <c r="H3190" s="10" t="str">
        <f t="shared" si="50"/>
        <v>COSTOS</v>
      </c>
      <c r="I3190" s="20">
        <v>2026</v>
      </c>
    </row>
    <row r="3191" spans="1:9" hidden="1" x14ac:dyDescent="0.3">
      <c r="A3191" s="24" t="s">
        <v>93</v>
      </c>
      <c r="B3191" s="24" t="s">
        <v>94</v>
      </c>
      <c r="C3191" s="22">
        <v>1</v>
      </c>
      <c r="D3191" s="25">
        <v>0</v>
      </c>
      <c r="E3191" s="25">
        <v>206403</v>
      </c>
      <c r="F3191" s="25">
        <v>206403</v>
      </c>
      <c r="G3191" s="26">
        <v>0</v>
      </c>
      <c r="H3191" s="10" t="str">
        <f t="shared" si="50"/>
        <v>COSTOS</v>
      </c>
      <c r="I3191" s="20">
        <v>2026</v>
      </c>
    </row>
    <row r="3192" spans="1:9" hidden="1" x14ac:dyDescent="0.3">
      <c r="A3192" s="24" t="s">
        <v>93</v>
      </c>
      <c r="B3192" s="24" t="s">
        <v>94</v>
      </c>
      <c r="C3192" s="22">
        <v>2</v>
      </c>
      <c r="D3192" s="25">
        <v>0</v>
      </c>
      <c r="E3192" s="25">
        <v>154878</v>
      </c>
      <c r="F3192" s="25">
        <v>154878</v>
      </c>
      <c r="G3192" s="26">
        <v>0</v>
      </c>
      <c r="H3192" s="10" t="str">
        <f t="shared" si="50"/>
        <v>COSTOS</v>
      </c>
      <c r="I3192" s="20">
        <v>2026</v>
      </c>
    </row>
    <row r="3193" spans="1:9" hidden="1" x14ac:dyDescent="0.3">
      <c r="A3193" s="24" t="s">
        <v>93</v>
      </c>
      <c r="B3193" s="24" t="s">
        <v>94</v>
      </c>
      <c r="C3193" s="22">
        <v>3</v>
      </c>
      <c r="D3193" s="25">
        <v>0</v>
      </c>
      <c r="E3193" s="25">
        <v>232795</v>
      </c>
      <c r="F3193" s="25">
        <v>232795</v>
      </c>
      <c r="G3193" s="26">
        <v>0</v>
      </c>
      <c r="H3193" s="10" t="str">
        <f t="shared" si="50"/>
        <v>COSTOS</v>
      </c>
      <c r="I3193" s="20">
        <v>2026</v>
      </c>
    </row>
    <row r="3194" spans="1:9" hidden="1" x14ac:dyDescent="0.3">
      <c r="A3194" s="23" t="s">
        <v>93</v>
      </c>
      <c r="B3194" s="23" t="s">
        <v>94</v>
      </c>
      <c r="C3194" s="22">
        <v>4</v>
      </c>
      <c r="D3194" s="25">
        <v>0</v>
      </c>
      <c r="E3194" s="25">
        <v>225470</v>
      </c>
      <c r="F3194" s="25">
        <v>225470</v>
      </c>
      <c r="G3194" s="26">
        <v>0</v>
      </c>
      <c r="H3194" s="10" t="str">
        <f t="shared" si="50"/>
        <v>COSTOS</v>
      </c>
      <c r="I3194" s="20">
        <v>2026</v>
      </c>
    </row>
    <row r="3195" spans="1:9" hidden="1" x14ac:dyDescent="0.3">
      <c r="A3195" s="24" t="s">
        <v>245</v>
      </c>
      <c r="B3195" s="24" t="s">
        <v>94</v>
      </c>
      <c r="C3195" s="22">
        <v>1</v>
      </c>
      <c r="D3195" s="25">
        <v>650000</v>
      </c>
      <c r="E3195" s="25">
        <v>0</v>
      </c>
      <c r="F3195" s="25">
        <v>-650000</v>
      </c>
      <c r="G3195" s="26">
        <v>0</v>
      </c>
      <c r="H3195" s="10" t="str">
        <f t="shared" si="50"/>
        <v>COSTOS</v>
      </c>
      <c r="I3195" s="20">
        <v>2026</v>
      </c>
    </row>
    <row r="3196" spans="1:9" hidden="1" x14ac:dyDescent="0.3">
      <c r="A3196" s="24" t="s">
        <v>245</v>
      </c>
      <c r="B3196" s="24" t="s">
        <v>94</v>
      </c>
      <c r="C3196" s="22">
        <v>2</v>
      </c>
      <c r="D3196" s="25">
        <v>650000</v>
      </c>
      <c r="E3196" s="25">
        <v>0</v>
      </c>
      <c r="F3196" s="25">
        <v>-650000</v>
      </c>
      <c r="G3196" s="26">
        <v>0</v>
      </c>
      <c r="H3196" s="10" t="str">
        <f t="shared" si="50"/>
        <v>COSTOS</v>
      </c>
      <c r="I3196" s="20">
        <v>2026</v>
      </c>
    </row>
    <row r="3197" spans="1:9" hidden="1" x14ac:dyDescent="0.3">
      <c r="A3197" s="24" t="s">
        <v>245</v>
      </c>
      <c r="B3197" s="24" t="s">
        <v>94</v>
      </c>
      <c r="C3197" s="22">
        <v>3</v>
      </c>
      <c r="D3197" s="25">
        <v>650000</v>
      </c>
      <c r="E3197" s="25">
        <v>0</v>
      </c>
      <c r="F3197" s="25">
        <v>-650000</v>
      </c>
      <c r="G3197" s="26">
        <v>0</v>
      </c>
      <c r="H3197" s="10" t="str">
        <f t="shared" si="50"/>
        <v>COSTOS</v>
      </c>
      <c r="I3197" s="20">
        <v>2026</v>
      </c>
    </row>
    <row r="3198" spans="1:9" hidden="1" x14ac:dyDescent="0.3">
      <c r="A3198" s="23" t="s">
        <v>245</v>
      </c>
      <c r="B3198" s="23" t="s">
        <v>94</v>
      </c>
      <c r="C3198" s="22">
        <v>4</v>
      </c>
      <c r="D3198" s="25">
        <v>650000</v>
      </c>
      <c r="E3198" s="25">
        <v>0</v>
      </c>
      <c r="F3198" s="25">
        <v>-650000</v>
      </c>
      <c r="G3198" s="26">
        <v>0</v>
      </c>
      <c r="H3198" s="10" t="str">
        <f t="shared" si="50"/>
        <v>COSTOS</v>
      </c>
      <c r="I3198" s="20">
        <v>2026</v>
      </c>
    </row>
    <row r="3199" spans="1:9" hidden="1" x14ac:dyDescent="0.3">
      <c r="A3199" s="24" t="s">
        <v>101</v>
      </c>
      <c r="B3199" s="24" t="s">
        <v>94</v>
      </c>
      <c r="C3199" s="22">
        <v>1</v>
      </c>
      <c r="D3199" s="25">
        <v>184076</v>
      </c>
      <c r="E3199" s="25">
        <v>184076</v>
      </c>
      <c r="F3199" s="25">
        <v>0</v>
      </c>
      <c r="G3199" s="26">
        <v>1</v>
      </c>
      <c r="H3199" s="10" t="str">
        <f t="shared" si="50"/>
        <v>COSTOS</v>
      </c>
      <c r="I3199" s="20">
        <v>2026</v>
      </c>
    </row>
    <row r="3200" spans="1:9" hidden="1" x14ac:dyDescent="0.3">
      <c r="A3200" s="24" t="s">
        <v>101</v>
      </c>
      <c r="B3200" s="24" t="s">
        <v>94</v>
      </c>
      <c r="C3200" s="22">
        <v>2</v>
      </c>
      <c r="D3200" s="25">
        <v>223268</v>
      </c>
      <c r="E3200" s="25">
        <v>223268</v>
      </c>
      <c r="F3200" s="25">
        <v>0</v>
      </c>
      <c r="G3200" s="26">
        <v>1</v>
      </c>
      <c r="H3200" s="10" t="str">
        <f t="shared" si="50"/>
        <v>COSTOS</v>
      </c>
      <c r="I3200" s="20">
        <v>2026</v>
      </c>
    </row>
    <row r="3201" spans="1:9" hidden="1" x14ac:dyDescent="0.3">
      <c r="A3201" s="24" t="s">
        <v>101</v>
      </c>
      <c r="B3201" s="24" t="s">
        <v>94</v>
      </c>
      <c r="C3201" s="22">
        <v>3</v>
      </c>
      <c r="D3201" s="25">
        <v>230972</v>
      </c>
      <c r="E3201" s="25">
        <v>230972</v>
      </c>
      <c r="F3201" s="25">
        <v>0</v>
      </c>
      <c r="G3201" s="26">
        <v>1</v>
      </c>
      <c r="H3201" s="10" t="str">
        <f t="shared" si="50"/>
        <v>COSTOS</v>
      </c>
      <c r="I3201" s="20">
        <v>2026</v>
      </c>
    </row>
    <row r="3202" spans="1:9" hidden="1" x14ac:dyDescent="0.3">
      <c r="A3202" s="23" t="s">
        <v>101</v>
      </c>
      <c r="B3202" s="23" t="s">
        <v>94</v>
      </c>
      <c r="C3202" s="22">
        <v>4</v>
      </c>
      <c r="D3202" s="25">
        <v>223704</v>
      </c>
      <c r="E3202" s="25">
        <v>223704</v>
      </c>
      <c r="F3202" s="25">
        <v>0</v>
      </c>
      <c r="G3202" s="26">
        <v>1</v>
      </c>
      <c r="H3202" s="10" t="str">
        <f t="shared" si="50"/>
        <v>COSTOS</v>
      </c>
      <c r="I3202" s="20">
        <v>2026</v>
      </c>
    </row>
    <row r="3203" spans="1:9" hidden="1" x14ac:dyDescent="0.3">
      <c r="A3203" s="24" t="s">
        <v>103</v>
      </c>
      <c r="B3203" s="24" t="s">
        <v>94</v>
      </c>
      <c r="C3203" s="22">
        <v>1</v>
      </c>
      <c r="D3203" s="25">
        <v>68801</v>
      </c>
      <c r="E3203" s="25">
        <v>68801</v>
      </c>
      <c r="F3203" s="25">
        <v>0</v>
      </c>
      <c r="G3203" s="26">
        <v>1</v>
      </c>
      <c r="H3203" s="10" t="str">
        <f t="shared" si="50"/>
        <v>COSTOS</v>
      </c>
      <c r="I3203" s="20">
        <v>2026</v>
      </c>
    </row>
    <row r="3204" spans="1:9" hidden="1" x14ac:dyDescent="0.3">
      <c r="A3204" s="24" t="s">
        <v>103</v>
      </c>
      <c r="B3204" s="24" t="s">
        <v>94</v>
      </c>
      <c r="C3204" s="22">
        <v>2</v>
      </c>
      <c r="D3204" s="25">
        <v>66628</v>
      </c>
      <c r="E3204" s="25">
        <v>66628</v>
      </c>
      <c r="F3204" s="25">
        <v>0</v>
      </c>
      <c r="G3204" s="26">
        <v>1</v>
      </c>
      <c r="H3204" s="10" t="str">
        <f t="shared" si="50"/>
        <v>COSTOS</v>
      </c>
      <c r="I3204" s="20">
        <v>2026</v>
      </c>
    </row>
    <row r="3205" spans="1:9" hidden="1" x14ac:dyDescent="0.3">
      <c r="A3205" s="24" t="s">
        <v>103</v>
      </c>
      <c r="B3205" s="24" t="s">
        <v>94</v>
      </c>
      <c r="C3205" s="22">
        <v>3</v>
      </c>
      <c r="D3205" s="25">
        <v>68927</v>
      </c>
      <c r="E3205" s="25">
        <v>68927</v>
      </c>
      <c r="F3205" s="25">
        <v>0</v>
      </c>
      <c r="G3205" s="26">
        <v>1</v>
      </c>
      <c r="H3205" s="10" t="str">
        <f t="shared" si="50"/>
        <v>COSTOS</v>
      </c>
      <c r="I3205" s="20">
        <v>2026</v>
      </c>
    </row>
    <row r="3206" spans="1:9" hidden="1" x14ac:dyDescent="0.3">
      <c r="A3206" s="23" t="s">
        <v>103</v>
      </c>
      <c r="B3206" s="23" t="s">
        <v>94</v>
      </c>
      <c r="C3206" s="22">
        <v>4</v>
      </c>
      <c r="D3206" s="25">
        <v>66758</v>
      </c>
      <c r="E3206" s="25">
        <v>66758</v>
      </c>
      <c r="F3206" s="25">
        <v>0</v>
      </c>
      <c r="G3206" s="26">
        <v>1</v>
      </c>
      <c r="H3206" s="10" t="str">
        <f t="shared" si="50"/>
        <v>COSTOS</v>
      </c>
      <c r="I3206" s="20">
        <v>2026</v>
      </c>
    </row>
    <row r="3207" spans="1:9" hidden="1" x14ac:dyDescent="0.3">
      <c r="A3207" s="24" t="s">
        <v>104</v>
      </c>
      <c r="B3207" s="24" t="s">
        <v>94</v>
      </c>
      <c r="C3207" s="22">
        <v>1</v>
      </c>
      <c r="D3207" s="25">
        <v>0</v>
      </c>
      <c r="E3207" s="25">
        <v>278844</v>
      </c>
      <c r="F3207" s="25">
        <v>278844</v>
      </c>
      <c r="G3207" s="26">
        <v>0</v>
      </c>
      <c r="H3207" s="10" t="str">
        <f t="shared" si="50"/>
        <v>COSTOS</v>
      </c>
      <c r="I3207" s="20">
        <v>2026</v>
      </c>
    </row>
    <row r="3208" spans="1:9" hidden="1" x14ac:dyDescent="0.3">
      <c r="A3208" s="24" t="s">
        <v>104</v>
      </c>
      <c r="B3208" s="24" t="s">
        <v>94</v>
      </c>
      <c r="C3208" s="22">
        <v>2</v>
      </c>
      <c r="D3208" s="25">
        <v>0</v>
      </c>
      <c r="E3208" s="25">
        <v>315042</v>
      </c>
      <c r="F3208" s="25">
        <v>315042</v>
      </c>
      <c r="G3208" s="26">
        <v>0</v>
      </c>
      <c r="H3208" s="10" t="str">
        <f t="shared" si="50"/>
        <v>COSTOS</v>
      </c>
      <c r="I3208" s="20">
        <v>2026</v>
      </c>
    </row>
    <row r="3209" spans="1:9" hidden="1" x14ac:dyDescent="0.3">
      <c r="A3209" s="24" t="s">
        <v>104</v>
      </c>
      <c r="B3209" s="24" t="s">
        <v>94</v>
      </c>
      <c r="C3209" s="22">
        <v>3</v>
      </c>
      <c r="D3209" s="25">
        <v>0</v>
      </c>
      <c r="E3209" s="25">
        <v>348281</v>
      </c>
      <c r="F3209" s="25">
        <v>348281</v>
      </c>
      <c r="G3209" s="26">
        <v>0</v>
      </c>
      <c r="H3209" s="10" t="str">
        <f t="shared" si="50"/>
        <v>COSTOS</v>
      </c>
      <c r="I3209" s="20">
        <v>2026</v>
      </c>
    </row>
    <row r="3210" spans="1:9" hidden="1" x14ac:dyDescent="0.3">
      <c r="A3210" s="23" t="s">
        <v>104</v>
      </c>
      <c r="B3210" s="23" t="s">
        <v>94</v>
      </c>
      <c r="C3210" s="22">
        <v>4</v>
      </c>
      <c r="D3210" s="25">
        <v>0</v>
      </c>
      <c r="E3210" s="25">
        <v>337322</v>
      </c>
      <c r="F3210" s="25">
        <v>337322</v>
      </c>
      <c r="G3210" s="26">
        <v>0</v>
      </c>
      <c r="H3210" s="10" t="str">
        <f t="shared" si="50"/>
        <v>COSTOS</v>
      </c>
      <c r="I3210" s="20">
        <v>2026</v>
      </c>
    </row>
    <row r="3211" spans="1:9" hidden="1" x14ac:dyDescent="0.3">
      <c r="A3211" s="24" t="s">
        <v>105</v>
      </c>
      <c r="B3211" s="24" t="s">
        <v>94</v>
      </c>
      <c r="C3211" s="22">
        <v>1</v>
      </c>
      <c r="D3211" s="25">
        <v>650000</v>
      </c>
      <c r="E3211" s="25">
        <v>0</v>
      </c>
      <c r="F3211" s="25">
        <v>-650000</v>
      </c>
      <c r="G3211" s="26">
        <v>0</v>
      </c>
      <c r="H3211" s="10" t="str">
        <f t="shared" si="50"/>
        <v>COSTOS</v>
      </c>
      <c r="I3211" s="20">
        <v>2026</v>
      </c>
    </row>
    <row r="3212" spans="1:9" hidden="1" x14ac:dyDescent="0.3">
      <c r="A3212" s="24" t="s">
        <v>105</v>
      </c>
      <c r="B3212" s="24" t="s">
        <v>94</v>
      </c>
      <c r="C3212" s="22">
        <v>2</v>
      </c>
      <c r="D3212" s="25">
        <v>650000</v>
      </c>
      <c r="E3212" s="25">
        <v>0</v>
      </c>
      <c r="F3212" s="25">
        <v>-650000</v>
      </c>
      <c r="G3212" s="26">
        <v>0</v>
      </c>
      <c r="H3212" s="10" t="str">
        <f t="shared" si="50"/>
        <v>COSTOS</v>
      </c>
      <c r="I3212" s="20">
        <v>2026</v>
      </c>
    </row>
    <row r="3213" spans="1:9" hidden="1" x14ac:dyDescent="0.3">
      <c r="A3213" s="24" t="s">
        <v>105</v>
      </c>
      <c r="B3213" s="24" t="s">
        <v>94</v>
      </c>
      <c r="C3213" s="22">
        <v>3</v>
      </c>
      <c r="D3213" s="25">
        <v>650000</v>
      </c>
      <c r="E3213" s="25">
        <v>0</v>
      </c>
      <c r="F3213" s="25">
        <v>-650000</v>
      </c>
      <c r="G3213" s="26">
        <v>0</v>
      </c>
      <c r="H3213" s="10" t="str">
        <f t="shared" si="50"/>
        <v>COSTOS</v>
      </c>
      <c r="I3213" s="20">
        <v>2026</v>
      </c>
    </row>
    <row r="3214" spans="1:9" hidden="1" x14ac:dyDescent="0.3">
      <c r="A3214" s="23" t="s">
        <v>105</v>
      </c>
      <c r="B3214" s="23" t="s">
        <v>94</v>
      </c>
      <c r="C3214" s="22">
        <v>4</v>
      </c>
      <c r="D3214" s="25">
        <v>1650000</v>
      </c>
      <c r="E3214" s="25">
        <v>1080000</v>
      </c>
      <c r="F3214" s="25">
        <v>-570000</v>
      </c>
      <c r="G3214" s="26">
        <v>0.65454545454545454</v>
      </c>
      <c r="H3214" s="10" t="str">
        <f t="shared" si="50"/>
        <v>COSTOS</v>
      </c>
      <c r="I3214" s="20">
        <v>2026</v>
      </c>
    </row>
    <row r="3215" spans="1:9" hidden="1" x14ac:dyDescent="0.3">
      <c r="A3215" s="24" t="s">
        <v>107</v>
      </c>
      <c r="B3215" s="24" t="s">
        <v>94</v>
      </c>
      <c r="C3215" s="22">
        <v>1</v>
      </c>
      <c r="D3215" s="25">
        <v>0</v>
      </c>
      <c r="E3215" s="25">
        <v>546689</v>
      </c>
      <c r="F3215" s="25">
        <v>546689</v>
      </c>
      <c r="G3215" s="26">
        <v>0</v>
      </c>
      <c r="H3215" s="10" t="str">
        <f t="shared" si="50"/>
        <v>COSTOS</v>
      </c>
      <c r="I3215" s="20">
        <v>2026</v>
      </c>
    </row>
    <row r="3216" spans="1:9" hidden="1" x14ac:dyDescent="0.3">
      <c r="A3216" s="24" t="s">
        <v>107</v>
      </c>
      <c r="B3216" s="24" t="s">
        <v>94</v>
      </c>
      <c r="C3216" s="22">
        <v>2</v>
      </c>
      <c r="D3216" s="25">
        <v>0</v>
      </c>
      <c r="E3216" s="25">
        <v>399110</v>
      </c>
      <c r="F3216" s="25">
        <v>399110</v>
      </c>
      <c r="G3216" s="26">
        <v>0</v>
      </c>
      <c r="H3216" s="10" t="str">
        <f t="shared" si="50"/>
        <v>COSTOS</v>
      </c>
      <c r="I3216" s="20">
        <v>2026</v>
      </c>
    </row>
    <row r="3217" spans="1:9" hidden="1" x14ac:dyDescent="0.3">
      <c r="A3217" s="24" t="s">
        <v>107</v>
      </c>
      <c r="B3217" s="24" t="s">
        <v>94</v>
      </c>
      <c r="C3217" s="22">
        <v>3</v>
      </c>
      <c r="D3217" s="25">
        <v>0</v>
      </c>
      <c r="E3217" s="25">
        <v>553788</v>
      </c>
      <c r="F3217" s="25">
        <v>553788</v>
      </c>
      <c r="G3217" s="26">
        <v>0</v>
      </c>
      <c r="H3217" s="10" t="str">
        <f t="shared" si="50"/>
        <v>COSTOS</v>
      </c>
      <c r="I3217" s="20">
        <v>2026</v>
      </c>
    </row>
    <row r="3218" spans="1:9" hidden="1" x14ac:dyDescent="0.3">
      <c r="A3218" s="23" t="s">
        <v>107</v>
      </c>
      <c r="B3218" s="23" t="s">
        <v>94</v>
      </c>
      <c r="C3218" s="22">
        <v>4</v>
      </c>
      <c r="D3218" s="25">
        <v>0</v>
      </c>
      <c r="E3218" s="25">
        <v>573188</v>
      </c>
      <c r="F3218" s="25">
        <v>573188</v>
      </c>
      <c r="G3218" s="26">
        <v>0</v>
      </c>
      <c r="H3218" s="10" t="str">
        <f t="shared" si="50"/>
        <v>COSTOS</v>
      </c>
      <c r="I3218" s="20">
        <v>2026</v>
      </c>
    </row>
    <row r="3219" spans="1:9" hidden="1" x14ac:dyDescent="0.3">
      <c r="A3219" s="24" t="s">
        <v>64</v>
      </c>
      <c r="B3219" s="24" t="s">
        <v>94</v>
      </c>
      <c r="C3219" s="22">
        <v>1</v>
      </c>
      <c r="D3219" s="25">
        <v>22327</v>
      </c>
      <c r="E3219" s="25">
        <v>22327</v>
      </c>
      <c r="F3219" s="25">
        <v>0</v>
      </c>
      <c r="G3219" s="26">
        <v>1</v>
      </c>
      <c r="H3219" s="10" t="str">
        <f t="shared" si="50"/>
        <v>COSTOS</v>
      </c>
      <c r="I3219" s="20">
        <v>2026</v>
      </c>
    </row>
    <row r="3220" spans="1:9" hidden="1" x14ac:dyDescent="0.3">
      <c r="A3220" s="24" t="s">
        <v>64</v>
      </c>
      <c r="B3220" s="24" t="s">
        <v>94</v>
      </c>
      <c r="C3220" s="22">
        <v>2</v>
      </c>
      <c r="D3220" s="25">
        <v>0</v>
      </c>
      <c r="E3220" s="25">
        <v>0</v>
      </c>
      <c r="F3220" s="25">
        <v>0</v>
      </c>
      <c r="G3220" s="26">
        <v>0</v>
      </c>
      <c r="H3220" s="10" t="str">
        <f t="shared" si="50"/>
        <v>COSTOS</v>
      </c>
      <c r="I3220" s="20">
        <v>2026</v>
      </c>
    </row>
    <row r="3221" spans="1:9" hidden="1" x14ac:dyDescent="0.3">
      <c r="A3221" s="24" t="s">
        <v>64</v>
      </c>
      <c r="B3221" s="24" t="s">
        <v>94</v>
      </c>
      <c r="C3221" s="22">
        <v>3</v>
      </c>
      <c r="D3221" s="25">
        <v>22368</v>
      </c>
      <c r="E3221" s="25">
        <v>22368</v>
      </c>
      <c r="F3221" s="25">
        <v>0</v>
      </c>
      <c r="G3221" s="26">
        <v>1</v>
      </c>
      <c r="H3221" s="10" t="str">
        <f t="shared" si="50"/>
        <v>COSTOS</v>
      </c>
      <c r="I3221" s="20">
        <v>2026</v>
      </c>
    </row>
    <row r="3222" spans="1:9" hidden="1" x14ac:dyDescent="0.3">
      <c r="A3222" s="23" t="s">
        <v>64</v>
      </c>
      <c r="B3222" s="23" t="s">
        <v>94</v>
      </c>
      <c r="C3222" s="22">
        <v>4</v>
      </c>
      <c r="D3222" s="25">
        <v>21664</v>
      </c>
      <c r="E3222" s="25">
        <v>21664</v>
      </c>
      <c r="F3222" s="25">
        <v>0</v>
      </c>
      <c r="G3222" s="26">
        <v>1</v>
      </c>
      <c r="H3222" s="10" t="str">
        <f t="shared" si="50"/>
        <v>COSTOS</v>
      </c>
      <c r="I3222" s="20">
        <v>2026</v>
      </c>
    </row>
    <row r="3223" spans="1:9" hidden="1" x14ac:dyDescent="0.3">
      <c r="A3223" s="24" t="s">
        <v>67</v>
      </c>
      <c r="B3223" s="24" t="s">
        <v>94</v>
      </c>
      <c r="C3223" s="22">
        <v>1</v>
      </c>
      <c r="D3223" s="25">
        <v>140605</v>
      </c>
      <c r="E3223" s="25">
        <v>139422</v>
      </c>
      <c r="F3223" s="25">
        <v>-1183</v>
      </c>
      <c r="G3223" s="26">
        <v>0.99158635894882829</v>
      </c>
      <c r="H3223" s="10" t="str">
        <f t="shared" si="50"/>
        <v>COSTOS</v>
      </c>
      <c r="I3223" s="20">
        <v>2026</v>
      </c>
    </row>
    <row r="3224" spans="1:9" hidden="1" x14ac:dyDescent="0.3">
      <c r="A3224" s="24" t="s">
        <v>67</v>
      </c>
      <c r="B3224" s="24" t="s">
        <v>94</v>
      </c>
      <c r="C3224" s="22">
        <v>2</v>
      </c>
      <c r="D3224" s="25">
        <v>140605</v>
      </c>
      <c r="E3224" s="25">
        <v>135018</v>
      </c>
      <c r="F3224" s="25">
        <v>-5587</v>
      </c>
      <c r="G3224" s="26">
        <v>0.96026457096120343</v>
      </c>
      <c r="H3224" s="10" t="str">
        <f t="shared" si="50"/>
        <v>COSTOS</v>
      </c>
      <c r="I3224" s="20">
        <v>2026</v>
      </c>
    </row>
    <row r="3225" spans="1:9" hidden="1" x14ac:dyDescent="0.3">
      <c r="A3225" s="24" t="s">
        <v>67</v>
      </c>
      <c r="B3225" s="24" t="s">
        <v>94</v>
      </c>
      <c r="C3225" s="22">
        <v>3</v>
      </c>
      <c r="D3225" s="25">
        <v>140605</v>
      </c>
      <c r="E3225" s="25">
        <v>139677</v>
      </c>
      <c r="F3225" s="25">
        <v>-928</v>
      </c>
      <c r="G3225" s="26">
        <v>0.99339995021514171</v>
      </c>
      <c r="H3225" s="10" t="str">
        <f t="shared" si="50"/>
        <v>COSTOS</v>
      </c>
      <c r="I3225" s="20">
        <v>2026</v>
      </c>
    </row>
    <row r="3226" spans="1:9" hidden="1" x14ac:dyDescent="0.3">
      <c r="A3226" s="23" t="s">
        <v>67</v>
      </c>
      <c r="B3226" s="23" t="s">
        <v>94</v>
      </c>
      <c r="C3226" s="22">
        <v>4</v>
      </c>
      <c r="D3226" s="25">
        <v>140605</v>
      </c>
      <c r="E3226" s="25">
        <v>207584</v>
      </c>
      <c r="F3226" s="25">
        <v>66979</v>
      </c>
      <c r="G3226" s="26">
        <v>1.4763628604957151</v>
      </c>
      <c r="H3226" s="10" t="str">
        <f t="shared" si="50"/>
        <v>COSTOS</v>
      </c>
      <c r="I3226" s="20">
        <v>2026</v>
      </c>
    </row>
    <row r="3227" spans="1:9" x14ac:dyDescent="0.3">
      <c r="A3227" s="24" t="s">
        <v>113</v>
      </c>
      <c r="B3227" s="24" t="s">
        <v>94</v>
      </c>
      <c r="C3227" s="22">
        <v>1</v>
      </c>
      <c r="D3227" s="25">
        <v>105055</v>
      </c>
      <c r="E3227" s="25">
        <v>115275</v>
      </c>
      <c r="F3227" s="25">
        <v>10220</v>
      </c>
      <c r="G3227" s="26">
        <v>1.097282375898339</v>
      </c>
      <c r="H3227" s="10" t="str">
        <f t="shared" si="50"/>
        <v>COSTOS</v>
      </c>
      <c r="I3227" s="20">
        <v>2026</v>
      </c>
    </row>
    <row r="3228" spans="1:9" x14ac:dyDescent="0.3">
      <c r="A3228" s="24" t="s">
        <v>113</v>
      </c>
      <c r="B3228" s="24" t="s">
        <v>94</v>
      </c>
      <c r="C3228" s="22">
        <v>2</v>
      </c>
      <c r="D3228" s="25">
        <v>100121</v>
      </c>
      <c r="E3228" s="25">
        <v>111634</v>
      </c>
      <c r="F3228" s="25">
        <v>11513</v>
      </c>
      <c r="G3228" s="26">
        <v>1.1149908610581196</v>
      </c>
      <c r="H3228" s="10" t="str">
        <f t="shared" si="50"/>
        <v>COSTOS</v>
      </c>
      <c r="I3228" s="20">
        <v>2026</v>
      </c>
    </row>
    <row r="3229" spans="1:9" x14ac:dyDescent="0.3">
      <c r="A3229" s="24" t="s">
        <v>113</v>
      </c>
      <c r="B3229" s="24" t="s">
        <v>94</v>
      </c>
      <c r="C3229" s="22">
        <v>3</v>
      </c>
      <c r="D3229" s="25">
        <v>125976</v>
      </c>
      <c r="E3229" s="25">
        <v>115486</v>
      </c>
      <c r="F3229" s="25">
        <v>-10490</v>
      </c>
      <c r="G3229" s="26">
        <v>0.91673017082618913</v>
      </c>
      <c r="H3229" s="10" t="str">
        <f t="shared" si="50"/>
        <v>COSTOS</v>
      </c>
      <c r="I3229" s="20">
        <v>2026</v>
      </c>
    </row>
    <row r="3230" spans="1:9" x14ac:dyDescent="0.3">
      <c r="A3230" s="23" t="s">
        <v>113</v>
      </c>
      <c r="B3230" s="23" t="s">
        <v>94</v>
      </c>
      <c r="C3230" s="22">
        <v>4</v>
      </c>
      <c r="D3230" s="25">
        <v>107227</v>
      </c>
      <c r="E3230" s="25">
        <v>111852</v>
      </c>
      <c r="F3230" s="25">
        <v>4625</v>
      </c>
      <c r="G3230" s="26">
        <v>1.0431327930465275</v>
      </c>
      <c r="H3230" s="10" t="str">
        <f t="shared" si="50"/>
        <v>COSTOS</v>
      </c>
      <c r="I3230" s="20">
        <v>2026</v>
      </c>
    </row>
    <row r="3231" spans="1:9" hidden="1" x14ac:dyDescent="0.3">
      <c r="A3231" s="24" t="s">
        <v>146</v>
      </c>
      <c r="B3231" s="24" t="s">
        <v>94</v>
      </c>
      <c r="C3231" s="22">
        <v>1</v>
      </c>
      <c r="D3231" s="25">
        <v>0</v>
      </c>
      <c r="E3231" s="25">
        <v>0</v>
      </c>
      <c r="F3231" s="25">
        <v>0</v>
      </c>
      <c r="G3231" s="26">
        <v>0</v>
      </c>
      <c r="H3231" s="10" t="str">
        <f t="shared" si="50"/>
        <v>COSTOS</v>
      </c>
      <c r="I3231" s="20">
        <v>2026</v>
      </c>
    </row>
    <row r="3232" spans="1:9" hidden="1" x14ac:dyDescent="0.3">
      <c r="A3232" s="24" t="s">
        <v>146</v>
      </c>
      <c r="B3232" s="24" t="s">
        <v>94</v>
      </c>
      <c r="C3232" s="22">
        <v>2</v>
      </c>
      <c r="D3232" s="25">
        <v>21622</v>
      </c>
      <c r="E3232" s="25">
        <v>21622</v>
      </c>
      <c r="F3232" s="25">
        <v>0</v>
      </c>
      <c r="G3232" s="26">
        <v>1</v>
      </c>
      <c r="H3232" s="10" t="str">
        <f t="shared" si="50"/>
        <v>COSTOS</v>
      </c>
      <c r="I3232" s="20">
        <v>2026</v>
      </c>
    </row>
    <row r="3233" spans="1:9" hidden="1" x14ac:dyDescent="0.3">
      <c r="A3233" s="24" t="s">
        <v>146</v>
      </c>
      <c r="B3233" s="24" t="s">
        <v>94</v>
      </c>
      <c r="C3233" s="22">
        <v>3</v>
      </c>
      <c r="D3233" s="25">
        <v>370940</v>
      </c>
      <c r="E3233" s="25">
        <v>0</v>
      </c>
      <c r="F3233" s="25">
        <v>-370940</v>
      </c>
      <c r="G3233" s="26">
        <v>0</v>
      </c>
      <c r="H3233" s="10" t="str">
        <f t="shared" si="50"/>
        <v>COSTOS</v>
      </c>
      <c r="I3233" s="20">
        <v>2026</v>
      </c>
    </row>
    <row r="3234" spans="1:9" hidden="1" x14ac:dyDescent="0.3">
      <c r="A3234" s="23" t="s">
        <v>146</v>
      </c>
      <c r="B3234" s="23" t="s">
        <v>94</v>
      </c>
      <c r="C3234" s="22">
        <v>4</v>
      </c>
      <c r="D3234" s="25">
        <v>0</v>
      </c>
      <c r="E3234" s="25">
        <v>0</v>
      </c>
      <c r="F3234" s="25">
        <v>0</v>
      </c>
      <c r="G3234" s="26">
        <v>0</v>
      </c>
      <c r="H3234" s="10" t="str">
        <f t="shared" si="50"/>
        <v>COSTOS</v>
      </c>
      <c r="I3234" s="20">
        <v>2026</v>
      </c>
    </row>
    <row r="3235" spans="1:9" hidden="1" x14ac:dyDescent="0.3">
      <c r="A3235" s="24" t="s">
        <v>240</v>
      </c>
      <c r="B3235" s="24" t="s">
        <v>62</v>
      </c>
      <c r="C3235" s="22">
        <v>1</v>
      </c>
      <c r="D3235" s="25">
        <v>47071</v>
      </c>
      <c r="E3235" s="25">
        <v>0</v>
      </c>
      <c r="F3235" s="25">
        <v>-47071</v>
      </c>
      <c r="G3235" s="26">
        <v>0</v>
      </c>
      <c r="H3235" s="10" t="str">
        <f t="shared" si="50"/>
        <v>COSTOS</v>
      </c>
      <c r="I3235" s="20">
        <v>2026</v>
      </c>
    </row>
    <row r="3236" spans="1:9" hidden="1" x14ac:dyDescent="0.3">
      <c r="A3236" s="24" t="s">
        <v>240</v>
      </c>
      <c r="B3236" s="24" t="s">
        <v>62</v>
      </c>
      <c r="C3236" s="22">
        <v>2</v>
      </c>
      <c r="D3236" s="25">
        <v>47071</v>
      </c>
      <c r="E3236" s="25">
        <v>0</v>
      </c>
      <c r="F3236" s="25">
        <v>-47071</v>
      </c>
      <c r="G3236" s="26">
        <v>0</v>
      </c>
      <c r="H3236" s="10" t="str">
        <f t="shared" si="50"/>
        <v>COSTOS</v>
      </c>
      <c r="I3236" s="20">
        <v>2026</v>
      </c>
    </row>
    <row r="3237" spans="1:9" hidden="1" x14ac:dyDescent="0.3">
      <c r="A3237" s="24" t="s">
        <v>240</v>
      </c>
      <c r="B3237" s="24" t="s">
        <v>62</v>
      </c>
      <c r="C3237" s="22">
        <v>3</v>
      </c>
      <c r="D3237" s="25">
        <v>47071</v>
      </c>
      <c r="E3237" s="25">
        <v>0</v>
      </c>
      <c r="F3237" s="25">
        <v>-47071</v>
      </c>
      <c r="G3237" s="26">
        <v>0</v>
      </c>
      <c r="H3237" s="10" t="str">
        <f t="shared" si="50"/>
        <v>COSTOS</v>
      </c>
      <c r="I3237" s="20">
        <v>2026</v>
      </c>
    </row>
    <row r="3238" spans="1:9" hidden="1" x14ac:dyDescent="0.3">
      <c r="A3238" s="23" t="s">
        <v>240</v>
      </c>
      <c r="B3238" s="23" t="s">
        <v>62</v>
      </c>
      <c r="C3238" s="22">
        <v>4</v>
      </c>
      <c r="D3238" s="25">
        <v>47071</v>
      </c>
      <c r="E3238" s="25">
        <v>0</v>
      </c>
      <c r="F3238" s="25">
        <v>-47071</v>
      </c>
      <c r="G3238" s="26">
        <v>0</v>
      </c>
      <c r="H3238" s="10" t="str">
        <f t="shared" si="50"/>
        <v>COSTOS</v>
      </c>
      <c r="I3238" s="20">
        <v>2026</v>
      </c>
    </row>
    <row r="3239" spans="1:9" hidden="1" x14ac:dyDescent="0.3">
      <c r="A3239" s="24" t="s">
        <v>93</v>
      </c>
      <c r="B3239" s="24" t="s">
        <v>62</v>
      </c>
      <c r="C3239" s="22">
        <v>1</v>
      </c>
      <c r="D3239" s="25">
        <v>235355</v>
      </c>
      <c r="E3239" s="25">
        <v>0</v>
      </c>
      <c r="F3239" s="25">
        <v>-235355</v>
      </c>
      <c r="G3239" s="26">
        <v>0</v>
      </c>
      <c r="H3239" s="10" t="str">
        <f t="shared" si="50"/>
        <v>COSTOS</v>
      </c>
      <c r="I3239" s="20">
        <v>2026</v>
      </c>
    </row>
    <row r="3240" spans="1:9" hidden="1" x14ac:dyDescent="0.3">
      <c r="A3240" s="24" t="s">
        <v>93</v>
      </c>
      <c r="B3240" s="24" t="s">
        <v>62</v>
      </c>
      <c r="C3240" s="22">
        <v>2</v>
      </c>
      <c r="D3240" s="25">
        <v>235355</v>
      </c>
      <c r="E3240" s="25">
        <v>0</v>
      </c>
      <c r="F3240" s="25">
        <v>-235355</v>
      </c>
      <c r="G3240" s="26">
        <v>0</v>
      </c>
      <c r="H3240" s="10" t="str">
        <f t="shared" si="50"/>
        <v>COSTOS</v>
      </c>
      <c r="I3240" s="20">
        <v>2026</v>
      </c>
    </row>
    <row r="3241" spans="1:9" hidden="1" x14ac:dyDescent="0.3">
      <c r="A3241" s="24" t="s">
        <v>93</v>
      </c>
      <c r="B3241" s="24" t="s">
        <v>62</v>
      </c>
      <c r="C3241" s="22">
        <v>3</v>
      </c>
      <c r="D3241" s="25">
        <v>235355</v>
      </c>
      <c r="E3241" s="25">
        <v>0</v>
      </c>
      <c r="F3241" s="25">
        <v>-235355</v>
      </c>
      <c r="G3241" s="26">
        <v>0</v>
      </c>
      <c r="H3241" s="10" t="str">
        <f t="shared" si="50"/>
        <v>COSTOS</v>
      </c>
      <c r="I3241" s="20">
        <v>2026</v>
      </c>
    </row>
    <row r="3242" spans="1:9" hidden="1" x14ac:dyDescent="0.3">
      <c r="A3242" s="23" t="s">
        <v>93</v>
      </c>
      <c r="B3242" s="23" t="s">
        <v>62</v>
      </c>
      <c r="C3242" s="22">
        <v>4</v>
      </c>
      <c r="D3242" s="25">
        <v>235355</v>
      </c>
      <c r="E3242" s="25">
        <v>0</v>
      </c>
      <c r="F3242" s="25">
        <v>-235355</v>
      </c>
      <c r="G3242" s="26">
        <v>0</v>
      </c>
      <c r="H3242" s="10" t="str">
        <f t="shared" si="50"/>
        <v>COSTOS</v>
      </c>
      <c r="I3242" s="20">
        <v>2026</v>
      </c>
    </row>
    <row r="3243" spans="1:9" hidden="1" x14ac:dyDescent="0.3">
      <c r="A3243" s="24" t="s">
        <v>104</v>
      </c>
      <c r="B3243" s="24" t="s">
        <v>62</v>
      </c>
      <c r="C3243" s="22">
        <v>1</v>
      </c>
      <c r="D3243" s="25">
        <v>278515</v>
      </c>
      <c r="E3243" s="25">
        <v>0</v>
      </c>
      <c r="F3243" s="25">
        <v>-278515</v>
      </c>
      <c r="G3243" s="26">
        <v>0</v>
      </c>
      <c r="H3243" s="10" t="str">
        <f t="shared" si="50"/>
        <v>COSTOS</v>
      </c>
      <c r="I3243" s="20">
        <v>2026</v>
      </c>
    </row>
    <row r="3244" spans="1:9" hidden="1" x14ac:dyDescent="0.3">
      <c r="A3244" s="24" t="s">
        <v>104</v>
      </c>
      <c r="B3244" s="24" t="s">
        <v>62</v>
      </c>
      <c r="C3244" s="22">
        <v>2</v>
      </c>
      <c r="D3244" s="25">
        <v>278515</v>
      </c>
      <c r="E3244" s="25">
        <v>0</v>
      </c>
      <c r="F3244" s="25">
        <v>-278515</v>
      </c>
      <c r="G3244" s="26">
        <v>0</v>
      </c>
      <c r="H3244" s="10" t="str">
        <f t="shared" si="50"/>
        <v>COSTOS</v>
      </c>
      <c r="I3244" s="20">
        <v>2026</v>
      </c>
    </row>
    <row r="3245" spans="1:9" hidden="1" x14ac:dyDescent="0.3">
      <c r="A3245" s="24" t="s">
        <v>104</v>
      </c>
      <c r="B3245" s="24" t="s">
        <v>62</v>
      </c>
      <c r="C3245" s="22">
        <v>3</v>
      </c>
      <c r="D3245" s="25">
        <v>278515</v>
      </c>
      <c r="E3245" s="25">
        <v>0</v>
      </c>
      <c r="F3245" s="25">
        <v>-278515</v>
      </c>
      <c r="G3245" s="26">
        <v>0</v>
      </c>
      <c r="H3245" s="10" t="str">
        <f t="shared" si="50"/>
        <v>COSTOS</v>
      </c>
      <c r="I3245" s="20">
        <v>2026</v>
      </c>
    </row>
    <row r="3246" spans="1:9" hidden="1" x14ac:dyDescent="0.3">
      <c r="A3246" s="23" t="s">
        <v>104</v>
      </c>
      <c r="B3246" s="23" t="s">
        <v>62</v>
      </c>
      <c r="C3246" s="22">
        <v>4</v>
      </c>
      <c r="D3246" s="25">
        <v>278515</v>
      </c>
      <c r="E3246" s="25">
        <v>0</v>
      </c>
      <c r="F3246" s="25">
        <v>-278515</v>
      </c>
      <c r="G3246" s="26">
        <v>0</v>
      </c>
      <c r="H3246" s="10" t="str">
        <f t="shared" ref="H3246:H3309" si="51">+IF(OR(A3246="ADMINISTRACION",A3246="COMERCIAL",A3246="COMERCIAL-EXPORTACIONES",A3246="LEASING DE LA BODEGA",A3246="LOGISTICA-SALIDA",A3246="OTROS GASTOS",A3246="BODEGA ALQUILADA", A3246="BODEGA CARTOPLAST", A3246="BODEGA CARTOPLAS", A3246= "GESTION HUMANA-OTROS GASTOS",A3246="FAMILIA"),"GASTOS","COSTOS")</f>
        <v>COSTOS</v>
      </c>
      <c r="I3246" s="20">
        <v>2026</v>
      </c>
    </row>
    <row r="3247" spans="1:9" hidden="1" x14ac:dyDescent="0.3">
      <c r="A3247" s="24" t="s">
        <v>7</v>
      </c>
      <c r="B3247" s="24" t="s">
        <v>150</v>
      </c>
      <c r="C3247" s="22">
        <v>1</v>
      </c>
      <c r="D3247" s="25">
        <v>0</v>
      </c>
      <c r="E3247" s="25">
        <v>0</v>
      </c>
      <c r="F3247" s="25">
        <v>0</v>
      </c>
      <c r="G3247" s="26">
        <v>0</v>
      </c>
      <c r="H3247" s="10" t="str">
        <f t="shared" si="51"/>
        <v>GASTOS</v>
      </c>
      <c r="I3247" s="20">
        <v>2026</v>
      </c>
    </row>
    <row r="3248" spans="1:9" hidden="1" x14ac:dyDescent="0.3">
      <c r="A3248" s="24" t="s">
        <v>7</v>
      </c>
      <c r="B3248" s="24" t="s">
        <v>150</v>
      </c>
      <c r="C3248" s="22">
        <v>2</v>
      </c>
      <c r="D3248" s="25">
        <v>0</v>
      </c>
      <c r="E3248" s="25">
        <v>0</v>
      </c>
      <c r="F3248" s="25">
        <v>0</v>
      </c>
      <c r="G3248" s="26">
        <v>0</v>
      </c>
      <c r="H3248" s="10" t="str">
        <f t="shared" si="51"/>
        <v>GASTOS</v>
      </c>
      <c r="I3248" s="20">
        <v>2026</v>
      </c>
    </row>
    <row r="3249" spans="1:9" hidden="1" x14ac:dyDescent="0.3">
      <c r="A3249" s="24" t="s">
        <v>7</v>
      </c>
      <c r="B3249" s="24" t="s">
        <v>150</v>
      </c>
      <c r="C3249" s="22">
        <v>3</v>
      </c>
      <c r="D3249" s="25">
        <v>0</v>
      </c>
      <c r="E3249" s="25">
        <v>0</v>
      </c>
      <c r="F3249" s="25">
        <v>0</v>
      </c>
      <c r="G3249" s="26">
        <v>0</v>
      </c>
      <c r="H3249" s="10" t="str">
        <f t="shared" si="51"/>
        <v>GASTOS</v>
      </c>
      <c r="I3249" s="20">
        <v>2026</v>
      </c>
    </row>
    <row r="3250" spans="1:9" hidden="1" x14ac:dyDescent="0.3">
      <c r="A3250" s="23" t="s">
        <v>7</v>
      </c>
      <c r="B3250" s="23" t="s">
        <v>150</v>
      </c>
      <c r="C3250" s="22">
        <v>4</v>
      </c>
      <c r="D3250" s="25">
        <v>3850000</v>
      </c>
      <c r="E3250" s="25">
        <v>0</v>
      </c>
      <c r="F3250" s="25">
        <v>-3850000</v>
      </c>
      <c r="G3250" s="26">
        <v>0</v>
      </c>
      <c r="H3250" s="10" t="str">
        <f t="shared" si="51"/>
        <v>GASTOS</v>
      </c>
      <c r="I3250" s="20">
        <v>2026</v>
      </c>
    </row>
    <row r="3251" spans="1:9" hidden="1" x14ac:dyDescent="0.3">
      <c r="A3251" s="24" t="s">
        <v>219</v>
      </c>
      <c r="B3251" s="24" t="s">
        <v>227</v>
      </c>
      <c r="C3251" s="22">
        <v>2</v>
      </c>
      <c r="D3251" s="25">
        <v>0</v>
      </c>
      <c r="E3251" s="25">
        <v>10300</v>
      </c>
      <c r="F3251" s="25">
        <v>10300</v>
      </c>
      <c r="G3251" s="26">
        <v>0</v>
      </c>
      <c r="H3251" s="10" t="str">
        <f t="shared" si="51"/>
        <v>GASTOS</v>
      </c>
      <c r="I3251" s="20">
        <v>2026</v>
      </c>
    </row>
    <row r="3252" spans="1:9" hidden="1" x14ac:dyDescent="0.3">
      <c r="A3252" s="24" t="s">
        <v>219</v>
      </c>
      <c r="B3252" s="24" t="s">
        <v>227</v>
      </c>
      <c r="C3252" s="22">
        <v>3</v>
      </c>
      <c r="D3252" s="25">
        <v>0</v>
      </c>
      <c r="E3252" s="25">
        <v>0</v>
      </c>
      <c r="F3252" s="25">
        <v>0</v>
      </c>
      <c r="G3252" s="26">
        <v>0</v>
      </c>
      <c r="H3252" s="10" t="str">
        <f t="shared" si="51"/>
        <v>GASTOS</v>
      </c>
      <c r="I3252" s="20">
        <v>2026</v>
      </c>
    </row>
    <row r="3253" spans="1:9" hidden="1" x14ac:dyDescent="0.3">
      <c r="A3253" s="24" t="s">
        <v>219</v>
      </c>
      <c r="B3253" s="24" t="s">
        <v>227</v>
      </c>
      <c r="C3253" s="22">
        <v>4</v>
      </c>
      <c r="D3253" s="25">
        <v>0</v>
      </c>
      <c r="E3253" s="25">
        <v>0</v>
      </c>
      <c r="F3253" s="25">
        <v>0</v>
      </c>
      <c r="G3253" s="26">
        <v>0</v>
      </c>
      <c r="H3253" s="10" t="str">
        <f t="shared" si="51"/>
        <v>GASTOS</v>
      </c>
      <c r="I3253" s="20">
        <v>2026</v>
      </c>
    </row>
    <row r="3254" spans="1:9" hidden="1" x14ac:dyDescent="0.3">
      <c r="A3254" s="23" t="s">
        <v>7</v>
      </c>
      <c r="B3254" s="23" t="s">
        <v>85</v>
      </c>
      <c r="C3254" s="22">
        <v>1</v>
      </c>
      <c r="D3254" s="25">
        <v>372368</v>
      </c>
      <c r="E3254" s="25">
        <v>372368</v>
      </c>
      <c r="F3254" s="25">
        <v>0</v>
      </c>
      <c r="G3254" s="26">
        <v>1</v>
      </c>
      <c r="H3254" s="10" t="str">
        <f t="shared" si="51"/>
        <v>GASTOS</v>
      </c>
      <c r="I3254" s="20">
        <v>2026</v>
      </c>
    </row>
    <row r="3255" spans="1:9" hidden="1" x14ac:dyDescent="0.3">
      <c r="A3255" s="24" t="s">
        <v>7</v>
      </c>
      <c r="B3255" s="24" t="s">
        <v>85</v>
      </c>
      <c r="C3255" s="22">
        <v>2</v>
      </c>
      <c r="D3255" s="25">
        <v>372281</v>
      </c>
      <c r="E3255" s="25">
        <v>372281</v>
      </c>
      <c r="F3255" s="25">
        <v>0</v>
      </c>
      <c r="G3255" s="26">
        <v>1</v>
      </c>
      <c r="H3255" s="10" t="str">
        <f t="shared" si="51"/>
        <v>GASTOS</v>
      </c>
      <c r="I3255" s="20">
        <v>2026</v>
      </c>
    </row>
    <row r="3256" spans="1:9" hidden="1" x14ac:dyDescent="0.3">
      <c r="A3256" s="24" t="s">
        <v>7</v>
      </c>
      <c r="B3256" s="24" t="s">
        <v>85</v>
      </c>
      <c r="C3256" s="22">
        <v>3</v>
      </c>
      <c r="D3256" s="25">
        <v>355033</v>
      </c>
      <c r="E3256" s="25">
        <v>371695</v>
      </c>
      <c r="F3256" s="25">
        <v>16662</v>
      </c>
      <c r="G3256" s="26">
        <v>1.046930848681672</v>
      </c>
      <c r="H3256" s="10" t="str">
        <f t="shared" si="51"/>
        <v>GASTOS</v>
      </c>
      <c r="I3256" s="20">
        <v>2026</v>
      </c>
    </row>
    <row r="3257" spans="1:9" hidden="1" x14ac:dyDescent="0.3">
      <c r="A3257" s="23" t="s">
        <v>7</v>
      </c>
      <c r="B3257" s="23" t="s">
        <v>85</v>
      </c>
      <c r="C3257" s="22">
        <v>4</v>
      </c>
      <c r="D3257" s="25">
        <v>183170</v>
      </c>
      <c r="E3257" s="25">
        <v>371734</v>
      </c>
      <c r="F3257" s="25">
        <v>188564</v>
      </c>
      <c r="G3257" s="26">
        <v>2.0294480537205875</v>
      </c>
      <c r="H3257" s="10" t="str">
        <f t="shared" si="51"/>
        <v>GASTOS</v>
      </c>
      <c r="I3257" s="20">
        <v>2026</v>
      </c>
    </row>
    <row r="3258" spans="1:9" hidden="1" x14ac:dyDescent="0.3">
      <c r="A3258" s="24" t="s">
        <v>7</v>
      </c>
      <c r="B3258" s="24" t="s">
        <v>17</v>
      </c>
      <c r="C3258" s="22">
        <v>1</v>
      </c>
      <c r="D3258" s="25">
        <v>36099</v>
      </c>
      <c r="E3258" s="25">
        <v>0</v>
      </c>
      <c r="F3258" s="25">
        <v>-36099</v>
      </c>
      <c r="G3258" s="26">
        <v>0</v>
      </c>
      <c r="H3258" s="10" t="str">
        <f t="shared" si="51"/>
        <v>GASTOS</v>
      </c>
      <c r="I3258" s="20">
        <v>2026</v>
      </c>
    </row>
    <row r="3259" spans="1:9" hidden="1" x14ac:dyDescent="0.3">
      <c r="A3259" s="24" t="s">
        <v>7</v>
      </c>
      <c r="B3259" s="24" t="s">
        <v>17</v>
      </c>
      <c r="C3259" s="22">
        <v>2</v>
      </c>
      <c r="D3259" s="25">
        <v>36070</v>
      </c>
      <c r="E3259" s="25">
        <v>0</v>
      </c>
      <c r="F3259" s="25">
        <v>-36070</v>
      </c>
      <c r="G3259" s="26">
        <v>0</v>
      </c>
      <c r="H3259" s="10" t="str">
        <f t="shared" si="51"/>
        <v>GASTOS</v>
      </c>
      <c r="I3259" s="20">
        <v>2026</v>
      </c>
    </row>
    <row r="3260" spans="1:9" hidden="1" x14ac:dyDescent="0.3">
      <c r="A3260" s="24" t="s">
        <v>7</v>
      </c>
      <c r="B3260" s="24" t="s">
        <v>17</v>
      </c>
      <c r="C3260" s="22">
        <v>3</v>
      </c>
      <c r="D3260" s="25">
        <v>38592</v>
      </c>
      <c r="E3260" s="25">
        <v>0</v>
      </c>
      <c r="F3260" s="25">
        <v>-38592</v>
      </c>
      <c r="G3260" s="26">
        <v>0</v>
      </c>
      <c r="H3260" s="10" t="str">
        <f t="shared" si="51"/>
        <v>GASTOS</v>
      </c>
      <c r="I3260" s="20">
        <v>2026</v>
      </c>
    </row>
    <row r="3261" spans="1:9" hidden="1" x14ac:dyDescent="0.3">
      <c r="A3261" s="23" t="s">
        <v>7</v>
      </c>
      <c r="B3261" s="23" t="s">
        <v>17</v>
      </c>
      <c r="C3261" s="22">
        <v>4</v>
      </c>
      <c r="D3261" s="25">
        <v>38592</v>
      </c>
      <c r="E3261" s="25">
        <v>107800</v>
      </c>
      <c r="F3261" s="25">
        <v>69208</v>
      </c>
      <c r="G3261" s="26">
        <v>2.79332504145937</v>
      </c>
      <c r="H3261" s="10" t="str">
        <f t="shared" si="51"/>
        <v>GASTOS</v>
      </c>
      <c r="I3261" s="20">
        <v>2026</v>
      </c>
    </row>
    <row r="3262" spans="1:9" hidden="1" x14ac:dyDescent="0.3">
      <c r="A3262" s="24" t="s">
        <v>56</v>
      </c>
      <c r="B3262" s="24" t="s">
        <v>17</v>
      </c>
      <c r="C3262" s="22">
        <v>1</v>
      </c>
      <c r="D3262" s="25">
        <v>352554</v>
      </c>
      <c r="E3262" s="25">
        <v>415551</v>
      </c>
      <c r="F3262" s="25">
        <v>62997</v>
      </c>
      <c r="G3262" s="26">
        <v>1.17868752020967</v>
      </c>
      <c r="H3262" s="10" t="str">
        <f t="shared" si="51"/>
        <v>GASTOS</v>
      </c>
      <c r="I3262" s="20">
        <v>2026</v>
      </c>
    </row>
    <row r="3263" spans="1:9" hidden="1" x14ac:dyDescent="0.3">
      <c r="A3263" s="24" t="s">
        <v>56</v>
      </c>
      <c r="B3263" s="24" t="s">
        <v>17</v>
      </c>
      <c r="C3263" s="22">
        <v>2</v>
      </c>
      <c r="D3263" s="25">
        <v>352554</v>
      </c>
      <c r="E3263" s="25">
        <v>400446</v>
      </c>
      <c r="F3263" s="25">
        <v>47892</v>
      </c>
      <c r="G3263" s="26">
        <v>1.1358430197927127</v>
      </c>
      <c r="H3263" s="10" t="str">
        <f t="shared" si="51"/>
        <v>GASTOS</v>
      </c>
      <c r="I3263" s="20">
        <v>2026</v>
      </c>
    </row>
    <row r="3264" spans="1:9" hidden="1" x14ac:dyDescent="0.3">
      <c r="A3264" s="24" t="s">
        <v>56</v>
      </c>
      <c r="B3264" s="24" t="s">
        <v>17</v>
      </c>
      <c r="C3264" s="22">
        <v>3</v>
      </c>
      <c r="D3264" s="25">
        <v>383313</v>
      </c>
      <c r="E3264" s="25">
        <v>410610</v>
      </c>
      <c r="F3264" s="25">
        <v>27297</v>
      </c>
      <c r="G3264" s="26">
        <v>1.0712133426207826</v>
      </c>
      <c r="H3264" s="10" t="str">
        <f t="shared" si="51"/>
        <v>GASTOS</v>
      </c>
      <c r="I3264" s="20">
        <v>2026</v>
      </c>
    </row>
    <row r="3265" spans="1:9" hidden="1" x14ac:dyDescent="0.3">
      <c r="A3265" s="23" t="s">
        <v>56</v>
      </c>
      <c r="B3265" s="23" t="s">
        <v>17</v>
      </c>
      <c r="C3265" s="22">
        <v>4</v>
      </c>
      <c r="D3265" s="25">
        <v>383468</v>
      </c>
      <c r="E3265" s="25">
        <v>400155</v>
      </c>
      <c r="F3265" s="25">
        <v>16687</v>
      </c>
      <c r="G3265" s="26">
        <v>1.0435160169818603</v>
      </c>
      <c r="H3265" s="10" t="str">
        <f t="shared" si="51"/>
        <v>GASTOS</v>
      </c>
      <c r="I3265" s="20">
        <v>2026</v>
      </c>
    </row>
    <row r="3266" spans="1:9" hidden="1" x14ac:dyDescent="0.3">
      <c r="A3266" s="24" t="s">
        <v>7</v>
      </c>
      <c r="B3266" s="24" t="s">
        <v>148</v>
      </c>
      <c r="C3266" s="22">
        <v>1</v>
      </c>
      <c r="D3266" s="25">
        <v>0</v>
      </c>
      <c r="E3266" s="25">
        <v>0</v>
      </c>
      <c r="F3266" s="25">
        <v>0</v>
      </c>
      <c r="G3266" s="26">
        <v>0</v>
      </c>
      <c r="H3266" s="10" t="str">
        <f t="shared" si="51"/>
        <v>GASTOS</v>
      </c>
      <c r="I3266" s="20">
        <v>2026</v>
      </c>
    </row>
    <row r="3267" spans="1:9" hidden="1" x14ac:dyDescent="0.3">
      <c r="A3267" s="24" t="s">
        <v>7</v>
      </c>
      <c r="B3267" s="24" t="s">
        <v>148</v>
      </c>
      <c r="C3267" s="22">
        <v>2</v>
      </c>
      <c r="D3267" s="25">
        <v>0</v>
      </c>
      <c r="E3267" s="25">
        <v>0</v>
      </c>
      <c r="F3267" s="25">
        <v>0</v>
      </c>
      <c r="G3267" s="26">
        <v>0</v>
      </c>
      <c r="H3267" s="10" t="str">
        <f t="shared" si="51"/>
        <v>GASTOS</v>
      </c>
      <c r="I3267" s="20">
        <v>2026</v>
      </c>
    </row>
    <row r="3268" spans="1:9" hidden="1" x14ac:dyDescent="0.3">
      <c r="A3268" s="24" t="s">
        <v>7</v>
      </c>
      <c r="B3268" s="24" t="s">
        <v>148</v>
      </c>
      <c r="C3268" s="22">
        <v>3</v>
      </c>
      <c r="D3268" s="25">
        <v>0</v>
      </c>
      <c r="E3268" s="25">
        <v>0</v>
      </c>
      <c r="F3268" s="25">
        <v>0</v>
      </c>
      <c r="G3268" s="26">
        <v>0</v>
      </c>
      <c r="H3268" s="10" t="str">
        <f t="shared" si="51"/>
        <v>GASTOS</v>
      </c>
      <c r="I3268" s="20">
        <v>2026</v>
      </c>
    </row>
    <row r="3269" spans="1:9" hidden="1" x14ac:dyDescent="0.3">
      <c r="A3269" s="23" t="s">
        <v>7</v>
      </c>
      <c r="B3269" s="23" t="s">
        <v>148</v>
      </c>
      <c r="C3269" s="22">
        <v>4</v>
      </c>
      <c r="D3269" s="25">
        <v>0</v>
      </c>
      <c r="E3269" s="25">
        <v>0</v>
      </c>
      <c r="F3269" s="25">
        <v>0</v>
      </c>
      <c r="G3269" s="26">
        <v>0</v>
      </c>
      <c r="H3269" s="10" t="str">
        <f t="shared" si="51"/>
        <v>GASTOS</v>
      </c>
      <c r="I3269" s="20">
        <v>2026</v>
      </c>
    </row>
    <row r="3270" spans="1:9" hidden="1" x14ac:dyDescent="0.3">
      <c r="A3270" s="24" t="s">
        <v>248</v>
      </c>
      <c r="B3270" s="24" t="s">
        <v>170</v>
      </c>
      <c r="C3270" s="22">
        <v>1</v>
      </c>
      <c r="D3270" s="25">
        <v>2928058</v>
      </c>
      <c r="E3270" s="25">
        <v>2928058</v>
      </c>
      <c r="F3270" s="25">
        <v>0</v>
      </c>
      <c r="G3270" s="26">
        <v>1</v>
      </c>
      <c r="H3270" s="10" t="str">
        <f t="shared" si="51"/>
        <v>GASTOS</v>
      </c>
      <c r="I3270" s="20">
        <v>2026</v>
      </c>
    </row>
    <row r="3271" spans="1:9" hidden="1" x14ac:dyDescent="0.3">
      <c r="A3271" s="24" t="s">
        <v>248</v>
      </c>
      <c r="B3271" s="24" t="s">
        <v>170</v>
      </c>
      <c r="C3271" s="22">
        <v>2</v>
      </c>
      <c r="D3271" s="25">
        <v>2899424</v>
      </c>
      <c r="E3271" s="25">
        <v>2899424</v>
      </c>
      <c r="F3271" s="25">
        <v>0</v>
      </c>
      <c r="G3271" s="26">
        <v>1</v>
      </c>
      <c r="H3271" s="10" t="str">
        <f t="shared" si="51"/>
        <v>GASTOS</v>
      </c>
      <c r="I3271" s="20">
        <v>2026</v>
      </c>
    </row>
    <row r="3272" spans="1:9" hidden="1" x14ac:dyDescent="0.3">
      <c r="A3272" s="24" t="s">
        <v>248</v>
      </c>
      <c r="B3272" s="24" t="s">
        <v>170</v>
      </c>
      <c r="C3272" s="22">
        <v>3</v>
      </c>
      <c r="D3272" s="25">
        <v>2764537</v>
      </c>
      <c r="E3272" s="25">
        <v>2909119</v>
      </c>
      <c r="F3272" s="25">
        <v>144582</v>
      </c>
      <c r="G3272" s="26">
        <v>1.0522988116997529</v>
      </c>
      <c r="H3272" s="10" t="str">
        <f t="shared" si="51"/>
        <v>GASTOS</v>
      </c>
      <c r="I3272" s="20">
        <v>2026</v>
      </c>
    </row>
    <row r="3273" spans="1:9" hidden="1" x14ac:dyDescent="0.3">
      <c r="A3273" s="23" t="s">
        <v>248</v>
      </c>
      <c r="B3273" s="23" t="s">
        <v>170</v>
      </c>
      <c r="C3273" s="22">
        <v>4</v>
      </c>
      <c r="D3273" s="25">
        <v>2764537</v>
      </c>
      <c r="E3273" s="25">
        <v>2909119</v>
      </c>
      <c r="F3273" s="25">
        <v>144582</v>
      </c>
      <c r="G3273" s="26">
        <v>1.0522988116997529</v>
      </c>
      <c r="H3273" s="10" t="str">
        <f t="shared" si="51"/>
        <v>GASTOS</v>
      </c>
      <c r="I3273" s="20">
        <v>2026</v>
      </c>
    </row>
    <row r="3274" spans="1:9" hidden="1" x14ac:dyDescent="0.3">
      <c r="A3274" s="24" t="s">
        <v>99</v>
      </c>
      <c r="B3274" s="24" t="s">
        <v>100</v>
      </c>
      <c r="C3274" s="22">
        <v>1</v>
      </c>
      <c r="D3274" s="25">
        <v>0</v>
      </c>
      <c r="E3274" s="25">
        <v>0</v>
      </c>
      <c r="F3274" s="25">
        <v>0</v>
      </c>
      <c r="G3274" s="26">
        <v>0</v>
      </c>
      <c r="H3274" s="10" t="str">
        <f t="shared" si="51"/>
        <v>GASTOS</v>
      </c>
      <c r="I3274" s="20">
        <v>2026</v>
      </c>
    </row>
    <row r="3275" spans="1:9" hidden="1" x14ac:dyDescent="0.3">
      <c r="A3275" s="24" t="s">
        <v>99</v>
      </c>
      <c r="B3275" s="24" t="s">
        <v>100</v>
      </c>
      <c r="C3275" s="22">
        <v>2</v>
      </c>
      <c r="D3275" s="25">
        <v>0</v>
      </c>
      <c r="E3275" s="25">
        <v>0</v>
      </c>
      <c r="F3275" s="25">
        <v>0</v>
      </c>
      <c r="G3275" s="26">
        <v>0</v>
      </c>
      <c r="H3275" s="10" t="str">
        <f t="shared" si="51"/>
        <v>GASTOS</v>
      </c>
      <c r="I3275" s="20">
        <v>2026</v>
      </c>
    </row>
    <row r="3276" spans="1:9" hidden="1" x14ac:dyDescent="0.3">
      <c r="A3276" s="24" t="s">
        <v>99</v>
      </c>
      <c r="B3276" s="24" t="s">
        <v>100</v>
      </c>
      <c r="C3276" s="22">
        <v>3</v>
      </c>
      <c r="D3276" s="25">
        <v>0</v>
      </c>
      <c r="E3276" s="25">
        <v>0</v>
      </c>
      <c r="F3276" s="25">
        <v>0</v>
      </c>
      <c r="G3276" s="26">
        <v>0</v>
      </c>
      <c r="H3276" s="10" t="str">
        <f t="shared" si="51"/>
        <v>GASTOS</v>
      </c>
      <c r="I3276" s="20">
        <v>2026</v>
      </c>
    </row>
    <row r="3277" spans="1:9" hidden="1" x14ac:dyDescent="0.3">
      <c r="A3277" s="23" t="s">
        <v>99</v>
      </c>
      <c r="B3277" s="23" t="s">
        <v>100</v>
      </c>
      <c r="C3277" s="22">
        <v>4</v>
      </c>
      <c r="D3277" s="25">
        <v>0</v>
      </c>
      <c r="E3277" s="25">
        <v>0</v>
      </c>
      <c r="F3277" s="25">
        <v>0</v>
      </c>
      <c r="G3277" s="26">
        <v>0</v>
      </c>
      <c r="H3277" s="10" t="str">
        <f t="shared" si="51"/>
        <v>GASTOS</v>
      </c>
      <c r="I3277" s="20">
        <v>2026</v>
      </c>
    </row>
    <row r="3278" spans="1:9" hidden="1" x14ac:dyDescent="0.3">
      <c r="A3278" s="24" t="s">
        <v>43</v>
      </c>
      <c r="B3278" s="24" t="s">
        <v>44</v>
      </c>
      <c r="C3278" s="22">
        <v>1</v>
      </c>
      <c r="D3278" s="25">
        <v>0</v>
      </c>
      <c r="E3278" s="25">
        <v>0</v>
      </c>
      <c r="F3278" s="25">
        <v>0</v>
      </c>
      <c r="G3278" s="26">
        <v>0</v>
      </c>
      <c r="H3278" s="10" t="str">
        <f t="shared" si="51"/>
        <v>GASTOS</v>
      </c>
      <c r="I3278" s="20">
        <v>2026</v>
      </c>
    </row>
    <row r="3279" spans="1:9" hidden="1" x14ac:dyDescent="0.3">
      <c r="A3279" s="24" t="s">
        <v>43</v>
      </c>
      <c r="B3279" s="24" t="s">
        <v>44</v>
      </c>
      <c r="C3279" s="22">
        <v>2</v>
      </c>
      <c r="D3279" s="25">
        <v>32000000</v>
      </c>
      <c r="E3279" s="25">
        <v>26412000</v>
      </c>
      <c r="F3279" s="25">
        <v>-5588000</v>
      </c>
      <c r="G3279" s="26">
        <v>0.82537499999999997</v>
      </c>
      <c r="H3279" s="10" t="str">
        <f t="shared" si="51"/>
        <v>GASTOS</v>
      </c>
      <c r="I3279" s="20">
        <v>2026</v>
      </c>
    </row>
    <row r="3280" spans="1:9" hidden="1" x14ac:dyDescent="0.3">
      <c r="A3280" s="24" t="s">
        <v>43</v>
      </c>
      <c r="B3280" s="24" t="s">
        <v>44</v>
      </c>
      <c r="C3280" s="22">
        <v>3</v>
      </c>
      <c r="D3280" s="25">
        <v>0</v>
      </c>
      <c r="E3280" s="25">
        <v>0</v>
      </c>
      <c r="F3280" s="25">
        <v>0</v>
      </c>
      <c r="G3280" s="26">
        <v>0</v>
      </c>
      <c r="H3280" s="10" t="str">
        <f t="shared" si="51"/>
        <v>GASTOS</v>
      </c>
      <c r="I3280" s="20">
        <v>2026</v>
      </c>
    </row>
    <row r="3281" spans="1:9" hidden="1" x14ac:dyDescent="0.3">
      <c r="A3281" s="23" t="s">
        <v>43</v>
      </c>
      <c r="B3281" s="23" t="s">
        <v>44</v>
      </c>
      <c r="C3281" s="22">
        <v>4</v>
      </c>
      <c r="D3281" s="25">
        <v>0</v>
      </c>
      <c r="E3281" s="25">
        <v>0</v>
      </c>
      <c r="F3281" s="25">
        <v>0</v>
      </c>
      <c r="G3281" s="26">
        <v>0</v>
      </c>
      <c r="H3281" s="10" t="str">
        <f t="shared" si="51"/>
        <v>GASTOS</v>
      </c>
      <c r="I3281" s="20">
        <v>2026</v>
      </c>
    </row>
    <row r="3282" spans="1:9" hidden="1" x14ac:dyDescent="0.3">
      <c r="A3282" s="24" t="s">
        <v>99</v>
      </c>
      <c r="B3282" s="24" t="s">
        <v>160</v>
      </c>
      <c r="C3282" s="22">
        <v>1</v>
      </c>
      <c r="D3282" s="25">
        <v>0</v>
      </c>
      <c r="E3282" s="25">
        <v>0</v>
      </c>
      <c r="F3282" s="25">
        <v>0</v>
      </c>
      <c r="G3282" s="26">
        <v>0</v>
      </c>
      <c r="H3282" s="10" t="str">
        <f t="shared" si="51"/>
        <v>GASTOS</v>
      </c>
      <c r="I3282" s="20">
        <v>2026</v>
      </c>
    </row>
    <row r="3283" spans="1:9" hidden="1" x14ac:dyDescent="0.3">
      <c r="A3283" s="24" t="s">
        <v>99</v>
      </c>
      <c r="B3283" s="24" t="s">
        <v>160</v>
      </c>
      <c r="C3283" s="22">
        <v>2</v>
      </c>
      <c r="D3283" s="25">
        <v>0</v>
      </c>
      <c r="E3283" s="25">
        <v>0</v>
      </c>
      <c r="F3283" s="25">
        <v>0</v>
      </c>
      <c r="G3283" s="26">
        <v>0</v>
      </c>
      <c r="H3283" s="10" t="str">
        <f t="shared" si="51"/>
        <v>GASTOS</v>
      </c>
      <c r="I3283" s="20">
        <v>2026</v>
      </c>
    </row>
    <row r="3284" spans="1:9" hidden="1" x14ac:dyDescent="0.3">
      <c r="A3284" s="24" t="s">
        <v>99</v>
      </c>
      <c r="B3284" s="24" t="s">
        <v>160</v>
      </c>
      <c r="C3284" s="22">
        <v>3</v>
      </c>
      <c r="D3284" s="25">
        <v>0</v>
      </c>
      <c r="E3284" s="25">
        <v>0</v>
      </c>
      <c r="F3284" s="25">
        <v>0</v>
      </c>
      <c r="G3284" s="26">
        <v>0</v>
      </c>
      <c r="H3284" s="10" t="str">
        <f t="shared" si="51"/>
        <v>GASTOS</v>
      </c>
      <c r="I3284" s="20">
        <v>2026</v>
      </c>
    </row>
    <row r="3285" spans="1:9" hidden="1" x14ac:dyDescent="0.3">
      <c r="A3285" s="23" t="s">
        <v>99</v>
      </c>
      <c r="B3285" s="23" t="s">
        <v>160</v>
      </c>
      <c r="C3285" s="22">
        <v>4</v>
      </c>
      <c r="D3285" s="25">
        <v>0</v>
      </c>
      <c r="E3285" s="25">
        <v>0</v>
      </c>
      <c r="F3285" s="25">
        <v>0</v>
      </c>
      <c r="G3285" s="26">
        <v>0</v>
      </c>
      <c r="H3285" s="10" t="str">
        <f t="shared" si="51"/>
        <v>GASTOS</v>
      </c>
      <c r="I3285" s="20">
        <v>2026</v>
      </c>
    </row>
    <row r="3286" spans="1:9" hidden="1" x14ac:dyDescent="0.3">
      <c r="A3286" s="24" t="s">
        <v>43</v>
      </c>
      <c r="B3286" s="24" t="s">
        <v>45</v>
      </c>
      <c r="C3286" s="22">
        <v>1</v>
      </c>
      <c r="D3286" s="25">
        <v>320000</v>
      </c>
      <c r="E3286" s="25">
        <v>240000</v>
      </c>
      <c r="F3286" s="25">
        <v>-80000</v>
      </c>
      <c r="G3286" s="26">
        <v>0.75</v>
      </c>
      <c r="H3286" s="10" t="str">
        <f t="shared" si="51"/>
        <v>GASTOS</v>
      </c>
      <c r="I3286" s="20">
        <v>2026</v>
      </c>
    </row>
    <row r="3287" spans="1:9" hidden="1" x14ac:dyDescent="0.3">
      <c r="A3287" s="23" t="s">
        <v>43</v>
      </c>
      <c r="B3287" s="23" t="s">
        <v>45</v>
      </c>
      <c r="C3287" s="22">
        <v>2</v>
      </c>
      <c r="D3287" s="25">
        <v>0</v>
      </c>
      <c r="E3287" s="25">
        <v>80000</v>
      </c>
      <c r="F3287" s="25">
        <v>80000</v>
      </c>
      <c r="G3287" s="26">
        <v>0</v>
      </c>
      <c r="H3287" s="10" t="str">
        <f t="shared" si="51"/>
        <v>GASTOS</v>
      </c>
      <c r="I3287" s="20">
        <v>2026</v>
      </c>
    </row>
    <row r="3288" spans="1:9" hidden="1" x14ac:dyDescent="0.3">
      <c r="A3288" s="24" t="s">
        <v>43</v>
      </c>
      <c r="B3288" s="24" t="s">
        <v>45</v>
      </c>
      <c r="C3288" s="22">
        <v>3</v>
      </c>
      <c r="D3288" s="25">
        <v>160000</v>
      </c>
      <c r="E3288" s="25">
        <v>0</v>
      </c>
      <c r="F3288" s="25">
        <v>-160000</v>
      </c>
      <c r="G3288" s="26">
        <v>0</v>
      </c>
      <c r="H3288" s="10" t="str">
        <f t="shared" si="51"/>
        <v>GASTOS</v>
      </c>
      <c r="I3288" s="20">
        <v>2026</v>
      </c>
    </row>
    <row r="3289" spans="1:9" hidden="1" x14ac:dyDescent="0.3">
      <c r="A3289" s="24" t="s">
        <v>43</v>
      </c>
      <c r="B3289" s="24" t="s">
        <v>45</v>
      </c>
      <c r="C3289" s="22">
        <v>4</v>
      </c>
      <c r="D3289" s="25">
        <v>320000</v>
      </c>
      <c r="E3289" s="25">
        <v>640000</v>
      </c>
      <c r="F3289" s="25">
        <v>320000</v>
      </c>
      <c r="G3289" s="26">
        <v>2</v>
      </c>
      <c r="H3289" s="10" t="str">
        <f t="shared" si="51"/>
        <v>GASTOS</v>
      </c>
      <c r="I3289" s="20">
        <v>2026</v>
      </c>
    </row>
    <row r="3290" spans="1:9" hidden="1" x14ac:dyDescent="0.3">
      <c r="A3290" s="23" t="s">
        <v>155</v>
      </c>
      <c r="B3290" s="24" t="s">
        <v>36</v>
      </c>
      <c r="C3290" s="22">
        <v>1</v>
      </c>
      <c r="D3290" s="25">
        <v>0</v>
      </c>
      <c r="E3290" s="25">
        <v>0</v>
      </c>
      <c r="F3290" s="25">
        <v>0</v>
      </c>
      <c r="G3290" s="26">
        <v>0</v>
      </c>
      <c r="H3290" s="10" t="str">
        <f t="shared" si="51"/>
        <v>GASTOS</v>
      </c>
      <c r="I3290" s="20">
        <v>2026</v>
      </c>
    </row>
    <row r="3291" spans="1:9" hidden="1" x14ac:dyDescent="0.3">
      <c r="A3291" s="23" t="s">
        <v>155</v>
      </c>
      <c r="B3291" s="23" t="s">
        <v>36</v>
      </c>
      <c r="C3291" s="22">
        <v>2</v>
      </c>
      <c r="D3291" s="25">
        <v>0</v>
      </c>
      <c r="E3291" s="25">
        <v>43100</v>
      </c>
      <c r="F3291" s="25">
        <v>43100</v>
      </c>
      <c r="G3291" s="26">
        <v>0</v>
      </c>
      <c r="H3291" s="10" t="str">
        <f t="shared" si="51"/>
        <v>GASTOS</v>
      </c>
      <c r="I3291" s="20">
        <v>2026</v>
      </c>
    </row>
    <row r="3292" spans="1:9" hidden="1" x14ac:dyDescent="0.3">
      <c r="A3292" s="23" t="s">
        <v>155</v>
      </c>
      <c r="B3292" s="24" t="s">
        <v>36</v>
      </c>
      <c r="C3292" s="22">
        <v>3</v>
      </c>
      <c r="D3292" s="25">
        <v>35643500</v>
      </c>
      <c r="E3292" s="25">
        <v>35643500</v>
      </c>
      <c r="F3292" s="25">
        <v>0</v>
      </c>
      <c r="G3292" s="26">
        <v>1</v>
      </c>
      <c r="H3292" s="10" t="str">
        <f t="shared" si="51"/>
        <v>GASTOS</v>
      </c>
      <c r="I3292" s="20">
        <v>2026</v>
      </c>
    </row>
    <row r="3293" spans="1:9" hidden="1" x14ac:dyDescent="0.3">
      <c r="A3293" s="23" t="s">
        <v>155</v>
      </c>
      <c r="B3293" s="24" t="s">
        <v>36</v>
      </c>
      <c r="C3293" s="22">
        <v>4</v>
      </c>
      <c r="D3293" s="25">
        <v>0</v>
      </c>
      <c r="E3293" s="25">
        <v>0</v>
      </c>
      <c r="F3293" s="25">
        <v>0</v>
      </c>
      <c r="G3293" s="26">
        <v>0</v>
      </c>
      <c r="H3293" s="10" t="str">
        <f t="shared" si="51"/>
        <v>GASTOS</v>
      </c>
      <c r="I3293" s="20">
        <v>2026</v>
      </c>
    </row>
    <row r="3294" spans="1:9" hidden="1" x14ac:dyDescent="0.3">
      <c r="A3294" s="23" t="s">
        <v>155</v>
      </c>
      <c r="B3294" s="24" t="s">
        <v>37</v>
      </c>
      <c r="C3294" s="22">
        <v>1</v>
      </c>
      <c r="D3294" s="25">
        <v>20708744</v>
      </c>
      <c r="E3294" s="25">
        <v>20708744</v>
      </c>
      <c r="F3294" s="25">
        <v>0</v>
      </c>
      <c r="G3294" s="26">
        <v>1</v>
      </c>
      <c r="H3294" s="10" t="str">
        <f t="shared" si="51"/>
        <v>GASTOS</v>
      </c>
      <c r="I3294" s="20">
        <v>2026</v>
      </c>
    </row>
    <row r="3295" spans="1:9" hidden="1" x14ac:dyDescent="0.3">
      <c r="A3295" s="23" t="s">
        <v>155</v>
      </c>
      <c r="B3295" s="23" t="s">
        <v>37</v>
      </c>
      <c r="C3295" s="22">
        <v>2</v>
      </c>
      <c r="D3295" s="25">
        <v>34882652</v>
      </c>
      <c r="E3295" s="25">
        <v>34882652</v>
      </c>
      <c r="F3295" s="25">
        <v>0</v>
      </c>
      <c r="G3295" s="26">
        <v>1</v>
      </c>
      <c r="H3295" s="10" t="str">
        <f t="shared" si="51"/>
        <v>GASTOS</v>
      </c>
      <c r="I3295" s="20">
        <v>2026</v>
      </c>
    </row>
    <row r="3296" spans="1:9" hidden="1" x14ac:dyDescent="0.3">
      <c r="A3296" s="23" t="s">
        <v>155</v>
      </c>
      <c r="B3296" s="24" t="s">
        <v>37</v>
      </c>
      <c r="C3296" s="22">
        <v>3</v>
      </c>
      <c r="D3296" s="25">
        <v>31433853</v>
      </c>
      <c r="E3296" s="25">
        <v>31433853</v>
      </c>
      <c r="F3296" s="25">
        <v>0</v>
      </c>
      <c r="G3296" s="26">
        <v>1</v>
      </c>
      <c r="H3296" s="10" t="str">
        <f t="shared" si="51"/>
        <v>GASTOS</v>
      </c>
      <c r="I3296" s="20">
        <v>2026</v>
      </c>
    </row>
    <row r="3297" spans="1:9" hidden="1" x14ac:dyDescent="0.3">
      <c r="A3297" s="23" t="s">
        <v>155</v>
      </c>
      <c r="B3297" s="24" t="s">
        <v>37</v>
      </c>
      <c r="C3297" s="22">
        <v>4</v>
      </c>
      <c r="D3297" s="25">
        <v>33158252</v>
      </c>
      <c r="E3297" s="25">
        <v>22173936</v>
      </c>
      <c r="F3297" s="25">
        <v>-10984316</v>
      </c>
      <c r="G3297" s="26">
        <v>0.66873054707467694</v>
      </c>
      <c r="H3297" s="10" t="str">
        <f t="shared" si="51"/>
        <v>GASTOS</v>
      </c>
      <c r="I3297" s="20">
        <v>2026</v>
      </c>
    </row>
    <row r="3298" spans="1:9" hidden="1" x14ac:dyDescent="0.3">
      <c r="A3298" s="23" t="s">
        <v>155</v>
      </c>
      <c r="B3298" s="24" t="s">
        <v>37</v>
      </c>
      <c r="C3298" s="22">
        <v>2</v>
      </c>
      <c r="D3298" s="25">
        <v>0</v>
      </c>
      <c r="E3298" s="25">
        <v>174384</v>
      </c>
      <c r="F3298" s="25">
        <v>174384</v>
      </c>
      <c r="G3298" s="26">
        <v>0</v>
      </c>
      <c r="H3298" s="10" t="str">
        <f t="shared" si="51"/>
        <v>GASTOS</v>
      </c>
      <c r="I3298" s="20">
        <v>2026</v>
      </c>
    </row>
    <row r="3299" spans="1:9" hidden="1" x14ac:dyDescent="0.3">
      <c r="A3299" s="23" t="s">
        <v>155</v>
      </c>
      <c r="B3299" s="23" t="s">
        <v>37</v>
      </c>
      <c r="C3299" s="22">
        <v>3</v>
      </c>
      <c r="D3299" s="25">
        <v>0</v>
      </c>
      <c r="E3299" s="25">
        <v>152830</v>
      </c>
      <c r="F3299" s="25">
        <v>152830</v>
      </c>
      <c r="G3299" s="26">
        <v>0</v>
      </c>
      <c r="H3299" s="10" t="str">
        <f t="shared" si="51"/>
        <v>GASTOS</v>
      </c>
      <c r="I3299" s="20">
        <v>2026</v>
      </c>
    </row>
    <row r="3300" spans="1:9" hidden="1" x14ac:dyDescent="0.3">
      <c r="A3300" s="23" t="s">
        <v>155</v>
      </c>
      <c r="B3300" s="24" t="s">
        <v>37</v>
      </c>
      <c r="C3300" s="22">
        <v>4</v>
      </c>
      <c r="D3300" s="25">
        <v>0</v>
      </c>
      <c r="E3300" s="25">
        <v>163789</v>
      </c>
      <c r="F3300" s="25">
        <v>163789</v>
      </c>
      <c r="G3300" s="26">
        <v>0</v>
      </c>
      <c r="H3300" s="10" t="str">
        <f t="shared" si="51"/>
        <v>GASTOS</v>
      </c>
      <c r="I3300" s="20">
        <v>2026</v>
      </c>
    </row>
    <row r="3301" spans="1:9" hidden="1" x14ac:dyDescent="0.3">
      <c r="A3301" s="23" t="s">
        <v>155</v>
      </c>
      <c r="B3301" s="24" t="s">
        <v>256</v>
      </c>
      <c r="C3301" s="22">
        <v>4</v>
      </c>
      <c r="D3301" s="25">
        <v>148392000</v>
      </c>
      <c r="E3301" s="25">
        <v>148392000</v>
      </c>
      <c r="F3301" s="25">
        <v>148392000</v>
      </c>
      <c r="G3301" s="26">
        <v>0</v>
      </c>
      <c r="H3301" s="10" t="str">
        <f t="shared" si="51"/>
        <v>GASTOS</v>
      </c>
      <c r="I3301" s="20">
        <v>2026</v>
      </c>
    </row>
    <row r="3302" spans="1:9" hidden="1" x14ac:dyDescent="0.3">
      <c r="A3302" s="24" t="s">
        <v>107</v>
      </c>
      <c r="B3302" s="24" t="s">
        <v>22</v>
      </c>
      <c r="C3302" s="22">
        <v>2</v>
      </c>
      <c r="D3302" s="25">
        <v>0</v>
      </c>
      <c r="E3302" s="25">
        <v>44454</v>
      </c>
      <c r="F3302" s="25">
        <v>44454</v>
      </c>
      <c r="G3302" s="26">
        <v>0</v>
      </c>
      <c r="H3302" s="10" t="str">
        <f t="shared" si="51"/>
        <v>COSTOS</v>
      </c>
      <c r="I3302" s="20">
        <v>2026</v>
      </c>
    </row>
    <row r="3303" spans="1:9" hidden="1" x14ac:dyDescent="0.3">
      <c r="A3303" s="23" t="s">
        <v>107</v>
      </c>
      <c r="B3303" s="23" t="s">
        <v>22</v>
      </c>
      <c r="C3303" s="22">
        <v>3</v>
      </c>
      <c r="D3303" s="25">
        <v>0</v>
      </c>
      <c r="E3303" s="25">
        <v>0</v>
      </c>
      <c r="F3303" s="25">
        <v>0</v>
      </c>
      <c r="G3303" s="26">
        <v>0</v>
      </c>
      <c r="H3303" s="10" t="str">
        <f t="shared" si="51"/>
        <v>COSTOS</v>
      </c>
      <c r="I3303" s="20">
        <v>2026</v>
      </c>
    </row>
    <row r="3304" spans="1:9" hidden="1" x14ac:dyDescent="0.3">
      <c r="A3304" s="24" t="s">
        <v>107</v>
      </c>
      <c r="B3304" s="24" t="s">
        <v>22</v>
      </c>
      <c r="C3304" s="22">
        <v>4</v>
      </c>
      <c r="D3304" s="25">
        <v>0</v>
      </c>
      <c r="E3304" s="25">
        <v>0</v>
      </c>
      <c r="F3304" s="25">
        <v>0</v>
      </c>
      <c r="G3304" s="26">
        <v>0</v>
      </c>
      <c r="H3304" s="10" t="str">
        <f t="shared" si="51"/>
        <v>COSTOS</v>
      </c>
      <c r="I3304" s="20">
        <v>2026</v>
      </c>
    </row>
    <row r="3305" spans="1:9" x14ac:dyDescent="0.3">
      <c r="A3305" s="24" t="s">
        <v>129</v>
      </c>
      <c r="B3305" s="24" t="s">
        <v>22</v>
      </c>
      <c r="C3305" s="22">
        <v>1</v>
      </c>
      <c r="D3305" s="25">
        <v>3000000</v>
      </c>
      <c r="E3305" s="25">
        <v>611100</v>
      </c>
      <c r="F3305" s="25">
        <v>-2388900</v>
      </c>
      <c r="G3305" s="26">
        <v>0.20369999999999999</v>
      </c>
      <c r="H3305" s="10" t="str">
        <f t="shared" si="51"/>
        <v>COSTOS</v>
      </c>
      <c r="I3305" s="20">
        <v>2026</v>
      </c>
    </row>
    <row r="3306" spans="1:9" x14ac:dyDescent="0.3">
      <c r="A3306" s="24" t="s">
        <v>129</v>
      </c>
      <c r="B3306" s="24" t="s">
        <v>22</v>
      </c>
      <c r="C3306" s="22">
        <v>2</v>
      </c>
      <c r="D3306" s="25">
        <v>3000000</v>
      </c>
      <c r="E3306" s="25">
        <v>6258134</v>
      </c>
      <c r="F3306" s="25">
        <v>3258134</v>
      </c>
      <c r="G3306" s="26">
        <v>2.0860446666666665</v>
      </c>
      <c r="H3306" s="10" t="str">
        <f t="shared" si="51"/>
        <v>COSTOS</v>
      </c>
      <c r="I3306" s="20">
        <v>2026</v>
      </c>
    </row>
    <row r="3307" spans="1:9" x14ac:dyDescent="0.3">
      <c r="A3307" s="23" t="s">
        <v>129</v>
      </c>
      <c r="B3307" s="23" t="s">
        <v>22</v>
      </c>
      <c r="C3307" s="22">
        <v>3</v>
      </c>
      <c r="D3307" s="25">
        <v>3000000</v>
      </c>
      <c r="E3307" s="25">
        <v>2606493</v>
      </c>
      <c r="F3307" s="25">
        <v>-393507</v>
      </c>
      <c r="G3307" s="26">
        <v>0.86883100000000002</v>
      </c>
      <c r="H3307" s="10" t="str">
        <f t="shared" si="51"/>
        <v>COSTOS</v>
      </c>
      <c r="I3307" s="20">
        <v>2026</v>
      </c>
    </row>
    <row r="3308" spans="1:9" x14ac:dyDescent="0.3">
      <c r="A3308" s="24" t="s">
        <v>129</v>
      </c>
      <c r="B3308" s="24" t="s">
        <v>22</v>
      </c>
      <c r="C3308" s="22">
        <v>4</v>
      </c>
      <c r="D3308" s="25">
        <v>3000000</v>
      </c>
      <c r="E3308" s="25">
        <v>796210</v>
      </c>
      <c r="F3308" s="25">
        <v>-2203790</v>
      </c>
      <c r="G3308" s="26">
        <v>0.26540333333333332</v>
      </c>
      <c r="H3308" s="10" t="str">
        <f t="shared" si="51"/>
        <v>COSTOS</v>
      </c>
      <c r="I3308" s="20">
        <v>2026</v>
      </c>
    </row>
    <row r="3309" spans="1:9" hidden="1" x14ac:dyDescent="0.3">
      <c r="A3309" s="24" t="s">
        <v>101</v>
      </c>
      <c r="B3309" s="24" t="s">
        <v>47</v>
      </c>
      <c r="C3309" s="22">
        <v>2</v>
      </c>
      <c r="D3309" s="25">
        <v>0</v>
      </c>
      <c r="E3309" s="25">
        <v>2325900</v>
      </c>
      <c r="F3309" s="25">
        <v>2325900</v>
      </c>
      <c r="G3309" s="26">
        <v>0</v>
      </c>
      <c r="H3309" s="10" t="str">
        <f t="shared" si="51"/>
        <v>COSTOS</v>
      </c>
      <c r="I3309" s="20">
        <v>2026</v>
      </c>
    </row>
    <row r="3310" spans="1:9" hidden="1" x14ac:dyDescent="0.3">
      <c r="A3310" s="24" t="s">
        <v>101</v>
      </c>
      <c r="B3310" s="24" t="s">
        <v>47</v>
      </c>
      <c r="C3310" s="22">
        <v>3</v>
      </c>
      <c r="D3310" s="25">
        <v>0</v>
      </c>
      <c r="E3310" s="25">
        <v>0</v>
      </c>
      <c r="F3310" s="25">
        <v>0</v>
      </c>
      <c r="G3310" s="26">
        <v>0</v>
      </c>
      <c r="H3310" s="10" t="str">
        <f t="shared" ref="H3310:H3373" si="52">+IF(OR(A3310="ADMINISTRACION",A3310="COMERCIAL",A3310="COMERCIAL-EXPORTACIONES",A3310="LEASING DE LA BODEGA",A3310="LOGISTICA-SALIDA",A3310="OTROS GASTOS",A3310="BODEGA ALQUILADA", A3310="BODEGA CARTOPLAST", A3310="BODEGA CARTOPLAS", A3310= "GESTION HUMANA-OTROS GASTOS",A3310="FAMILIA"),"GASTOS","COSTOS")</f>
        <v>COSTOS</v>
      </c>
      <c r="I3310" s="20">
        <v>2026</v>
      </c>
    </row>
    <row r="3311" spans="1:9" hidden="1" x14ac:dyDescent="0.3">
      <c r="A3311" s="23" t="s">
        <v>101</v>
      </c>
      <c r="B3311" s="23" t="s">
        <v>47</v>
      </c>
      <c r="C3311" s="22">
        <v>4</v>
      </c>
      <c r="D3311" s="25">
        <v>0</v>
      </c>
      <c r="E3311" s="25">
        <v>0</v>
      </c>
      <c r="F3311" s="25">
        <v>0</v>
      </c>
      <c r="G3311" s="26">
        <v>0</v>
      </c>
      <c r="H3311" s="10" t="str">
        <f t="shared" si="52"/>
        <v>COSTOS</v>
      </c>
      <c r="I3311" s="20">
        <v>2026</v>
      </c>
    </row>
    <row r="3312" spans="1:9" hidden="1" x14ac:dyDescent="0.3">
      <c r="A3312" s="24" t="s">
        <v>242</v>
      </c>
      <c r="B3312" s="24" t="s">
        <v>23</v>
      </c>
      <c r="C3312" s="22">
        <v>1</v>
      </c>
      <c r="D3312" s="25">
        <v>0</v>
      </c>
      <c r="E3312" s="25">
        <v>0</v>
      </c>
      <c r="F3312" s="25">
        <v>0</v>
      </c>
      <c r="G3312" s="26">
        <v>0</v>
      </c>
      <c r="H3312" s="10" t="str">
        <f t="shared" si="52"/>
        <v>GASTOS</v>
      </c>
      <c r="I3312" s="20">
        <v>2026</v>
      </c>
    </row>
    <row r="3313" spans="1:9" hidden="1" x14ac:dyDescent="0.3">
      <c r="A3313" s="24" t="s">
        <v>242</v>
      </c>
      <c r="B3313" s="24" t="s">
        <v>23</v>
      </c>
      <c r="C3313" s="22">
        <v>2</v>
      </c>
      <c r="D3313" s="25">
        <v>0</v>
      </c>
      <c r="E3313" s="25">
        <v>0</v>
      </c>
      <c r="F3313" s="25">
        <v>0</v>
      </c>
      <c r="G3313" s="26">
        <v>0</v>
      </c>
      <c r="H3313" s="10" t="str">
        <f t="shared" si="52"/>
        <v>GASTOS</v>
      </c>
      <c r="I3313" s="20">
        <v>2026</v>
      </c>
    </row>
    <row r="3314" spans="1:9" hidden="1" x14ac:dyDescent="0.3">
      <c r="A3314" s="24" t="s">
        <v>242</v>
      </c>
      <c r="B3314" s="24" t="s">
        <v>23</v>
      </c>
      <c r="C3314" s="22">
        <v>3</v>
      </c>
      <c r="D3314" s="25">
        <v>0</v>
      </c>
      <c r="E3314" s="25">
        <v>0</v>
      </c>
      <c r="F3314" s="25">
        <v>0</v>
      </c>
      <c r="G3314" s="26">
        <v>0</v>
      </c>
      <c r="H3314" s="10" t="str">
        <f t="shared" si="52"/>
        <v>GASTOS</v>
      </c>
      <c r="I3314" s="20">
        <v>2026</v>
      </c>
    </row>
    <row r="3315" spans="1:9" hidden="1" x14ac:dyDescent="0.3">
      <c r="A3315" s="23" t="s">
        <v>242</v>
      </c>
      <c r="B3315" s="23" t="s">
        <v>23</v>
      </c>
      <c r="C3315" s="22">
        <v>4</v>
      </c>
      <c r="D3315" s="25">
        <v>0</v>
      </c>
      <c r="E3315" s="25">
        <v>0</v>
      </c>
      <c r="F3315" s="25">
        <v>0</v>
      </c>
      <c r="G3315" s="26">
        <v>0</v>
      </c>
      <c r="H3315" s="10" t="str">
        <f t="shared" si="52"/>
        <v>GASTOS</v>
      </c>
      <c r="I3315" s="20">
        <v>2026</v>
      </c>
    </row>
    <row r="3316" spans="1:9" hidden="1" x14ac:dyDescent="0.3">
      <c r="A3316" s="24" t="s">
        <v>147</v>
      </c>
      <c r="B3316" s="24" t="s">
        <v>23</v>
      </c>
      <c r="C3316" s="22">
        <v>1</v>
      </c>
      <c r="D3316" s="25">
        <v>1388889</v>
      </c>
      <c r="E3316" s="25">
        <v>1388889</v>
      </c>
      <c r="F3316" s="25">
        <v>0</v>
      </c>
      <c r="G3316" s="26">
        <v>1</v>
      </c>
      <c r="H3316" s="10" t="str">
        <f t="shared" si="52"/>
        <v>COSTOS</v>
      </c>
      <c r="I3316" s="20">
        <v>2026</v>
      </c>
    </row>
    <row r="3317" spans="1:9" hidden="1" x14ac:dyDescent="0.3">
      <c r="A3317" s="24" t="s">
        <v>147</v>
      </c>
      <c r="B3317" s="24" t="s">
        <v>23</v>
      </c>
      <c r="C3317" s="22">
        <v>2</v>
      </c>
      <c r="D3317" s="25">
        <v>1388889</v>
      </c>
      <c r="E3317" s="25">
        <v>1388889</v>
      </c>
      <c r="F3317" s="25">
        <v>0</v>
      </c>
      <c r="G3317" s="26">
        <v>1</v>
      </c>
      <c r="H3317" s="10" t="str">
        <f t="shared" si="52"/>
        <v>COSTOS</v>
      </c>
      <c r="I3317" s="20">
        <v>2026</v>
      </c>
    </row>
    <row r="3318" spans="1:9" hidden="1" x14ac:dyDescent="0.3">
      <c r="A3318" s="24" t="s">
        <v>147</v>
      </c>
      <c r="B3318" s="24" t="s">
        <v>23</v>
      </c>
      <c r="C3318" s="22">
        <v>3</v>
      </c>
      <c r="D3318" s="25">
        <v>1388889</v>
      </c>
      <c r="E3318" s="25">
        <v>1388889</v>
      </c>
      <c r="F3318" s="25">
        <v>0</v>
      </c>
      <c r="G3318" s="26">
        <v>1</v>
      </c>
      <c r="H3318" s="10" t="str">
        <f t="shared" si="52"/>
        <v>COSTOS</v>
      </c>
      <c r="I3318" s="20">
        <v>2026</v>
      </c>
    </row>
    <row r="3319" spans="1:9" hidden="1" x14ac:dyDescent="0.3">
      <c r="A3319" s="23" t="s">
        <v>147</v>
      </c>
      <c r="B3319" s="23" t="s">
        <v>23</v>
      </c>
      <c r="C3319" s="22">
        <v>4</v>
      </c>
      <c r="D3319" s="25">
        <v>1388889</v>
      </c>
      <c r="E3319" s="25">
        <v>1388889</v>
      </c>
      <c r="F3319" s="25">
        <v>0</v>
      </c>
      <c r="G3319" s="26">
        <v>1</v>
      </c>
      <c r="H3319" s="10" t="str">
        <f t="shared" si="52"/>
        <v>COSTOS</v>
      </c>
      <c r="I3319" s="20">
        <v>2026</v>
      </c>
    </row>
    <row r="3320" spans="1:9" x14ac:dyDescent="0.3">
      <c r="A3320" s="24" t="s">
        <v>122</v>
      </c>
      <c r="B3320" s="24" t="s">
        <v>39</v>
      </c>
      <c r="C3320" s="22">
        <v>1</v>
      </c>
      <c r="D3320" s="25">
        <v>269733</v>
      </c>
      <c r="E3320" s="25">
        <v>269733</v>
      </c>
      <c r="F3320" s="25">
        <v>0</v>
      </c>
      <c r="G3320" s="26">
        <v>1</v>
      </c>
      <c r="H3320" s="10" t="str">
        <f t="shared" si="52"/>
        <v>COSTOS</v>
      </c>
      <c r="I3320" s="20">
        <v>2026</v>
      </c>
    </row>
    <row r="3321" spans="1:9" x14ac:dyDescent="0.3">
      <c r="A3321" s="24" t="s">
        <v>122</v>
      </c>
      <c r="B3321" s="24" t="s">
        <v>39</v>
      </c>
      <c r="C3321" s="22">
        <v>2</v>
      </c>
      <c r="D3321" s="25">
        <v>269733</v>
      </c>
      <c r="E3321" s="25">
        <v>269733</v>
      </c>
      <c r="F3321" s="25">
        <v>0</v>
      </c>
      <c r="G3321" s="26">
        <v>1</v>
      </c>
      <c r="H3321" s="10" t="str">
        <f t="shared" si="52"/>
        <v>COSTOS</v>
      </c>
      <c r="I3321" s="20">
        <v>2026</v>
      </c>
    </row>
    <row r="3322" spans="1:9" x14ac:dyDescent="0.3">
      <c r="A3322" s="24" t="s">
        <v>122</v>
      </c>
      <c r="B3322" s="24" t="s">
        <v>39</v>
      </c>
      <c r="C3322" s="22">
        <v>3</v>
      </c>
      <c r="D3322" s="25">
        <v>269733</v>
      </c>
      <c r="E3322" s="25">
        <v>269733</v>
      </c>
      <c r="F3322" s="25">
        <v>0</v>
      </c>
      <c r="G3322" s="26">
        <v>1</v>
      </c>
      <c r="H3322" s="10" t="str">
        <f t="shared" si="52"/>
        <v>COSTOS</v>
      </c>
      <c r="I3322" s="20">
        <v>2026</v>
      </c>
    </row>
    <row r="3323" spans="1:9" x14ac:dyDescent="0.3">
      <c r="A3323" s="21" t="s">
        <v>122</v>
      </c>
      <c r="B3323" s="21" t="s">
        <v>39</v>
      </c>
      <c r="C3323" s="22">
        <v>4</v>
      </c>
      <c r="D3323" s="25">
        <v>269733</v>
      </c>
      <c r="E3323" s="25">
        <v>269733</v>
      </c>
      <c r="F3323" s="25">
        <v>0</v>
      </c>
      <c r="G3323" s="26">
        <v>1</v>
      </c>
      <c r="H3323" s="10" t="str">
        <f t="shared" si="52"/>
        <v>COSTOS</v>
      </c>
      <c r="I3323" s="20">
        <v>2026</v>
      </c>
    </row>
    <row r="3324" spans="1:9" x14ac:dyDescent="0.3">
      <c r="A3324" s="23" t="s">
        <v>123</v>
      </c>
      <c r="B3324" s="23" t="s">
        <v>39</v>
      </c>
      <c r="C3324" s="22">
        <v>1</v>
      </c>
      <c r="D3324" s="25">
        <v>3551068</v>
      </c>
      <c r="E3324" s="25">
        <v>3551068</v>
      </c>
      <c r="F3324" s="25">
        <v>0</v>
      </c>
      <c r="G3324" s="26">
        <v>1</v>
      </c>
      <c r="H3324" s="10" t="str">
        <f t="shared" si="52"/>
        <v>COSTOS</v>
      </c>
      <c r="I3324" s="20">
        <v>2026</v>
      </c>
    </row>
    <row r="3325" spans="1:9" x14ac:dyDescent="0.3">
      <c r="A3325" s="24" t="s">
        <v>123</v>
      </c>
      <c r="B3325" s="24" t="s">
        <v>39</v>
      </c>
      <c r="C3325" s="22">
        <v>2</v>
      </c>
      <c r="D3325" s="25">
        <v>3551068</v>
      </c>
      <c r="E3325" s="25">
        <v>3551068</v>
      </c>
      <c r="F3325" s="25">
        <v>0</v>
      </c>
      <c r="G3325" s="26">
        <v>1</v>
      </c>
      <c r="H3325" s="10" t="str">
        <f t="shared" si="52"/>
        <v>COSTOS</v>
      </c>
      <c r="I3325" s="20">
        <v>2026</v>
      </c>
    </row>
    <row r="3326" spans="1:9" x14ac:dyDescent="0.3">
      <c r="A3326" s="24" t="s">
        <v>123</v>
      </c>
      <c r="B3326" s="24" t="s">
        <v>39</v>
      </c>
      <c r="C3326" s="22">
        <v>3</v>
      </c>
      <c r="D3326" s="25">
        <v>3551068</v>
      </c>
      <c r="E3326" s="25">
        <v>3551068</v>
      </c>
      <c r="F3326" s="25">
        <v>0</v>
      </c>
      <c r="G3326" s="26">
        <v>1</v>
      </c>
      <c r="H3326" s="10" t="str">
        <f t="shared" si="52"/>
        <v>COSTOS</v>
      </c>
      <c r="I3326" s="20">
        <v>2026</v>
      </c>
    </row>
    <row r="3327" spans="1:9" x14ac:dyDescent="0.3">
      <c r="A3327" s="24" t="s">
        <v>123</v>
      </c>
      <c r="B3327" s="24" t="s">
        <v>39</v>
      </c>
      <c r="C3327" s="22">
        <v>4</v>
      </c>
      <c r="D3327" s="25">
        <v>3551068</v>
      </c>
      <c r="E3327" s="25">
        <v>3551068</v>
      </c>
      <c r="F3327" s="25">
        <v>0</v>
      </c>
      <c r="G3327" s="26">
        <v>1</v>
      </c>
      <c r="H3327" s="10" t="str">
        <f t="shared" si="52"/>
        <v>COSTOS</v>
      </c>
      <c r="I3327" s="20">
        <v>2026</v>
      </c>
    </row>
    <row r="3328" spans="1:9" x14ac:dyDescent="0.3">
      <c r="A3328" s="23" t="s">
        <v>132</v>
      </c>
      <c r="B3328" s="23" t="s">
        <v>39</v>
      </c>
      <c r="C3328" s="22">
        <v>1</v>
      </c>
      <c r="D3328" s="25">
        <v>1494345</v>
      </c>
      <c r="E3328" s="25">
        <v>1494395</v>
      </c>
      <c r="F3328" s="25">
        <v>50</v>
      </c>
      <c r="G3328" s="26">
        <v>1.0000334594755562</v>
      </c>
      <c r="H3328" s="10" t="str">
        <f t="shared" si="52"/>
        <v>COSTOS</v>
      </c>
      <c r="I3328" s="20">
        <v>2026</v>
      </c>
    </row>
    <row r="3329" spans="1:9" x14ac:dyDescent="0.3">
      <c r="A3329" s="24" t="s">
        <v>132</v>
      </c>
      <c r="B3329" s="24" t="s">
        <v>39</v>
      </c>
      <c r="C3329" s="22">
        <v>2</v>
      </c>
      <c r="D3329" s="25">
        <v>1494345</v>
      </c>
      <c r="E3329" s="25">
        <v>1494395</v>
      </c>
      <c r="F3329" s="25">
        <v>50</v>
      </c>
      <c r="G3329" s="26">
        <v>1.0000334594755562</v>
      </c>
      <c r="H3329" s="10" t="str">
        <f t="shared" si="52"/>
        <v>COSTOS</v>
      </c>
      <c r="I3329" s="20">
        <v>2026</v>
      </c>
    </row>
    <row r="3330" spans="1:9" x14ac:dyDescent="0.3">
      <c r="A3330" s="24" t="s">
        <v>132</v>
      </c>
      <c r="B3330" s="24" t="s">
        <v>39</v>
      </c>
      <c r="C3330" s="22">
        <v>3</v>
      </c>
      <c r="D3330" s="25">
        <v>1494345</v>
      </c>
      <c r="E3330" s="25">
        <v>1494395</v>
      </c>
      <c r="F3330" s="25">
        <v>50</v>
      </c>
      <c r="G3330" s="26">
        <v>1.0000334594755562</v>
      </c>
      <c r="H3330" s="10" t="str">
        <f t="shared" si="52"/>
        <v>COSTOS</v>
      </c>
      <c r="I3330" s="20">
        <v>2026</v>
      </c>
    </row>
    <row r="3331" spans="1:9" x14ac:dyDescent="0.3">
      <c r="A3331" s="24" t="s">
        <v>132</v>
      </c>
      <c r="B3331" s="24" t="s">
        <v>39</v>
      </c>
      <c r="C3331" s="22">
        <v>4</v>
      </c>
      <c r="D3331" s="25">
        <v>1494345</v>
      </c>
      <c r="E3331" s="25">
        <v>1494395</v>
      </c>
      <c r="F3331" s="25">
        <v>50</v>
      </c>
      <c r="G3331" s="26">
        <v>1.0000334594755562</v>
      </c>
      <c r="H3331" s="10" t="str">
        <f t="shared" si="52"/>
        <v>COSTOS</v>
      </c>
      <c r="I3331" s="20">
        <v>2026</v>
      </c>
    </row>
    <row r="3332" spans="1:9" x14ac:dyDescent="0.3">
      <c r="A3332" s="23" t="s">
        <v>133</v>
      </c>
      <c r="B3332" s="23" t="s">
        <v>39</v>
      </c>
      <c r="C3332" s="22">
        <v>1</v>
      </c>
      <c r="D3332" s="25">
        <v>53550</v>
      </c>
      <c r="E3332" s="25">
        <v>53550</v>
      </c>
      <c r="F3332" s="25">
        <v>0</v>
      </c>
      <c r="G3332" s="26">
        <v>1</v>
      </c>
      <c r="H3332" s="10" t="str">
        <f t="shared" si="52"/>
        <v>COSTOS</v>
      </c>
      <c r="I3332" s="20">
        <v>2026</v>
      </c>
    </row>
    <row r="3333" spans="1:9" x14ac:dyDescent="0.3">
      <c r="A3333" s="24" t="s">
        <v>133</v>
      </c>
      <c r="B3333" s="24" t="s">
        <v>39</v>
      </c>
      <c r="C3333" s="22">
        <v>2</v>
      </c>
      <c r="D3333" s="25">
        <v>53550</v>
      </c>
      <c r="E3333" s="25">
        <v>53550</v>
      </c>
      <c r="F3333" s="25">
        <v>0</v>
      </c>
      <c r="G3333" s="26">
        <v>1</v>
      </c>
      <c r="H3333" s="10" t="str">
        <f t="shared" si="52"/>
        <v>COSTOS</v>
      </c>
      <c r="I3333" s="20">
        <v>2026</v>
      </c>
    </row>
    <row r="3334" spans="1:9" x14ac:dyDescent="0.3">
      <c r="A3334" s="24" t="s">
        <v>133</v>
      </c>
      <c r="B3334" s="24" t="s">
        <v>39</v>
      </c>
      <c r="C3334" s="22">
        <v>3</v>
      </c>
      <c r="D3334" s="25">
        <v>53550</v>
      </c>
      <c r="E3334" s="25">
        <v>53550</v>
      </c>
      <c r="F3334" s="25">
        <v>0</v>
      </c>
      <c r="G3334" s="26">
        <v>1</v>
      </c>
      <c r="H3334" s="10" t="str">
        <f t="shared" si="52"/>
        <v>COSTOS</v>
      </c>
      <c r="I3334" s="20">
        <v>2026</v>
      </c>
    </row>
    <row r="3335" spans="1:9" x14ac:dyDescent="0.3">
      <c r="A3335" s="24" t="s">
        <v>133</v>
      </c>
      <c r="B3335" s="24" t="s">
        <v>39</v>
      </c>
      <c r="C3335" s="22">
        <v>4</v>
      </c>
      <c r="D3335" s="25">
        <v>53550</v>
      </c>
      <c r="E3335" s="25">
        <v>53550</v>
      </c>
      <c r="F3335" s="25">
        <v>0</v>
      </c>
      <c r="G3335" s="26">
        <v>1</v>
      </c>
      <c r="H3335" s="10" t="str">
        <f t="shared" si="52"/>
        <v>COSTOS</v>
      </c>
      <c r="I3335" s="20">
        <v>2026</v>
      </c>
    </row>
    <row r="3336" spans="1:9" x14ac:dyDescent="0.3">
      <c r="A3336" s="23" t="s">
        <v>135</v>
      </c>
      <c r="B3336" s="23" t="s">
        <v>39</v>
      </c>
      <c r="C3336" s="22">
        <v>1</v>
      </c>
      <c r="D3336" s="25">
        <v>95531</v>
      </c>
      <c r="E3336" s="25">
        <v>95531</v>
      </c>
      <c r="F3336" s="25">
        <v>0</v>
      </c>
      <c r="G3336" s="26">
        <v>1</v>
      </c>
      <c r="H3336" s="10" t="str">
        <f t="shared" si="52"/>
        <v>COSTOS</v>
      </c>
      <c r="I3336" s="20">
        <v>2026</v>
      </c>
    </row>
    <row r="3337" spans="1:9" x14ac:dyDescent="0.3">
      <c r="A3337" s="24" t="s">
        <v>135</v>
      </c>
      <c r="B3337" s="24" t="s">
        <v>39</v>
      </c>
      <c r="C3337" s="22">
        <v>2</v>
      </c>
      <c r="D3337" s="25">
        <v>95531</v>
      </c>
      <c r="E3337" s="25">
        <v>164948</v>
      </c>
      <c r="F3337" s="25">
        <v>69417</v>
      </c>
      <c r="G3337" s="26">
        <v>1.7266437072782657</v>
      </c>
      <c r="H3337" s="10" t="str">
        <f t="shared" si="52"/>
        <v>COSTOS</v>
      </c>
      <c r="I3337" s="20">
        <v>2026</v>
      </c>
    </row>
    <row r="3338" spans="1:9" x14ac:dyDescent="0.3">
      <c r="A3338" s="24" t="s">
        <v>135</v>
      </c>
      <c r="B3338" s="24" t="s">
        <v>39</v>
      </c>
      <c r="C3338" s="22">
        <v>3</v>
      </c>
      <c r="D3338" s="25">
        <v>95531</v>
      </c>
      <c r="E3338" s="25">
        <v>164948</v>
      </c>
      <c r="F3338" s="25">
        <v>69417</v>
      </c>
      <c r="G3338" s="26">
        <v>1.7266437072782657</v>
      </c>
      <c r="H3338" s="10" t="str">
        <f t="shared" si="52"/>
        <v>COSTOS</v>
      </c>
      <c r="I3338" s="20">
        <v>2026</v>
      </c>
    </row>
    <row r="3339" spans="1:9" x14ac:dyDescent="0.3">
      <c r="A3339" s="24" t="s">
        <v>135</v>
      </c>
      <c r="B3339" s="24" t="s">
        <v>39</v>
      </c>
      <c r="C3339" s="22">
        <v>4</v>
      </c>
      <c r="D3339" s="25">
        <v>95531</v>
      </c>
      <c r="E3339" s="25">
        <v>164948</v>
      </c>
      <c r="F3339" s="25">
        <v>69417</v>
      </c>
      <c r="G3339" s="26">
        <v>1.7266437072782657</v>
      </c>
      <c r="H3339" s="10" t="str">
        <f t="shared" si="52"/>
        <v>COSTOS</v>
      </c>
      <c r="I3339" s="20">
        <v>2026</v>
      </c>
    </row>
    <row r="3340" spans="1:9" x14ac:dyDescent="0.3">
      <c r="A3340" s="23" t="s">
        <v>137</v>
      </c>
      <c r="B3340" s="23" t="s">
        <v>39</v>
      </c>
      <c r="C3340" s="22">
        <v>1</v>
      </c>
      <c r="D3340" s="25">
        <v>109783</v>
      </c>
      <c r="E3340" s="25">
        <v>109783</v>
      </c>
      <c r="F3340" s="25">
        <v>0</v>
      </c>
      <c r="G3340" s="26">
        <v>1</v>
      </c>
      <c r="H3340" s="10" t="str">
        <f t="shared" si="52"/>
        <v>COSTOS</v>
      </c>
      <c r="I3340" s="20">
        <v>2026</v>
      </c>
    </row>
    <row r="3341" spans="1:9" x14ac:dyDescent="0.3">
      <c r="A3341" s="24" t="s">
        <v>137</v>
      </c>
      <c r="B3341" s="24" t="s">
        <v>39</v>
      </c>
      <c r="C3341" s="22">
        <v>2</v>
      </c>
      <c r="D3341" s="25">
        <v>109783</v>
      </c>
      <c r="E3341" s="25">
        <v>196676</v>
      </c>
      <c r="F3341" s="25">
        <v>86893</v>
      </c>
      <c r="G3341" s="26">
        <v>1.7914977728792254</v>
      </c>
      <c r="H3341" s="10" t="str">
        <f t="shared" si="52"/>
        <v>COSTOS</v>
      </c>
      <c r="I3341" s="20">
        <v>2026</v>
      </c>
    </row>
    <row r="3342" spans="1:9" x14ac:dyDescent="0.3">
      <c r="A3342" s="24" t="s">
        <v>137</v>
      </c>
      <c r="B3342" s="24" t="s">
        <v>39</v>
      </c>
      <c r="C3342" s="22">
        <v>3</v>
      </c>
      <c r="D3342" s="25">
        <v>109783</v>
      </c>
      <c r="E3342" s="25">
        <v>196676</v>
      </c>
      <c r="F3342" s="25">
        <v>86893</v>
      </c>
      <c r="G3342" s="26">
        <v>1.7914977728792254</v>
      </c>
      <c r="H3342" s="10" t="str">
        <f t="shared" si="52"/>
        <v>COSTOS</v>
      </c>
      <c r="I3342" s="20">
        <v>2026</v>
      </c>
    </row>
    <row r="3343" spans="1:9" x14ac:dyDescent="0.3">
      <c r="A3343" s="24" t="s">
        <v>137</v>
      </c>
      <c r="B3343" s="24" t="s">
        <v>39</v>
      </c>
      <c r="C3343" s="22">
        <v>4</v>
      </c>
      <c r="D3343" s="25">
        <v>109783</v>
      </c>
      <c r="E3343" s="25">
        <v>196676</v>
      </c>
      <c r="F3343" s="25">
        <v>86893</v>
      </c>
      <c r="G3343" s="26">
        <v>1.7914977728792254</v>
      </c>
      <c r="H3343" s="10" t="str">
        <f t="shared" si="52"/>
        <v>COSTOS</v>
      </c>
      <c r="I3343" s="20">
        <v>2026</v>
      </c>
    </row>
    <row r="3344" spans="1:9" x14ac:dyDescent="0.3">
      <c r="A3344" s="23" t="s">
        <v>138</v>
      </c>
      <c r="B3344" s="23" t="s">
        <v>39</v>
      </c>
      <c r="C3344" s="22">
        <v>1</v>
      </c>
      <c r="D3344" s="25">
        <v>163666</v>
      </c>
      <c r="E3344" s="25">
        <v>163666</v>
      </c>
      <c r="F3344" s="25">
        <v>0</v>
      </c>
      <c r="G3344" s="26">
        <v>1</v>
      </c>
      <c r="H3344" s="10" t="str">
        <f t="shared" si="52"/>
        <v>COSTOS</v>
      </c>
      <c r="I3344" s="20">
        <v>2026</v>
      </c>
    </row>
    <row r="3345" spans="1:9" x14ac:dyDescent="0.3">
      <c r="A3345" s="24" t="s">
        <v>138</v>
      </c>
      <c r="B3345" s="24" t="s">
        <v>39</v>
      </c>
      <c r="C3345" s="22">
        <v>2</v>
      </c>
      <c r="D3345" s="25">
        <v>163666</v>
      </c>
      <c r="E3345" s="25">
        <v>163666</v>
      </c>
      <c r="F3345" s="25">
        <v>0</v>
      </c>
      <c r="G3345" s="26">
        <v>1</v>
      </c>
      <c r="H3345" s="10" t="str">
        <f t="shared" si="52"/>
        <v>COSTOS</v>
      </c>
      <c r="I3345" s="20">
        <v>2026</v>
      </c>
    </row>
    <row r="3346" spans="1:9" x14ac:dyDescent="0.3">
      <c r="A3346" s="24" t="s">
        <v>138</v>
      </c>
      <c r="B3346" s="24" t="s">
        <v>39</v>
      </c>
      <c r="C3346" s="22">
        <v>3</v>
      </c>
      <c r="D3346" s="25">
        <v>163666</v>
      </c>
      <c r="E3346" s="25">
        <v>163666</v>
      </c>
      <c r="F3346" s="25">
        <v>0</v>
      </c>
      <c r="G3346" s="26">
        <v>1</v>
      </c>
      <c r="H3346" s="10" t="str">
        <f t="shared" si="52"/>
        <v>COSTOS</v>
      </c>
      <c r="I3346" s="20">
        <v>2026</v>
      </c>
    </row>
    <row r="3347" spans="1:9" x14ac:dyDescent="0.3">
      <c r="A3347" s="24" t="s">
        <v>138</v>
      </c>
      <c r="B3347" s="24" t="s">
        <v>39</v>
      </c>
      <c r="C3347" s="22">
        <v>4</v>
      </c>
      <c r="D3347" s="25">
        <v>163666</v>
      </c>
      <c r="E3347" s="25">
        <v>163666</v>
      </c>
      <c r="F3347" s="25">
        <v>0</v>
      </c>
      <c r="G3347" s="26">
        <v>1</v>
      </c>
      <c r="H3347" s="10" t="str">
        <f t="shared" si="52"/>
        <v>COSTOS</v>
      </c>
      <c r="I3347" s="20">
        <v>2026</v>
      </c>
    </row>
    <row r="3348" spans="1:9" x14ac:dyDescent="0.3">
      <c r="A3348" s="23" t="s">
        <v>139</v>
      </c>
      <c r="B3348" s="23" t="s">
        <v>39</v>
      </c>
      <c r="C3348" s="22">
        <v>1</v>
      </c>
      <c r="D3348" s="25">
        <v>0</v>
      </c>
      <c r="E3348" s="25">
        <v>0</v>
      </c>
      <c r="F3348" s="25">
        <v>0</v>
      </c>
      <c r="G3348" s="26">
        <v>0</v>
      </c>
      <c r="H3348" s="10" t="str">
        <f t="shared" si="52"/>
        <v>COSTOS</v>
      </c>
      <c r="I3348" s="20">
        <v>2026</v>
      </c>
    </row>
    <row r="3349" spans="1:9" x14ac:dyDescent="0.3">
      <c r="A3349" s="24" t="s">
        <v>139</v>
      </c>
      <c r="B3349" s="24" t="s">
        <v>39</v>
      </c>
      <c r="C3349" s="22">
        <v>2</v>
      </c>
      <c r="D3349" s="25">
        <v>0</v>
      </c>
      <c r="E3349" s="25">
        <v>0</v>
      </c>
      <c r="F3349" s="25">
        <v>0</v>
      </c>
      <c r="G3349" s="26">
        <v>0</v>
      </c>
      <c r="H3349" s="10" t="str">
        <f t="shared" si="52"/>
        <v>COSTOS</v>
      </c>
      <c r="I3349" s="20">
        <v>2026</v>
      </c>
    </row>
    <row r="3350" spans="1:9" x14ac:dyDescent="0.3">
      <c r="A3350" s="24" t="s">
        <v>139</v>
      </c>
      <c r="B3350" s="24" t="s">
        <v>39</v>
      </c>
      <c r="C3350" s="22">
        <v>3</v>
      </c>
      <c r="D3350" s="25">
        <v>0</v>
      </c>
      <c r="E3350" s="25">
        <v>0</v>
      </c>
      <c r="F3350" s="25">
        <v>0</v>
      </c>
      <c r="G3350" s="26">
        <v>0</v>
      </c>
      <c r="H3350" s="10" t="str">
        <f t="shared" si="52"/>
        <v>COSTOS</v>
      </c>
      <c r="I3350" s="20">
        <v>2026</v>
      </c>
    </row>
    <row r="3351" spans="1:9" x14ac:dyDescent="0.3">
      <c r="A3351" s="24" t="s">
        <v>139</v>
      </c>
      <c r="B3351" s="24" t="s">
        <v>39</v>
      </c>
      <c r="C3351" s="22">
        <v>4</v>
      </c>
      <c r="D3351" s="25">
        <v>0</v>
      </c>
      <c r="E3351" s="25">
        <v>0</v>
      </c>
      <c r="F3351" s="25">
        <v>0</v>
      </c>
      <c r="G3351" s="26">
        <v>0</v>
      </c>
      <c r="H3351" s="10" t="str">
        <f t="shared" si="52"/>
        <v>COSTOS</v>
      </c>
      <c r="I3351" s="20">
        <v>2026</v>
      </c>
    </row>
    <row r="3352" spans="1:9" x14ac:dyDescent="0.3">
      <c r="A3352" s="23" t="s">
        <v>140</v>
      </c>
      <c r="B3352" s="23" t="s">
        <v>39</v>
      </c>
      <c r="C3352" s="22">
        <v>1</v>
      </c>
      <c r="D3352" s="25">
        <v>0</v>
      </c>
      <c r="E3352" s="25">
        <v>195265</v>
      </c>
      <c r="F3352" s="25">
        <v>195265</v>
      </c>
      <c r="G3352" s="26">
        <v>0</v>
      </c>
      <c r="H3352" s="10" t="str">
        <f t="shared" si="52"/>
        <v>COSTOS</v>
      </c>
      <c r="I3352" s="20">
        <v>2026</v>
      </c>
    </row>
    <row r="3353" spans="1:9" x14ac:dyDescent="0.3">
      <c r="A3353" s="24" t="s">
        <v>140</v>
      </c>
      <c r="B3353" s="24" t="s">
        <v>39</v>
      </c>
      <c r="C3353" s="22">
        <v>2</v>
      </c>
      <c r="D3353" s="25">
        <v>0</v>
      </c>
      <c r="E3353" s="25">
        <v>195265</v>
      </c>
      <c r="F3353" s="25">
        <v>195265</v>
      </c>
      <c r="G3353" s="26">
        <v>0</v>
      </c>
      <c r="H3353" s="10" t="str">
        <f t="shared" si="52"/>
        <v>COSTOS</v>
      </c>
      <c r="I3353" s="20">
        <v>2026</v>
      </c>
    </row>
    <row r="3354" spans="1:9" x14ac:dyDescent="0.3">
      <c r="A3354" s="24" t="s">
        <v>140</v>
      </c>
      <c r="B3354" s="24" t="s">
        <v>39</v>
      </c>
      <c r="C3354" s="22">
        <v>3</v>
      </c>
      <c r="D3354" s="25">
        <v>0</v>
      </c>
      <c r="E3354" s="25">
        <v>195265</v>
      </c>
      <c r="F3354" s="25">
        <v>195265</v>
      </c>
      <c r="G3354" s="26">
        <v>0</v>
      </c>
      <c r="H3354" s="10" t="str">
        <f t="shared" si="52"/>
        <v>COSTOS</v>
      </c>
      <c r="I3354" s="20">
        <v>2026</v>
      </c>
    </row>
    <row r="3355" spans="1:9" x14ac:dyDescent="0.3">
      <c r="A3355" s="24" t="s">
        <v>140</v>
      </c>
      <c r="B3355" s="24" t="s">
        <v>39</v>
      </c>
      <c r="C3355" s="22">
        <v>4</v>
      </c>
      <c r="D3355" s="25">
        <v>0</v>
      </c>
      <c r="E3355" s="25">
        <v>195265</v>
      </c>
      <c r="F3355" s="25">
        <v>195265</v>
      </c>
      <c r="G3355" s="26">
        <v>0</v>
      </c>
      <c r="H3355" s="10" t="str">
        <f t="shared" si="52"/>
        <v>COSTOS</v>
      </c>
      <c r="I3355" s="20">
        <v>2026</v>
      </c>
    </row>
    <row r="3356" spans="1:9" x14ac:dyDescent="0.3">
      <c r="A3356" s="23" t="s">
        <v>141</v>
      </c>
      <c r="B3356" s="23" t="s">
        <v>39</v>
      </c>
      <c r="C3356" s="22">
        <v>1</v>
      </c>
      <c r="D3356" s="25">
        <v>109699</v>
      </c>
      <c r="E3356" s="25">
        <v>109699</v>
      </c>
      <c r="F3356" s="25">
        <v>0</v>
      </c>
      <c r="G3356" s="26">
        <v>1</v>
      </c>
      <c r="H3356" s="10" t="str">
        <f t="shared" si="52"/>
        <v>COSTOS</v>
      </c>
      <c r="I3356" s="20">
        <v>2026</v>
      </c>
    </row>
    <row r="3357" spans="1:9" x14ac:dyDescent="0.3">
      <c r="A3357" s="24" t="s">
        <v>141</v>
      </c>
      <c r="B3357" s="24" t="s">
        <v>39</v>
      </c>
      <c r="C3357" s="22">
        <v>2</v>
      </c>
      <c r="D3357" s="25">
        <v>109699</v>
      </c>
      <c r="E3357" s="25">
        <v>109699</v>
      </c>
      <c r="F3357" s="25">
        <v>0</v>
      </c>
      <c r="G3357" s="26">
        <v>1</v>
      </c>
      <c r="H3357" s="10" t="str">
        <f t="shared" si="52"/>
        <v>COSTOS</v>
      </c>
      <c r="I3357" s="20">
        <v>2026</v>
      </c>
    </row>
    <row r="3358" spans="1:9" x14ac:dyDescent="0.3">
      <c r="A3358" s="23" t="s">
        <v>141</v>
      </c>
      <c r="B3358" s="23" t="s">
        <v>39</v>
      </c>
      <c r="C3358" s="22">
        <v>3</v>
      </c>
      <c r="D3358" s="25">
        <v>109699</v>
      </c>
      <c r="E3358" s="25">
        <v>109699</v>
      </c>
      <c r="F3358" s="25">
        <v>0</v>
      </c>
      <c r="G3358" s="26">
        <v>1</v>
      </c>
      <c r="H3358" s="10" t="str">
        <f t="shared" si="52"/>
        <v>COSTOS</v>
      </c>
      <c r="I3358" s="20">
        <v>2026</v>
      </c>
    </row>
    <row r="3359" spans="1:9" x14ac:dyDescent="0.3">
      <c r="A3359" s="24" t="s">
        <v>141</v>
      </c>
      <c r="B3359" s="24" t="s">
        <v>39</v>
      </c>
      <c r="C3359" s="22">
        <v>4</v>
      </c>
      <c r="D3359" s="25">
        <v>109699</v>
      </c>
      <c r="E3359" s="25">
        <v>109699</v>
      </c>
      <c r="F3359" s="25">
        <v>0</v>
      </c>
      <c r="G3359" s="26">
        <v>1</v>
      </c>
      <c r="H3359" s="10" t="str">
        <f t="shared" si="52"/>
        <v>COSTOS</v>
      </c>
      <c r="I3359" s="20">
        <v>2026</v>
      </c>
    </row>
    <row r="3360" spans="1:9" x14ac:dyDescent="0.3">
      <c r="A3360" s="24" t="s">
        <v>143</v>
      </c>
      <c r="B3360" s="24" t="s">
        <v>39</v>
      </c>
      <c r="C3360" s="22">
        <v>1</v>
      </c>
      <c r="D3360" s="25">
        <v>376833</v>
      </c>
      <c r="E3360" s="25">
        <v>376833</v>
      </c>
      <c r="F3360" s="25">
        <v>0</v>
      </c>
      <c r="G3360" s="26">
        <v>1</v>
      </c>
      <c r="H3360" s="10" t="str">
        <f t="shared" si="52"/>
        <v>COSTOS</v>
      </c>
      <c r="I3360" s="20">
        <v>2026</v>
      </c>
    </row>
    <row r="3361" spans="1:9" x14ac:dyDescent="0.3">
      <c r="A3361" s="24" t="s">
        <v>143</v>
      </c>
      <c r="B3361" s="24" t="s">
        <v>39</v>
      </c>
      <c r="C3361" s="22">
        <v>2</v>
      </c>
      <c r="D3361" s="25">
        <v>376833</v>
      </c>
      <c r="E3361" s="25">
        <v>376833</v>
      </c>
      <c r="F3361" s="25">
        <v>0</v>
      </c>
      <c r="G3361" s="26">
        <v>1</v>
      </c>
      <c r="H3361" s="10" t="str">
        <f t="shared" si="52"/>
        <v>COSTOS</v>
      </c>
      <c r="I3361" s="20">
        <v>2026</v>
      </c>
    </row>
    <row r="3362" spans="1:9" x14ac:dyDescent="0.3">
      <c r="A3362" s="23" t="s">
        <v>143</v>
      </c>
      <c r="B3362" s="23" t="s">
        <v>39</v>
      </c>
      <c r="C3362" s="22">
        <v>3</v>
      </c>
      <c r="D3362" s="25">
        <v>376833</v>
      </c>
      <c r="E3362" s="25">
        <v>376833</v>
      </c>
      <c r="F3362" s="25">
        <v>0</v>
      </c>
      <c r="G3362" s="26">
        <v>1</v>
      </c>
      <c r="H3362" s="10" t="str">
        <f t="shared" si="52"/>
        <v>COSTOS</v>
      </c>
      <c r="I3362" s="20">
        <v>2026</v>
      </c>
    </row>
    <row r="3363" spans="1:9" x14ac:dyDescent="0.3">
      <c r="A3363" s="24" t="s">
        <v>143</v>
      </c>
      <c r="B3363" s="24" t="s">
        <v>39</v>
      </c>
      <c r="C3363" s="22">
        <v>4</v>
      </c>
      <c r="D3363" s="25">
        <v>376833</v>
      </c>
      <c r="E3363" s="25">
        <v>376833</v>
      </c>
      <c r="F3363" s="25">
        <v>0</v>
      </c>
      <c r="G3363" s="26">
        <v>1</v>
      </c>
      <c r="H3363" s="10" t="str">
        <f t="shared" si="52"/>
        <v>COSTOS</v>
      </c>
      <c r="I3363" s="20">
        <v>2026</v>
      </c>
    </row>
    <row r="3364" spans="1:9" hidden="1" x14ac:dyDescent="0.3">
      <c r="A3364" s="24" t="s">
        <v>146</v>
      </c>
      <c r="B3364" s="24" t="s">
        <v>39</v>
      </c>
      <c r="C3364" s="22">
        <v>1</v>
      </c>
      <c r="D3364" s="25">
        <v>10671426</v>
      </c>
      <c r="E3364" s="25">
        <v>10671426</v>
      </c>
      <c r="F3364" s="25">
        <v>0</v>
      </c>
      <c r="G3364" s="26">
        <v>1</v>
      </c>
      <c r="H3364" s="10" t="str">
        <f t="shared" si="52"/>
        <v>COSTOS</v>
      </c>
      <c r="I3364" s="20">
        <v>2026</v>
      </c>
    </row>
    <row r="3365" spans="1:9" hidden="1" x14ac:dyDescent="0.3">
      <c r="A3365" s="24" t="s">
        <v>146</v>
      </c>
      <c r="B3365" s="24" t="s">
        <v>39</v>
      </c>
      <c r="C3365" s="22">
        <v>2</v>
      </c>
      <c r="D3365" s="25">
        <v>10671426</v>
      </c>
      <c r="E3365" s="25">
        <v>10671426</v>
      </c>
      <c r="F3365" s="25">
        <v>0</v>
      </c>
      <c r="G3365" s="26">
        <v>1</v>
      </c>
      <c r="H3365" s="10" t="str">
        <f t="shared" si="52"/>
        <v>COSTOS</v>
      </c>
      <c r="I3365" s="20">
        <v>2026</v>
      </c>
    </row>
    <row r="3366" spans="1:9" hidden="1" x14ac:dyDescent="0.3">
      <c r="A3366" s="23" t="s">
        <v>146</v>
      </c>
      <c r="B3366" s="23" t="s">
        <v>39</v>
      </c>
      <c r="C3366" s="22">
        <v>3</v>
      </c>
      <c r="D3366" s="25">
        <v>10671426</v>
      </c>
      <c r="E3366" s="25">
        <v>10671426</v>
      </c>
      <c r="F3366" s="25">
        <v>0</v>
      </c>
      <c r="G3366" s="26">
        <v>1</v>
      </c>
      <c r="H3366" s="10" t="str">
        <f t="shared" si="52"/>
        <v>COSTOS</v>
      </c>
      <c r="I3366" s="20">
        <v>2026</v>
      </c>
    </row>
    <row r="3367" spans="1:9" hidden="1" x14ac:dyDescent="0.3">
      <c r="A3367" s="24" t="s">
        <v>146</v>
      </c>
      <c r="B3367" s="24" t="s">
        <v>39</v>
      </c>
      <c r="C3367" s="22">
        <v>4</v>
      </c>
      <c r="D3367" s="25">
        <v>10671426</v>
      </c>
      <c r="E3367" s="25">
        <v>10671426</v>
      </c>
      <c r="F3367" s="25">
        <v>0</v>
      </c>
      <c r="G3367" s="26">
        <v>1</v>
      </c>
      <c r="H3367" s="10" t="str">
        <f t="shared" si="52"/>
        <v>COSTOS</v>
      </c>
      <c r="I3367" s="20">
        <v>2026</v>
      </c>
    </row>
    <row r="3368" spans="1:9" hidden="1" x14ac:dyDescent="0.3">
      <c r="A3368" s="24" t="s">
        <v>147</v>
      </c>
      <c r="B3368" s="24" t="s">
        <v>39</v>
      </c>
      <c r="C3368" s="22">
        <v>1</v>
      </c>
      <c r="D3368" s="25">
        <v>17520350</v>
      </c>
      <c r="E3368" s="25">
        <v>17520350</v>
      </c>
      <c r="F3368" s="25">
        <v>0</v>
      </c>
      <c r="G3368" s="26">
        <v>1</v>
      </c>
      <c r="H3368" s="10" t="str">
        <f t="shared" si="52"/>
        <v>COSTOS</v>
      </c>
      <c r="I3368" s="20">
        <v>2026</v>
      </c>
    </row>
    <row r="3369" spans="1:9" hidden="1" x14ac:dyDescent="0.3">
      <c r="A3369" s="24" t="s">
        <v>147</v>
      </c>
      <c r="B3369" s="24" t="s">
        <v>39</v>
      </c>
      <c r="C3369" s="22">
        <v>2</v>
      </c>
      <c r="D3369" s="25">
        <v>17520350</v>
      </c>
      <c r="E3369" s="25">
        <v>17520350</v>
      </c>
      <c r="F3369" s="25">
        <v>0</v>
      </c>
      <c r="G3369" s="26">
        <v>1</v>
      </c>
      <c r="H3369" s="10" t="str">
        <f t="shared" si="52"/>
        <v>COSTOS</v>
      </c>
      <c r="I3369" s="20">
        <v>2026</v>
      </c>
    </row>
    <row r="3370" spans="1:9" hidden="1" x14ac:dyDescent="0.3">
      <c r="A3370" s="23" t="s">
        <v>147</v>
      </c>
      <c r="B3370" s="23" t="s">
        <v>39</v>
      </c>
      <c r="C3370" s="22">
        <v>3</v>
      </c>
      <c r="D3370" s="25">
        <v>17520350</v>
      </c>
      <c r="E3370" s="25">
        <v>17520350</v>
      </c>
      <c r="F3370" s="25">
        <v>0</v>
      </c>
      <c r="G3370" s="26">
        <v>1</v>
      </c>
      <c r="H3370" s="10" t="str">
        <f t="shared" si="52"/>
        <v>COSTOS</v>
      </c>
      <c r="I3370" s="20">
        <v>2026</v>
      </c>
    </row>
    <row r="3371" spans="1:9" hidden="1" x14ac:dyDescent="0.3">
      <c r="A3371" s="24" t="s">
        <v>147</v>
      </c>
      <c r="B3371" s="24" t="s">
        <v>39</v>
      </c>
      <c r="C3371" s="22">
        <v>4</v>
      </c>
      <c r="D3371" s="25">
        <v>17520350</v>
      </c>
      <c r="E3371" s="25">
        <v>17862017</v>
      </c>
      <c r="F3371" s="25">
        <v>341667</v>
      </c>
      <c r="G3371" s="26">
        <v>1.0195011515180918</v>
      </c>
      <c r="H3371" s="10" t="str">
        <f t="shared" si="52"/>
        <v>COSTOS</v>
      </c>
      <c r="I3371" s="20">
        <v>2026</v>
      </c>
    </row>
    <row r="3372" spans="1:9" hidden="1" x14ac:dyDescent="0.3">
      <c r="A3372" s="24" t="s">
        <v>93</v>
      </c>
      <c r="B3372" s="24" t="s">
        <v>24</v>
      </c>
      <c r="C3372" s="22">
        <v>4</v>
      </c>
      <c r="D3372" s="25">
        <v>0</v>
      </c>
      <c r="E3372" s="25">
        <v>1368500</v>
      </c>
      <c r="F3372" s="25">
        <v>1368500</v>
      </c>
      <c r="G3372" s="26">
        <v>0</v>
      </c>
      <c r="H3372" s="10" t="str">
        <f t="shared" si="52"/>
        <v>COSTOS</v>
      </c>
      <c r="I3372" s="20">
        <v>2026</v>
      </c>
    </row>
    <row r="3373" spans="1:9" hidden="1" x14ac:dyDescent="0.3">
      <c r="A3373" s="23" t="s">
        <v>104</v>
      </c>
      <c r="B3373" s="23" t="s">
        <v>24</v>
      </c>
      <c r="C3373" s="22">
        <v>1</v>
      </c>
      <c r="D3373" s="25">
        <v>50783</v>
      </c>
      <c r="E3373" s="25">
        <v>50783</v>
      </c>
      <c r="F3373" s="25">
        <v>0</v>
      </c>
      <c r="G3373" s="26">
        <v>1</v>
      </c>
      <c r="H3373" s="10" t="str">
        <f t="shared" si="52"/>
        <v>COSTOS</v>
      </c>
      <c r="I3373" s="20">
        <v>2026</v>
      </c>
    </row>
    <row r="3374" spans="1:9" hidden="1" x14ac:dyDescent="0.3">
      <c r="A3374" s="24" t="s">
        <v>104</v>
      </c>
      <c r="B3374" s="24" t="s">
        <v>24</v>
      </c>
      <c r="C3374" s="22">
        <v>2</v>
      </c>
      <c r="D3374" s="25">
        <v>50783</v>
      </c>
      <c r="E3374" s="25">
        <v>50783</v>
      </c>
      <c r="F3374" s="25">
        <v>0</v>
      </c>
      <c r="G3374" s="26">
        <v>1</v>
      </c>
      <c r="H3374" s="10" t="str">
        <f t="shared" ref="H3374:H3437" si="53">+IF(OR(A3374="ADMINISTRACION",A3374="COMERCIAL",A3374="COMERCIAL-EXPORTACIONES",A3374="LEASING DE LA BODEGA",A3374="LOGISTICA-SALIDA",A3374="OTROS GASTOS",A3374="BODEGA ALQUILADA", A3374="BODEGA CARTOPLAST", A3374="BODEGA CARTOPLAS", A3374= "GESTION HUMANA-OTROS GASTOS",A3374="FAMILIA"),"GASTOS","COSTOS")</f>
        <v>COSTOS</v>
      </c>
      <c r="I3374" s="20">
        <v>2026</v>
      </c>
    </row>
    <row r="3375" spans="1:9" hidden="1" x14ac:dyDescent="0.3">
      <c r="A3375" s="24" t="s">
        <v>104</v>
      </c>
      <c r="B3375" s="24" t="s">
        <v>24</v>
      </c>
      <c r="C3375" s="22">
        <v>3</v>
      </c>
      <c r="D3375" s="25">
        <v>50783</v>
      </c>
      <c r="E3375" s="25">
        <v>50783</v>
      </c>
      <c r="F3375" s="25">
        <v>0</v>
      </c>
      <c r="G3375" s="26">
        <v>1</v>
      </c>
      <c r="H3375" s="10" t="str">
        <f t="shared" si="53"/>
        <v>COSTOS</v>
      </c>
      <c r="I3375" s="20">
        <v>2026</v>
      </c>
    </row>
    <row r="3376" spans="1:9" hidden="1" x14ac:dyDescent="0.3">
      <c r="A3376" s="24" t="s">
        <v>104</v>
      </c>
      <c r="B3376" s="24" t="s">
        <v>24</v>
      </c>
      <c r="C3376" s="22">
        <v>4</v>
      </c>
      <c r="D3376" s="25">
        <v>50783</v>
      </c>
      <c r="E3376" s="25">
        <v>50783</v>
      </c>
      <c r="F3376" s="25">
        <v>0</v>
      </c>
      <c r="G3376" s="26">
        <v>1</v>
      </c>
      <c r="H3376" s="10" t="str">
        <f t="shared" si="53"/>
        <v>COSTOS</v>
      </c>
      <c r="I3376" s="20">
        <v>2026</v>
      </c>
    </row>
    <row r="3377" spans="1:9" hidden="1" x14ac:dyDescent="0.3">
      <c r="A3377" s="23" t="s">
        <v>146</v>
      </c>
      <c r="B3377" s="23" t="s">
        <v>24</v>
      </c>
      <c r="C3377" s="22">
        <v>1</v>
      </c>
      <c r="D3377" s="25">
        <v>800895</v>
      </c>
      <c r="E3377" s="25">
        <v>800895</v>
      </c>
      <c r="F3377" s="25">
        <v>0</v>
      </c>
      <c r="G3377" s="26">
        <v>1</v>
      </c>
      <c r="H3377" s="10" t="str">
        <f t="shared" si="53"/>
        <v>COSTOS</v>
      </c>
      <c r="I3377" s="20">
        <v>2026</v>
      </c>
    </row>
    <row r="3378" spans="1:9" hidden="1" x14ac:dyDescent="0.3">
      <c r="A3378" s="24" t="s">
        <v>146</v>
      </c>
      <c r="B3378" s="24" t="s">
        <v>24</v>
      </c>
      <c r="C3378" s="22">
        <v>2</v>
      </c>
      <c r="D3378" s="25">
        <v>800895</v>
      </c>
      <c r="E3378" s="25">
        <v>800895</v>
      </c>
      <c r="F3378" s="25">
        <v>0</v>
      </c>
      <c r="G3378" s="26">
        <v>1</v>
      </c>
      <c r="H3378" s="10" t="str">
        <f t="shared" si="53"/>
        <v>COSTOS</v>
      </c>
      <c r="I3378" s="20">
        <v>2026</v>
      </c>
    </row>
    <row r="3379" spans="1:9" hidden="1" x14ac:dyDescent="0.3">
      <c r="A3379" s="24" t="s">
        <v>146</v>
      </c>
      <c r="B3379" s="24" t="s">
        <v>24</v>
      </c>
      <c r="C3379" s="22">
        <v>3</v>
      </c>
      <c r="D3379" s="25">
        <v>800895</v>
      </c>
      <c r="E3379" s="25">
        <v>800895</v>
      </c>
      <c r="F3379" s="25">
        <v>0</v>
      </c>
      <c r="G3379" s="26">
        <v>1</v>
      </c>
      <c r="H3379" s="10" t="str">
        <f t="shared" si="53"/>
        <v>COSTOS</v>
      </c>
      <c r="I3379" s="20">
        <v>2026</v>
      </c>
    </row>
    <row r="3380" spans="1:9" hidden="1" x14ac:dyDescent="0.3">
      <c r="A3380" s="24" t="s">
        <v>146</v>
      </c>
      <c r="B3380" s="24" t="s">
        <v>24</v>
      </c>
      <c r="C3380" s="22">
        <v>4</v>
      </c>
      <c r="D3380" s="25">
        <v>800895</v>
      </c>
      <c r="E3380" s="25">
        <v>800895</v>
      </c>
      <c r="F3380" s="25">
        <v>0</v>
      </c>
      <c r="G3380" s="26">
        <v>1</v>
      </c>
      <c r="H3380" s="10" t="str">
        <f t="shared" si="53"/>
        <v>COSTOS</v>
      </c>
      <c r="I3380" s="20">
        <v>2026</v>
      </c>
    </row>
    <row r="3381" spans="1:9" hidden="1" x14ac:dyDescent="0.3">
      <c r="A3381" s="23" t="s">
        <v>147</v>
      </c>
      <c r="B3381" s="23" t="s">
        <v>24</v>
      </c>
      <c r="C3381" s="22">
        <v>1</v>
      </c>
      <c r="D3381" s="25">
        <v>0</v>
      </c>
      <c r="E3381" s="25">
        <v>0</v>
      </c>
      <c r="F3381" s="25">
        <v>0</v>
      </c>
      <c r="G3381" s="26">
        <v>0</v>
      </c>
      <c r="H3381" s="10" t="str">
        <f t="shared" si="53"/>
        <v>COSTOS</v>
      </c>
      <c r="I3381" s="20">
        <v>2026</v>
      </c>
    </row>
    <row r="3382" spans="1:9" hidden="1" x14ac:dyDescent="0.3">
      <c r="A3382" s="24" t="s">
        <v>147</v>
      </c>
      <c r="B3382" s="24" t="s">
        <v>24</v>
      </c>
      <c r="C3382" s="22">
        <v>2</v>
      </c>
      <c r="D3382" s="25">
        <v>0</v>
      </c>
      <c r="E3382" s="25">
        <v>0</v>
      </c>
      <c r="F3382" s="25">
        <v>0</v>
      </c>
      <c r="G3382" s="26">
        <v>0</v>
      </c>
      <c r="H3382" s="10" t="str">
        <f t="shared" si="53"/>
        <v>COSTOS</v>
      </c>
      <c r="I3382" s="20">
        <v>2026</v>
      </c>
    </row>
    <row r="3383" spans="1:9" hidden="1" x14ac:dyDescent="0.3">
      <c r="A3383" s="24" t="s">
        <v>147</v>
      </c>
      <c r="B3383" s="24" t="s">
        <v>24</v>
      </c>
      <c r="C3383" s="22">
        <v>3</v>
      </c>
      <c r="D3383" s="25">
        <v>1794806</v>
      </c>
      <c r="E3383" s="25">
        <v>1794806</v>
      </c>
      <c r="F3383" s="25">
        <v>0</v>
      </c>
      <c r="G3383" s="26">
        <v>1</v>
      </c>
      <c r="H3383" s="10" t="str">
        <f t="shared" si="53"/>
        <v>COSTOS</v>
      </c>
      <c r="I3383" s="20">
        <v>2026</v>
      </c>
    </row>
    <row r="3384" spans="1:9" hidden="1" x14ac:dyDescent="0.3">
      <c r="A3384" s="24" t="s">
        <v>147</v>
      </c>
      <c r="B3384" s="24" t="s">
        <v>24</v>
      </c>
      <c r="C3384" s="22">
        <v>4</v>
      </c>
      <c r="D3384" s="25">
        <v>0</v>
      </c>
      <c r="E3384" s="25">
        <v>0</v>
      </c>
      <c r="F3384" s="25">
        <v>0</v>
      </c>
      <c r="G3384" s="26">
        <v>0</v>
      </c>
      <c r="H3384" s="10" t="str">
        <f t="shared" si="53"/>
        <v>COSTOS</v>
      </c>
      <c r="I3384" s="20">
        <v>2026</v>
      </c>
    </row>
    <row r="3385" spans="1:9" hidden="1" x14ac:dyDescent="0.3">
      <c r="A3385" s="23" t="s">
        <v>240</v>
      </c>
      <c r="B3385" s="23" t="s">
        <v>42</v>
      </c>
      <c r="C3385" s="22">
        <v>1</v>
      </c>
      <c r="D3385" s="25">
        <v>0</v>
      </c>
      <c r="E3385" s="25">
        <v>0</v>
      </c>
      <c r="F3385" s="25">
        <v>0</v>
      </c>
      <c r="G3385" s="26">
        <v>0</v>
      </c>
      <c r="H3385" s="10" t="str">
        <f t="shared" si="53"/>
        <v>COSTOS</v>
      </c>
      <c r="I3385" s="20">
        <v>2026</v>
      </c>
    </row>
    <row r="3386" spans="1:9" hidden="1" x14ac:dyDescent="0.3">
      <c r="A3386" s="24" t="s">
        <v>240</v>
      </c>
      <c r="B3386" s="24" t="s">
        <v>42</v>
      </c>
      <c r="C3386" s="22">
        <v>2</v>
      </c>
      <c r="D3386" s="25">
        <v>0</v>
      </c>
      <c r="E3386" s="25">
        <v>0</v>
      </c>
      <c r="F3386" s="25">
        <v>0</v>
      </c>
      <c r="G3386" s="26">
        <v>0</v>
      </c>
      <c r="H3386" s="10" t="str">
        <f t="shared" si="53"/>
        <v>COSTOS</v>
      </c>
      <c r="I3386" s="20">
        <v>2026</v>
      </c>
    </row>
    <row r="3387" spans="1:9" hidden="1" x14ac:dyDescent="0.3">
      <c r="A3387" s="24" t="s">
        <v>240</v>
      </c>
      <c r="B3387" s="24" t="s">
        <v>42</v>
      </c>
      <c r="C3387" s="22">
        <v>3</v>
      </c>
      <c r="D3387" s="25">
        <v>0</v>
      </c>
      <c r="E3387" s="25">
        <v>0</v>
      </c>
      <c r="F3387" s="25">
        <v>0</v>
      </c>
      <c r="G3387" s="26">
        <v>0</v>
      </c>
      <c r="H3387" s="10" t="str">
        <f t="shared" si="53"/>
        <v>COSTOS</v>
      </c>
      <c r="I3387" s="20">
        <v>2026</v>
      </c>
    </row>
    <row r="3388" spans="1:9" hidden="1" x14ac:dyDescent="0.3">
      <c r="A3388" s="24" t="s">
        <v>240</v>
      </c>
      <c r="B3388" s="24" t="s">
        <v>42</v>
      </c>
      <c r="C3388" s="22">
        <v>4</v>
      </c>
      <c r="D3388" s="25">
        <v>0</v>
      </c>
      <c r="E3388" s="25">
        <v>0</v>
      </c>
      <c r="F3388" s="25">
        <v>0</v>
      </c>
      <c r="G3388" s="26">
        <v>0</v>
      </c>
      <c r="H3388" s="10" t="str">
        <f t="shared" si="53"/>
        <v>COSTOS</v>
      </c>
      <c r="I3388" s="20">
        <v>2026</v>
      </c>
    </row>
    <row r="3389" spans="1:9" hidden="1" x14ac:dyDescent="0.3">
      <c r="A3389" s="23" t="s">
        <v>93</v>
      </c>
      <c r="B3389" s="23" t="s">
        <v>42</v>
      </c>
      <c r="C3389" s="22">
        <v>1</v>
      </c>
      <c r="D3389" s="25">
        <v>0</v>
      </c>
      <c r="E3389" s="25">
        <v>0</v>
      </c>
      <c r="F3389" s="25">
        <v>0</v>
      </c>
      <c r="G3389" s="26">
        <v>0</v>
      </c>
      <c r="H3389" s="10" t="str">
        <f t="shared" si="53"/>
        <v>COSTOS</v>
      </c>
      <c r="I3389" s="20">
        <v>2026</v>
      </c>
    </row>
    <row r="3390" spans="1:9" hidden="1" x14ac:dyDescent="0.3">
      <c r="A3390" s="24" t="s">
        <v>93</v>
      </c>
      <c r="B3390" s="24" t="s">
        <v>42</v>
      </c>
      <c r="C3390" s="22">
        <v>2</v>
      </c>
      <c r="D3390" s="25">
        <v>0</v>
      </c>
      <c r="E3390" s="25">
        <v>0</v>
      </c>
      <c r="F3390" s="25">
        <v>0</v>
      </c>
      <c r="G3390" s="26">
        <v>0</v>
      </c>
      <c r="H3390" s="10" t="str">
        <f t="shared" si="53"/>
        <v>COSTOS</v>
      </c>
      <c r="I3390" s="20">
        <v>2026</v>
      </c>
    </row>
    <row r="3391" spans="1:9" hidden="1" x14ac:dyDescent="0.3">
      <c r="A3391" s="24" t="s">
        <v>93</v>
      </c>
      <c r="B3391" s="24" t="s">
        <v>42</v>
      </c>
      <c r="C3391" s="22">
        <v>3</v>
      </c>
      <c r="D3391" s="25">
        <v>0</v>
      </c>
      <c r="E3391" s="25">
        <v>0</v>
      </c>
      <c r="F3391" s="25">
        <v>0</v>
      </c>
      <c r="G3391" s="26">
        <v>0</v>
      </c>
      <c r="H3391" s="10" t="str">
        <f t="shared" si="53"/>
        <v>COSTOS</v>
      </c>
      <c r="I3391" s="20">
        <v>2026</v>
      </c>
    </row>
    <row r="3392" spans="1:9" hidden="1" x14ac:dyDescent="0.3">
      <c r="A3392" s="24" t="s">
        <v>93</v>
      </c>
      <c r="B3392" s="24" t="s">
        <v>42</v>
      </c>
      <c r="C3392" s="22">
        <v>4</v>
      </c>
      <c r="D3392" s="25">
        <v>0</v>
      </c>
      <c r="E3392" s="25">
        <v>0</v>
      </c>
      <c r="F3392" s="25">
        <v>0</v>
      </c>
      <c r="G3392" s="26">
        <v>0</v>
      </c>
      <c r="H3392" s="10" t="str">
        <f t="shared" si="53"/>
        <v>COSTOS</v>
      </c>
      <c r="I3392" s="20">
        <v>2026</v>
      </c>
    </row>
    <row r="3393" spans="1:9" hidden="1" x14ac:dyDescent="0.3">
      <c r="A3393" s="23" t="s">
        <v>244</v>
      </c>
      <c r="B3393" s="23" t="s">
        <v>42</v>
      </c>
      <c r="C3393" s="22">
        <v>3</v>
      </c>
      <c r="D3393" s="25">
        <v>0</v>
      </c>
      <c r="E3393" s="25">
        <v>1610006</v>
      </c>
      <c r="F3393" s="25">
        <v>1610006</v>
      </c>
      <c r="G3393" s="26">
        <v>0</v>
      </c>
      <c r="H3393" s="10" t="str">
        <f t="shared" si="53"/>
        <v>COSTOS</v>
      </c>
      <c r="I3393" s="20">
        <v>2026</v>
      </c>
    </row>
    <row r="3394" spans="1:9" hidden="1" x14ac:dyDescent="0.3">
      <c r="A3394" s="24" t="s">
        <v>244</v>
      </c>
      <c r="B3394" s="24" t="s">
        <v>42</v>
      </c>
      <c r="C3394" s="22">
        <v>4</v>
      </c>
      <c r="D3394" s="25">
        <v>0</v>
      </c>
      <c r="E3394" s="25">
        <v>0</v>
      </c>
      <c r="F3394" s="25">
        <v>0</v>
      </c>
      <c r="G3394" s="26">
        <v>0</v>
      </c>
      <c r="H3394" s="10" t="str">
        <f t="shared" si="53"/>
        <v>COSTOS</v>
      </c>
      <c r="I3394" s="20">
        <v>2026</v>
      </c>
    </row>
    <row r="3395" spans="1:9" hidden="1" x14ac:dyDescent="0.3">
      <c r="A3395" s="24" t="s">
        <v>104</v>
      </c>
      <c r="B3395" s="24" t="s">
        <v>42</v>
      </c>
      <c r="C3395" s="22">
        <v>1</v>
      </c>
      <c r="D3395" s="25">
        <v>147219</v>
      </c>
      <c r="E3395" s="25">
        <v>0</v>
      </c>
      <c r="F3395" s="25">
        <v>-147219</v>
      </c>
      <c r="G3395" s="26">
        <v>0</v>
      </c>
      <c r="H3395" s="10" t="str">
        <f t="shared" si="53"/>
        <v>COSTOS</v>
      </c>
      <c r="I3395" s="20">
        <v>2026</v>
      </c>
    </row>
    <row r="3396" spans="1:9" hidden="1" x14ac:dyDescent="0.3">
      <c r="A3396" s="24" t="s">
        <v>104</v>
      </c>
      <c r="B3396" s="24" t="s">
        <v>42</v>
      </c>
      <c r="C3396" s="22">
        <v>2</v>
      </c>
      <c r="D3396" s="25">
        <v>147219</v>
      </c>
      <c r="E3396" s="25">
        <v>0</v>
      </c>
      <c r="F3396" s="25">
        <v>-147219</v>
      </c>
      <c r="G3396" s="26">
        <v>0</v>
      </c>
      <c r="H3396" s="10" t="str">
        <f t="shared" si="53"/>
        <v>COSTOS</v>
      </c>
      <c r="I3396" s="20">
        <v>2026</v>
      </c>
    </row>
    <row r="3397" spans="1:9" hidden="1" x14ac:dyDescent="0.3">
      <c r="A3397" s="23" t="s">
        <v>104</v>
      </c>
      <c r="B3397" s="23" t="s">
        <v>42</v>
      </c>
      <c r="C3397" s="22">
        <v>3</v>
      </c>
      <c r="D3397" s="25">
        <v>147219</v>
      </c>
      <c r="E3397" s="25">
        <v>0</v>
      </c>
      <c r="F3397" s="25">
        <v>-147219</v>
      </c>
      <c r="G3397" s="26">
        <v>0</v>
      </c>
      <c r="H3397" s="10" t="str">
        <f t="shared" si="53"/>
        <v>COSTOS</v>
      </c>
      <c r="I3397" s="20">
        <v>2026</v>
      </c>
    </row>
    <row r="3398" spans="1:9" hidden="1" x14ac:dyDescent="0.3">
      <c r="A3398" s="24" t="s">
        <v>104</v>
      </c>
      <c r="B3398" s="24" t="s">
        <v>42</v>
      </c>
      <c r="C3398" s="22">
        <v>4</v>
      </c>
      <c r="D3398" s="25">
        <v>147219</v>
      </c>
      <c r="E3398" s="25">
        <v>0</v>
      </c>
      <c r="F3398" s="25">
        <v>-147219</v>
      </c>
      <c r="G3398" s="26">
        <v>0</v>
      </c>
      <c r="H3398" s="10" t="str">
        <f t="shared" si="53"/>
        <v>COSTOS</v>
      </c>
      <c r="I3398" s="20">
        <v>2026</v>
      </c>
    </row>
    <row r="3399" spans="1:9" hidden="1" x14ac:dyDescent="0.3">
      <c r="A3399" s="24" t="s">
        <v>105</v>
      </c>
      <c r="B3399" s="24" t="s">
        <v>42</v>
      </c>
      <c r="C3399" s="22">
        <v>1</v>
      </c>
      <c r="D3399" s="25">
        <v>0</v>
      </c>
      <c r="E3399" s="25">
        <v>147219</v>
      </c>
      <c r="F3399" s="25">
        <v>147219</v>
      </c>
      <c r="G3399" s="26">
        <v>0</v>
      </c>
      <c r="H3399" s="10" t="str">
        <f t="shared" si="53"/>
        <v>COSTOS</v>
      </c>
      <c r="I3399" s="20">
        <v>2026</v>
      </c>
    </row>
    <row r="3400" spans="1:9" hidden="1" x14ac:dyDescent="0.3">
      <c r="A3400" s="24" t="s">
        <v>105</v>
      </c>
      <c r="B3400" s="24" t="s">
        <v>42</v>
      </c>
      <c r="C3400" s="22">
        <v>2</v>
      </c>
      <c r="D3400" s="25">
        <v>0</v>
      </c>
      <c r="E3400" s="25">
        <v>147219</v>
      </c>
      <c r="F3400" s="25">
        <v>147219</v>
      </c>
      <c r="G3400" s="26">
        <v>0</v>
      </c>
      <c r="H3400" s="10" t="str">
        <f t="shared" si="53"/>
        <v>COSTOS</v>
      </c>
      <c r="I3400" s="20">
        <v>2026</v>
      </c>
    </row>
    <row r="3401" spans="1:9" hidden="1" x14ac:dyDescent="0.3">
      <c r="A3401" s="23" t="s">
        <v>105</v>
      </c>
      <c r="B3401" s="23" t="s">
        <v>42</v>
      </c>
      <c r="C3401" s="22">
        <v>3</v>
      </c>
      <c r="D3401" s="25">
        <v>0</v>
      </c>
      <c r="E3401" s="25">
        <v>147219</v>
      </c>
      <c r="F3401" s="25">
        <v>147219</v>
      </c>
      <c r="G3401" s="26">
        <v>0</v>
      </c>
      <c r="H3401" s="10" t="str">
        <f t="shared" si="53"/>
        <v>COSTOS</v>
      </c>
      <c r="I3401" s="20">
        <v>2026</v>
      </c>
    </row>
    <row r="3402" spans="1:9" hidden="1" x14ac:dyDescent="0.3">
      <c r="A3402" s="24" t="s">
        <v>105</v>
      </c>
      <c r="B3402" s="24" t="s">
        <v>42</v>
      </c>
      <c r="C3402" s="22">
        <v>4</v>
      </c>
      <c r="D3402" s="25">
        <v>0</v>
      </c>
      <c r="E3402" s="25">
        <v>147219</v>
      </c>
      <c r="F3402" s="25">
        <v>147219</v>
      </c>
      <c r="G3402" s="26">
        <v>0</v>
      </c>
      <c r="H3402" s="10" t="str">
        <f t="shared" si="53"/>
        <v>COSTOS</v>
      </c>
      <c r="I3402" s="20">
        <v>2026</v>
      </c>
    </row>
    <row r="3403" spans="1:9" hidden="1" x14ac:dyDescent="0.3">
      <c r="A3403" s="24" t="s">
        <v>107</v>
      </c>
      <c r="B3403" s="24" t="s">
        <v>42</v>
      </c>
      <c r="C3403" s="22">
        <v>1</v>
      </c>
      <c r="D3403" s="25">
        <v>127775</v>
      </c>
      <c r="E3403" s="25">
        <v>127775</v>
      </c>
      <c r="F3403" s="25">
        <v>0</v>
      </c>
      <c r="G3403" s="26">
        <v>1</v>
      </c>
      <c r="H3403" s="10" t="str">
        <f t="shared" si="53"/>
        <v>COSTOS</v>
      </c>
      <c r="I3403" s="20">
        <v>2026</v>
      </c>
    </row>
    <row r="3404" spans="1:9" hidden="1" x14ac:dyDescent="0.3">
      <c r="A3404" s="24" t="s">
        <v>107</v>
      </c>
      <c r="B3404" s="24" t="s">
        <v>42</v>
      </c>
      <c r="C3404" s="22">
        <v>2</v>
      </c>
      <c r="D3404" s="25">
        <v>127775</v>
      </c>
      <c r="E3404" s="25">
        <v>127775</v>
      </c>
      <c r="F3404" s="25">
        <v>0</v>
      </c>
      <c r="G3404" s="26">
        <v>1</v>
      </c>
      <c r="H3404" s="10" t="str">
        <f t="shared" si="53"/>
        <v>COSTOS</v>
      </c>
      <c r="I3404" s="20">
        <v>2026</v>
      </c>
    </row>
    <row r="3405" spans="1:9" hidden="1" x14ac:dyDescent="0.3">
      <c r="A3405" s="23" t="s">
        <v>107</v>
      </c>
      <c r="B3405" s="23" t="s">
        <v>42</v>
      </c>
      <c r="C3405" s="22">
        <v>3</v>
      </c>
      <c r="D3405" s="25">
        <v>127775</v>
      </c>
      <c r="E3405" s="25">
        <v>127775</v>
      </c>
      <c r="F3405" s="25">
        <v>0</v>
      </c>
      <c r="G3405" s="26">
        <v>1</v>
      </c>
      <c r="H3405" s="10" t="str">
        <f t="shared" si="53"/>
        <v>COSTOS</v>
      </c>
      <c r="I3405" s="20">
        <v>2026</v>
      </c>
    </row>
    <row r="3406" spans="1:9" hidden="1" x14ac:dyDescent="0.3">
      <c r="A3406" s="24" t="s">
        <v>107</v>
      </c>
      <c r="B3406" s="24" t="s">
        <v>42</v>
      </c>
      <c r="C3406" s="22">
        <v>4</v>
      </c>
      <c r="D3406" s="25">
        <v>127775</v>
      </c>
      <c r="E3406" s="25">
        <v>127775</v>
      </c>
      <c r="F3406" s="25">
        <v>0</v>
      </c>
      <c r="G3406" s="26">
        <v>1</v>
      </c>
      <c r="H3406" s="10" t="str">
        <f t="shared" si="53"/>
        <v>COSTOS</v>
      </c>
      <c r="I3406" s="20">
        <v>2026</v>
      </c>
    </row>
    <row r="3407" spans="1:9" hidden="1" x14ac:dyDescent="0.3">
      <c r="A3407" s="24" t="s">
        <v>237</v>
      </c>
      <c r="B3407" s="24" t="s">
        <v>42</v>
      </c>
      <c r="C3407" s="22">
        <v>1</v>
      </c>
      <c r="D3407" s="25">
        <v>124997</v>
      </c>
      <c r="E3407" s="25">
        <v>124997</v>
      </c>
      <c r="F3407" s="25">
        <v>0</v>
      </c>
      <c r="G3407" s="26">
        <v>1</v>
      </c>
      <c r="H3407" s="10" t="str">
        <f t="shared" si="53"/>
        <v>COSTOS</v>
      </c>
      <c r="I3407" s="20">
        <v>2026</v>
      </c>
    </row>
    <row r="3408" spans="1:9" hidden="1" x14ac:dyDescent="0.3">
      <c r="A3408" s="24" t="s">
        <v>237</v>
      </c>
      <c r="B3408" s="24" t="s">
        <v>42</v>
      </c>
      <c r="C3408" s="22">
        <v>2</v>
      </c>
      <c r="D3408" s="25">
        <v>124997</v>
      </c>
      <c r="E3408" s="25">
        <v>124997</v>
      </c>
      <c r="F3408" s="25">
        <v>0</v>
      </c>
      <c r="G3408" s="26">
        <v>1</v>
      </c>
      <c r="H3408" s="10" t="str">
        <f t="shared" si="53"/>
        <v>COSTOS</v>
      </c>
      <c r="I3408" s="20">
        <v>2026</v>
      </c>
    </row>
    <row r="3409" spans="1:9" hidden="1" x14ac:dyDescent="0.3">
      <c r="A3409" s="21" t="s">
        <v>237</v>
      </c>
      <c r="B3409" s="21" t="s">
        <v>42</v>
      </c>
      <c r="C3409" s="22">
        <v>3</v>
      </c>
      <c r="D3409" s="25">
        <v>124997</v>
      </c>
      <c r="E3409" s="25">
        <v>124997</v>
      </c>
      <c r="F3409" s="25">
        <v>0</v>
      </c>
      <c r="G3409" s="26">
        <v>1</v>
      </c>
      <c r="H3409" s="10" t="str">
        <f t="shared" si="53"/>
        <v>COSTOS</v>
      </c>
      <c r="I3409" s="20">
        <v>2026</v>
      </c>
    </row>
    <row r="3410" spans="1:9" hidden="1" x14ac:dyDescent="0.3">
      <c r="A3410" s="23" t="s">
        <v>237</v>
      </c>
      <c r="B3410" s="23" t="s">
        <v>42</v>
      </c>
      <c r="C3410" s="22">
        <v>4</v>
      </c>
      <c r="D3410" s="25">
        <v>124997</v>
      </c>
      <c r="E3410" s="25">
        <v>124997</v>
      </c>
      <c r="F3410" s="25">
        <v>0</v>
      </c>
      <c r="G3410" s="26">
        <v>1</v>
      </c>
      <c r="H3410" s="10" t="str">
        <f t="shared" si="53"/>
        <v>COSTOS</v>
      </c>
      <c r="I3410" s="20">
        <v>2026</v>
      </c>
    </row>
    <row r="3411" spans="1:9" hidden="1" x14ac:dyDescent="0.3">
      <c r="A3411" s="24" t="s">
        <v>147</v>
      </c>
      <c r="B3411" s="24" t="s">
        <v>42</v>
      </c>
      <c r="C3411" s="22">
        <v>1</v>
      </c>
      <c r="D3411" s="25">
        <v>143070</v>
      </c>
      <c r="E3411" s="25">
        <v>143070</v>
      </c>
      <c r="F3411" s="25">
        <v>0</v>
      </c>
      <c r="G3411" s="26">
        <v>1</v>
      </c>
      <c r="H3411" s="10" t="str">
        <f t="shared" si="53"/>
        <v>COSTOS</v>
      </c>
      <c r="I3411" s="20">
        <v>2026</v>
      </c>
    </row>
    <row r="3412" spans="1:9" hidden="1" x14ac:dyDescent="0.3">
      <c r="A3412" s="24" t="s">
        <v>147</v>
      </c>
      <c r="B3412" s="24" t="s">
        <v>42</v>
      </c>
      <c r="C3412" s="22">
        <v>2</v>
      </c>
      <c r="D3412" s="25">
        <v>143070</v>
      </c>
      <c r="E3412" s="25">
        <v>143070</v>
      </c>
      <c r="F3412" s="25">
        <v>0</v>
      </c>
      <c r="G3412" s="26">
        <v>1</v>
      </c>
      <c r="H3412" s="10" t="str">
        <f t="shared" si="53"/>
        <v>COSTOS</v>
      </c>
      <c r="I3412" s="20">
        <v>2026</v>
      </c>
    </row>
    <row r="3413" spans="1:9" hidden="1" x14ac:dyDescent="0.3">
      <c r="A3413" s="24" t="s">
        <v>147</v>
      </c>
      <c r="B3413" s="24" t="s">
        <v>42</v>
      </c>
      <c r="C3413" s="22">
        <v>3</v>
      </c>
      <c r="D3413" s="25">
        <v>143070</v>
      </c>
      <c r="E3413" s="25">
        <v>143070</v>
      </c>
      <c r="F3413" s="25">
        <v>0</v>
      </c>
      <c r="G3413" s="26">
        <v>1</v>
      </c>
      <c r="H3413" s="10" t="str">
        <f t="shared" si="53"/>
        <v>COSTOS</v>
      </c>
      <c r="I3413" s="20">
        <v>2026</v>
      </c>
    </row>
    <row r="3414" spans="1:9" hidden="1" x14ac:dyDescent="0.3">
      <c r="A3414" s="23" t="s">
        <v>147</v>
      </c>
      <c r="B3414" s="23" t="s">
        <v>42</v>
      </c>
      <c r="C3414" s="22">
        <v>4</v>
      </c>
      <c r="D3414" s="25">
        <v>143070</v>
      </c>
      <c r="E3414" s="25">
        <v>143070</v>
      </c>
      <c r="F3414" s="25">
        <v>0</v>
      </c>
      <c r="G3414" s="26">
        <v>1</v>
      </c>
      <c r="H3414" s="10" t="str">
        <f t="shared" si="53"/>
        <v>COSTOS</v>
      </c>
      <c r="I3414" s="20">
        <v>2026</v>
      </c>
    </row>
    <row r="3415" spans="1:9" hidden="1" x14ac:dyDescent="0.3">
      <c r="A3415" s="24" t="s">
        <v>101</v>
      </c>
      <c r="B3415" s="24" t="s">
        <v>26</v>
      </c>
      <c r="C3415" s="22">
        <v>1</v>
      </c>
      <c r="D3415" s="25">
        <v>0</v>
      </c>
      <c r="E3415" s="25">
        <v>0</v>
      </c>
      <c r="F3415" s="25">
        <v>0</v>
      </c>
      <c r="G3415" s="26">
        <v>0</v>
      </c>
      <c r="H3415" s="10" t="str">
        <f t="shared" si="53"/>
        <v>COSTOS</v>
      </c>
      <c r="I3415" s="20">
        <v>2026</v>
      </c>
    </row>
    <row r="3416" spans="1:9" hidden="1" x14ac:dyDescent="0.3">
      <c r="A3416" s="24" t="s">
        <v>101</v>
      </c>
      <c r="B3416" s="24" t="s">
        <v>26</v>
      </c>
      <c r="C3416" s="22">
        <v>2</v>
      </c>
      <c r="D3416" s="25">
        <v>0</v>
      </c>
      <c r="E3416" s="25">
        <v>0</v>
      </c>
      <c r="F3416" s="25">
        <v>0</v>
      </c>
      <c r="G3416" s="26">
        <v>0</v>
      </c>
      <c r="H3416" s="10" t="str">
        <f t="shared" si="53"/>
        <v>COSTOS</v>
      </c>
      <c r="I3416" s="20">
        <v>2026</v>
      </c>
    </row>
    <row r="3417" spans="1:9" hidden="1" x14ac:dyDescent="0.3">
      <c r="A3417" s="24" t="s">
        <v>101</v>
      </c>
      <c r="B3417" s="24" t="s">
        <v>26</v>
      </c>
      <c r="C3417" s="22">
        <v>3</v>
      </c>
      <c r="D3417" s="25">
        <v>0</v>
      </c>
      <c r="E3417" s="25">
        <v>0</v>
      </c>
      <c r="F3417" s="25">
        <v>0</v>
      </c>
      <c r="G3417" s="26">
        <v>0</v>
      </c>
      <c r="H3417" s="10" t="str">
        <f t="shared" si="53"/>
        <v>COSTOS</v>
      </c>
      <c r="I3417" s="20">
        <v>2026</v>
      </c>
    </row>
    <row r="3418" spans="1:9" hidden="1" x14ac:dyDescent="0.3">
      <c r="A3418" s="23" t="s">
        <v>101</v>
      </c>
      <c r="B3418" s="23" t="s">
        <v>26</v>
      </c>
      <c r="C3418" s="22">
        <v>4</v>
      </c>
      <c r="D3418" s="25">
        <v>75200</v>
      </c>
      <c r="E3418" s="25">
        <v>0</v>
      </c>
      <c r="F3418" s="25">
        <v>-75200</v>
      </c>
      <c r="G3418" s="26">
        <v>0</v>
      </c>
      <c r="H3418" s="10" t="str">
        <f t="shared" si="53"/>
        <v>COSTOS</v>
      </c>
      <c r="I3418" s="20">
        <v>2026</v>
      </c>
    </row>
    <row r="3419" spans="1:9" hidden="1" x14ac:dyDescent="0.3">
      <c r="A3419" s="24" t="s">
        <v>107</v>
      </c>
      <c r="B3419" s="24" t="s">
        <v>26</v>
      </c>
      <c r="C3419" s="22">
        <v>1</v>
      </c>
      <c r="D3419" s="25">
        <v>0</v>
      </c>
      <c r="E3419" s="25">
        <v>71900</v>
      </c>
      <c r="F3419" s="25">
        <v>71900</v>
      </c>
      <c r="G3419" s="26">
        <v>0</v>
      </c>
      <c r="H3419" s="10" t="str">
        <f t="shared" si="53"/>
        <v>COSTOS</v>
      </c>
      <c r="I3419" s="20">
        <v>2026</v>
      </c>
    </row>
    <row r="3420" spans="1:9" hidden="1" x14ac:dyDescent="0.3">
      <c r="A3420" s="24" t="s">
        <v>107</v>
      </c>
      <c r="B3420" s="24" t="s">
        <v>26</v>
      </c>
      <c r="C3420" s="22">
        <v>2</v>
      </c>
      <c r="D3420" s="25">
        <v>0</v>
      </c>
      <c r="E3420" s="25">
        <v>0</v>
      </c>
      <c r="F3420" s="25">
        <v>0</v>
      </c>
      <c r="G3420" s="26">
        <v>0</v>
      </c>
      <c r="H3420" s="10" t="str">
        <f t="shared" si="53"/>
        <v>COSTOS</v>
      </c>
      <c r="I3420" s="20">
        <v>2026</v>
      </c>
    </row>
    <row r="3421" spans="1:9" hidden="1" x14ac:dyDescent="0.3">
      <c r="A3421" s="24" t="s">
        <v>107</v>
      </c>
      <c r="B3421" s="24" t="s">
        <v>26</v>
      </c>
      <c r="C3421" s="22">
        <v>3</v>
      </c>
      <c r="D3421" s="25">
        <v>0</v>
      </c>
      <c r="E3421" s="25">
        <v>0</v>
      </c>
      <c r="F3421" s="25">
        <v>0</v>
      </c>
      <c r="G3421" s="26">
        <v>0</v>
      </c>
      <c r="H3421" s="10" t="str">
        <f t="shared" si="53"/>
        <v>COSTOS</v>
      </c>
      <c r="I3421" s="20">
        <v>2026</v>
      </c>
    </row>
    <row r="3422" spans="1:9" hidden="1" x14ac:dyDescent="0.3">
      <c r="A3422" s="23" t="s">
        <v>107</v>
      </c>
      <c r="B3422" s="23" t="s">
        <v>26</v>
      </c>
      <c r="C3422" s="22">
        <v>4</v>
      </c>
      <c r="D3422" s="25">
        <v>0</v>
      </c>
      <c r="E3422" s="25">
        <v>0</v>
      </c>
      <c r="F3422" s="25">
        <v>0</v>
      </c>
      <c r="G3422" s="26">
        <v>0</v>
      </c>
      <c r="H3422" s="10" t="str">
        <f t="shared" si="53"/>
        <v>COSTOS</v>
      </c>
      <c r="I3422" s="20">
        <v>2026</v>
      </c>
    </row>
    <row r="3423" spans="1:9" hidden="1" x14ac:dyDescent="0.3">
      <c r="A3423" s="24" t="s">
        <v>67</v>
      </c>
      <c r="B3423" s="24" t="s">
        <v>26</v>
      </c>
      <c r="C3423" s="22">
        <v>2</v>
      </c>
      <c r="D3423" s="25">
        <v>0</v>
      </c>
      <c r="E3423" s="25">
        <v>85000</v>
      </c>
      <c r="F3423" s="25">
        <v>85000</v>
      </c>
      <c r="G3423" s="26">
        <v>0</v>
      </c>
      <c r="H3423" s="10" t="str">
        <f t="shared" si="53"/>
        <v>COSTOS</v>
      </c>
      <c r="I3423" s="20">
        <v>2026</v>
      </c>
    </row>
    <row r="3424" spans="1:9" hidden="1" x14ac:dyDescent="0.3">
      <c r="A3424" s="24" t="s">
        <v>67</v>
      </c>
      <c r="B3424" s="24" t="s">
        <v>26</v>
      </c>
      <c r="C3424" s="22">
        <v>3</v>
      </c>
      <c r="D3424" s="25">
        <v>0</v>
      </c>
      <c r="E3424" s="25">
        <v>19500</v>
      </c>
      <c r="F3424" s="25">
        <v>19500</v>
      </c>
      <c r="G3424" s="26">
        <v>0</v>
      </c>
      <c r="H3424" s="10" t="str">
        <f t="shared" si="53"/>
        <v>COSTOS</v>
      </c>
      <c r="I3424" s="20">
        <v>2026</v>
      </c>
    </row>
    <row r="3425" spans="1:9" hidden="1" x14ac:dyDescent="0.3">
      <c r="A3425" s="24" t="s">
        <v>67</v>
      </c>
      <c r="B3425" s="24" t="s">
        <v>26</v>
      </c>
      <c r="C3425" s="22">
        <v>4</v>
      </c>
      <c r="D3425" s="25">
        <v>0</v>
      </c>
      <c r="E3425" s="25">
        <v>0</v>
      </c>
      <c r="F3425" s="25">
        <v>0</v>
      </c>
      <c r="G3425" s="26">
        <v>0</v>
      </c>
      <c r="H3425" s="10" t="str">
        <f t="shared" si="53"/>
        <v>COSTOS</v>
      </c>
      <c r="I3425" s="20">
        <v>2026</v>
      </c>
    </row>
    <row r="3426" spans="1:9" hidden="1" x14ac:dyDescent="0.3">
      <c r="A3426" s="23" t="s">
        <v>146</v>
      </c>
      <c r="B3426" s="23" t="s">
        <v>26</v>
      </c>
      <c r="C3426" s="22">
        <v>2</v>
      </c>
      <c r="D3426" s="25">
        <v>0</v>
      </c>
      <c r="E3426" s="25">
        <v>70000</v>
      </c>
      <c r="F3426" s="25">
        <v>70000</v>
      </c>
      <c r="G3426" s="26">
        <v>0</v>
      </c>
      <c r="H3426" s="10" t="str">
        <f t="shared" si="53"/>
        <v>COSTOS</v>
      </c>
      <c r="I3426" s="20">
        <v>2026</v>
      </c>
    </row>
    <row r="3427" spans="1:9" hidden="1" x14ac:dyDescent="0.3">
      <c r="A3427" s="24" t="s">
        <v>146</v>
      </c>
      <c r="B3427" s="24" t="s">
        <v>26</v>
      </c>
      <c r="C3427" s="22">
        <v>3</v>
      </c>
      <c r="D3427" s="25">
        <v>0</v>
      </c>
      <c r="E3427" s="25">
        <v>0</v>
      </c>
      <c r="F3427" s="25">
        <v>0</v>
      </c>
      <c r="G3427" s="26">
        <v>0</v>
      </c>
      <c r="H3427" s="10" t="str">
        <f t="shared" si="53"/>
        <v>COSTOS</v>
      </c>
      <c r="I3427" s="20">
        <v>2026</v>
      </c>
    </row>
    <row r="3428" spans="1:9" hidden="1" x14ac:dyDescent="0.3">
      <c r="A3428" s="24" t="s">
        <v>146</v>
      </c>
      <c r="B3428" s="24" t="s">
        <v>26</v>
      </c>
      <c r="C3428" s="22">
        <v>4</v>
      </c>
      <c r="D3428" s="25">
        <v>0</v>
      </c>
      <c r="E3428" s="25">
        <v>0</v>
      </c>
      <c r="F3428" s="25">
        <v>0</v>
      </c>
      <c r="G3428" s="26">
        <v>0</v>
      </c>
      <c r="H3428" s="10" t="str">
        <f t="shared" si="53"/>
        <v>COSTOS</v>
      </c>
      <c r="I3428" s="20">
        <v>2026</v>
      </c>
    </row>
    <row r="3429" spans="1:9" hidden="1" x14ac:dyDescent="0.3">
      <c r="A3429" s="24" t="s">
        <v>87</v>
      </c>
      <c r="B3429" s="24" t="s">
        <v>27</v>
      </c>
      <c r="C3429" s="22">
        <v>3</v>
      </c>
      <c r="D3429" s="25">
        <v>0</v>
      </c>
      <c r="E3429" s="25">
        <v>40924</v>
      </c>
      <c r="F3429" s="25">
        <v>40924</v>
      </c>
      <c r="G3429" s="26">
        <v>0</v>
      </c>
      <c r="H3429" s="10" t="str">
        <f t="shared" si="53"/>
        <v>COSTOS</v>
      </c>
      <c r="I3429" s="20">
        <v>2026</v>
      </c>
    </row>
    <row r="3430" spans="1:9" hidden="1" x14ac:dyDescent="0.3">
      <c r="A3430" s="23" t="s">
        <v>87</v>
      </c>
      <c r="B3430" s="23" t="s">
        <v>27</v>
      </c>
      <c r="C3430" s="22">
        <v>4</v>
      </c>
      <c r="D3430" s="25">
        <v>0</v>
      </c>
      <c r="E3430" s="25">
        <v>0</v>
      </c>
      <c r="F3430" s="25">
        <v>0</v>
      </c>
      <c r="G3430" s="26">
        <v>0</v>
      </c>
      <c r="H3430" s="10" t="str">
        <f t="shared" si="53"/>
        <v>COSTOS</v>
      </c>
      <c r="I3430" s="20">
        <v>2026</v>
      </c>
    </row>
    <row r="3431" spans="1:9" hidden="1" x14ac:dyDescent="0.3">
      <c r="A3431" s="24" t="s">
        <v>93</v>
      </c>
      <c r="B3431" s="24" t="s">
        <v>27</v>
      </c>
      <c r="C3431" s="22">
        <v>1</v>
      </c>
      <c r="D3431" s="25">
        <v>168227</v>
      </c>
      <c r="E3431" s="25">
        <v>0</v>
      </c>
      <c r="F3431" s="25">
        <v>-168227</v>
      </c>
      <c r="G3431" s="26">
        <v>0</v>
      </c>
      <c r="H3431" s="10" t="str">
        <f t="shared" si="53"/>
        <v>COSTOS</v>
      </c>
      <c r="I3431" s="20">
        <v>2026</v>
      </c>
    </row>
    <row r="3432" spans="1:9" hidden="1" x14ac:dyDescent="0.3">
      <c r="A3432" s="24" t="s">
        <v>93</v>
      </c>
      <c r="B3432" s="24" t="s">
        <v>27</v>
      </c>
      <c r="C3432" s="22">
        <v>2</v>
      </c>
      <c r="D3432" s="25">
        <v>168227</v>
      </c>
      <c r="E3432" s="25">
        <v>105083</v>
      </c>
      <c r="F3432" s="25">
        <v>-63144</v>
      </c>
      <c r="G3432" s="26">
        <v>0.62465002645235312</v>
      </c>
      <c r="H3432" s="10" t="str">
        <f t="shared" si="53"/>
        <v>COSTOS</v>
      </c>
      <c r="I3432" s="20">
        <v>2026</v>
      </c>
    </row>
    <row r="3433" spans="1:9" hidden="1" x14ac:dyDescent="0.3">
      <c r="A3433" s="24" t="s">
        <v>93</v>
      </c>
      <c r="B3433" s="24" t="s">
        <v>27</v>
      </c>
      <c r="C3433" s="22">
        <v>3</v>
      </c>
      <c r="D3433" s="25">
        <v>168227</v>
      </c>
      <c r="E3433" s="25">
        <v>150351</v>
      </c>
      <c r="F3433" s="25">
        <v>-17876</v>
      </c>
      <c r="G3433" s="26">
        <v>0.89373881719343506</v>
      </c>
      <c r="H3433" s="10" t="str">
        <f t="shared" si="53"/>
        <v>COSTOS</v>
      </c>
      <c r="I3433" s="20">
        <v>2026</v>
      </c>
    </row>
    <row r="3434" spans="1:9" hidden="1" x14ac:dyDescent="0.3">
      <c r="A3434" s="23" t="s">
        <v>93</v>
      </c>
      <c r="B3434" s="23" t="s">
        <v>27</v>
      </c>
      <c r="C3434" s="22">
        <v>4</v>
      </c>
      <c r="D3434" s="25">
        <v>168227</v>
      </c>
      <c r="E3434" s="25">
        <v>162801</v>
      </c>
      <c r="F3434" s="25">
        <v>-5426</v>
      </c>
      <c r="G3434" s="26">
        <v>0.96774596230093868</v>
      </c>
      <c r="H3434" s="10" t="str">
        <f t="shared" si="53"/>
        <v>COSTOS</v>
      </c>
      <c r="I3434" s="20">
        <v>2026</v>
      </c>
    </row>
    <row r="3435" spans="1:9" hidden="1" x14ac:dyDescent="0.3">
      <c r="A3435" s="24" t="s">
        <v>101</v>
      </c>
      <c r="B3435" s="24" t="s">
        <v>27</v>
      </c>
      <c r="C3435" s="22">
        <v>1</v>
      </c>
      <c r="D3435" s="25">
        <v>5950</v>
      </c>
      <c r="E3435" s="25">
        <v>5950</v>
      </c>
      <c r="F3435" s="25">
        <v>0</v>
      </c>
      <c r="G3435" s="26">
        <v>1</v>
      </c>
      <c r="H3435" s="10" t="str">
        <f t="shared" si="53"/>
        <v>COSTOS</v>
      </c>
      <c r="I3435" s="20">
        <v>2026</v>
      </c>
    </row>
    <row r="3436" spans="1:9" hidden="1" x14ac:dyDescent="0.3">
      <c r="A3436" s="24" t="s">
        <v>101</v>
      </c>
      <c r="B3436" s="24" t="s">
        <v>27</v>
      </c>
      <c r="C3436" s="22">
        <v>2</v>
      </c>
      <c r="D3436" s="25">
        <v>249225</v>
      </c>
      <c r="E3436" s="25">
        <v>249225</v>
      </c>
      <c r="F3436" s="25">
        <v>0</v>
      </c>
      <c r="G3436" s="26">
        <v>1</v>
      </c>
      <c r="H3436" s="10" t="str">
        <f t="shared" si="53"/>
        <v>COSTOS</v>
      </c>
      <c r="I3436" s="20">
        <v>2026</v>
      </c>
    </row>
    <row r="3437" spans="1:9" hidden="1" x14ac:dyDescent="0.3">
      <c r="A3437" s="24" t="s">
        <v>101</v>
      </c>
      <c r="B3437" s="24" t="s">
        <v>27</v>
      </c>
      <c r="C3437" s="22">
        <v>3</v>
      </c>
      <c r="D3437" s="25">
        <v>330182</v>
      </c>
      <c r="E3437" s="25">
        <v>330182</v>
      </c>
      <c r="F3437" s="25">
        <v>0</v>
      </c>
      <c r="G3437" s="26">
        <v>1</v>
      </c>
      <c r="H3437" s="10" t="str">
        <f t="shared" si="53"/>
        <v>COSTOS</v>
      </c>
      <c r="I3437" s="20">
        <v>2026</v>
      </c>
    </row>
    <row r="3438" spans="1:9" hidden="1" x14ac:dyDescent="0.3">
      <c r="A3438" s="23" t="s">
        <v>101</v>
      </c>
      <c r="B3438" s="23" t="s">
        <v>27</v>
      </c>
      <c r="C3438" s="22">
        <v>4</v>
      </c>
      <c r="D3438" s="25">
        <v>296122</v>
      </c>
      <c r="E3438" s="25">
        <v>296122</v>
      </c>
      <c r="F3438" s="25">
        <v>0</v>
      </c>
      <c r="G3438" s="26">
        <v>1</v>
      </c>
      <c r="H3438" s="10" t="str">
        <f t="shared" ref="H3438:H3501" si="54">+IF(OR(A3438="ADMINISTRACION",A3438="COMERCIAL",A3438="COMERCIAL-EXPORTACIONES",A3438="LEASING DE LA BODEGA",A3438="LOGISTICA-SALIDA",A3438="OTROS GASTOS",A3438="BODEGA ALQUILADA", A3438="BODEGA CARTOPLAST", A3438="BODEGA CARTOPLAS", A3438= "GESTION HUMANA-OTROS GASTOS",A3438="FAMILIA"),"GASTOS","COSTOS")</f>
        <v>COSTOS</v>
      </c>
      <c r="I3438" s="20">
        <v>2026</v>
      </c>
    </row>
    <row r="3439" spans="1:9" hidden="1" x14ac:dyDescent="0.3">
      <c r="A3439" s="24" t="s">
        <v>104</v>
      </c>
      <c r="B3439" s="24" t="s">
        <v>27</v>
      </c>
      <c r="C3439" s="22">
        <v>1</v>
      </c>
      <c r="D3439" s="25">
        <v>0</v>
      </c>
      <c r="E3439" s="25">
        <v>0</v>
      </c>
      <c r="F3439" s="25">
        <v>0</v>
      </c>
      <c r="G3439" s="26">
        <v>0</v>
      </c>
      <c r="H3439" s="10" t="str">
        <f t="shared" si="54"/>
        <v>COSTOS</v>
      </c>
      <c r="I3439" s="20">
        <v>2026</v>
      </c>
    </row>
    <row r="3440" spans="1:9" hidden="1" x14ac:dyDescent="0.3">
      <c r="A3440" s="24" t="s">
        <v>104</v>
      </c>
      <c r="B3440" s="24" t="s">
        <v>27</v>
      </c>
      <c r="C3440" s="22">
        <v>2</v>
      </c>
      <c r="D3440" s="25">
        <v>0</v>
      </c>
      <c r="E3440" s="25">
        <v>105083</v>
      </c>
      <c r="F3440" s="25">
        <v>105083</v>
      </c>
      <c r="G3440" s="26">
        <v>0</v>
      </c>
      <c r="H3440" s="10" t="str">
        <f t="shared" si="54"/>
        <v>COSTOS</v>
      </c>
      <c r="I3440" s="20">
        <v>2026</v>
      </c>
    </row>
    <row r="3441" spans="1:9" hidden="1" x14ac:dyDescent="0.3">
      <c r="A3441" s="24" t="s">
        <v>104</v>
      </c>
      <c r="B3441" s="24" t="s">
        <v>27</v>
      </c>
      <c r="C3441" s="22">
        <v>3</v>
      </c>
      <c r="D3441" s="25">
        <v>108558</v>
      </c>
      <c r="E3441" s="25">
        <v>150351</v>
      </c>
      <c r="F3441" s="25">
        <v>41793</v>
      </c>
      <c r="G3441" s="26">
        <v>1.3849831426518544</v>
      </c>
      <c r="H3441" s="10" t="str">
        <f t="shared" si="54"/>
        <v>COSTOS</v>
      </c>
      <c r="I3441" s="20">
        <v>2026</v>
      </c>
    </row>
    <row r="3442" spans="1:9" hidden="1" x14ac:dyDescent="0.3">
      <c r="A3442" s="23" t="s">
        <v>104</v>
      </c>
      <c r="B3442" s="23" t="s">
        <v>27</v>
      </c>
      <c r="C3442" s="22">
        <v>4</v>
      </c>
      <c r="D3442" s="25">
        <v>122579</v>
      </c>
      <c r="E3442" s="25">
        <v>162801</v>
      </c>
      <c r="F3442" s="25">
        <v>40222</v>
      </c>
      <c r="G3442" s="26">
        <v>1.3281312459719854</v>
      </c>
      <c r="H3442" s="10" t="str">
        <f t="shared" si="54"/>
        <v>COSTOS</v>
      </c>
      <c r="I3442" s="20">
        <v>2026</v>
      </c>
    </row>
    <row r="3443" spans="1:9" hidden="1" x14ac:dyDescent="0.3">
      <c r="A3443" s="24" t="s">
        <v>64</v>
      </c>
      <c r="B3443" s="24" t="s">
        <v>27</v>
      </c>
      <c r="C3443" s="22">
        <v>1</v>
      </c>
      <c r="D3443" s="25">
        <v>0</v>
      </c>
      <c r="E3443" s="25">
        <v>0</v>
      </c>
      <c r="F3443" s="25">
        <v>0</v>
      </c>
      <c r="G3443" s="26">
        <v>0</v>
      </c>
      <c r="H3443" s="10" t="str">
        <f t="shared" si="54"/>
        <v>COSTOS</v>
      </c>
      <c r="I3443" s="20">
        <v>2026</v>
      </c>
    </row>
    <row r="3444" spans="1:9" hidden="1" x14ac:dyDescent="0.3">
      <c r="A3444" s="24" t="s">
        <v>64</v>
      </c>
      <c r="B3444" s="24" t="s">
        <v>27</v>
      </c>
      <c r="C3444" s="22">
        <v>2</v>
      </c>
      <c r="D3444" s="25">
        <v>105083</v>
      </c>
      <c r="E3444" s="25">
        <v>105083</v>
      </c>
      <c r="F3444" s="25">
        <v>0</v>
      </c>
      <c r="G3444" s="26">
        <v>1</v>
      </c>
      <c r="H3444" s="10" t="str">
        <f t="shared" si="54"/>
        <v>COSTOS</v>
      </c>
      <c r="I3444" s="20">
        <v>2026</v>
      </c>
    </row>
    <row r="3445" spans="1:9" hidden="1" x14ac:dyDescent="0.3">
      <c r="A3445" s="24" t="s">
        <v>64</v>
      </c>
      <c r="B3445" s="24" t="s">
        <v>27</v>
      </c>
      <c r="C3445" s="22">
        <v>3</v>
      </c>
      <c r="D3445" s="25">
        <v>150351</v>
      </c>
      <c r="E3445" s="25">
        <v>150351</v>
      </c>
      <c r="F3445" s="25">
        <v>0</v>
      </c>
      <c r="G3445" s="26">
        <v>1</v>
      </c>
      <c r="H3445" s="10" t="str">
        <f t="shared" si="54"/>
        <v>COSTOS</v>
      </c>
      <c r="I3445" s="20">
        <v>2026</v>
      </c>
    </row>
    <row r="3446" spans="1:9" hidden="1" x14ac:dyDescent="0.3">
      <c r="A3446" s="23" t="s">
        <v>64</v>
      </c>
      <c r="B3446" s="23" t="s">
        <v>27</v>
      </c>
      <c r="C3446" s="22">
        <v>4</v>
      </c>
      <c r="D3446" s="25">
        <v>162801</v>
      </c>
      <c r="E3446" s="25">
        <v>162801</v>
      </c>
      <c r="F3446" s="25">
        <v>0</v>
      </c>
      <c r="G3446" s="26">
        <v>1</v>
      </c>
      <c r="H3446" s="10" t="str">
        <f t="shared" si="54"/>
        <v>COSTOS</v>
      </c>
      <c r="I3446" s="20">
        <v>2026</v>
      </c>
    </row>
    <row r="3447" spans="1:9" hidden="1" x14ac:dyDescent="0.3">
      <c r="A3447" s="24" t="s">
        <v>67</v>
      </c>
      <c r="B3447" s="24" t="s">
        <v>27</v>
      </c>
      <c r="C3447" s="22">
        <v>1</v>
      </c>
      <c r="D3447" s="25">
        <v>151405</v>
      </c>
      <c r="E3447" s="25">
        <v>16800</v>
      </c>
      <c r="F3447" s="25">
        <v>-134605</v>
      </c>
      <c r="G3447" s="26">
        <v>0.11096066840593112</v>
      </c>
      <c r="H3447" s="10" t="str">
        <f t="shared" si="54"/>
        <v>COSTOS</v>
      </c>
      <c r="I3447" s="20">
        <v>2026</v>
      </c>
    </row>
    <row r="3448" spans="1:9" hidden="1" x14ac:dyDescent="0.3">
      <c r="A3448" s="24" t="s">
        <v>67</v>
      </c>
      <c r="B3448" s="24" t="s">
        <v>27</v>
      </c>
      <c r="C3448" s="22">
        <v>2</v>
      </c>
      <c r="D3448" s="25">
        <v>151405</v>
      </c>
      <c r="E3448" s="25">
        <v>105083</v>
      </c>
      <c r="F3448" s="25">
        <v>-46322</v>
      </c>
      <c r="G3448" s="26">
        <v>0.69405237607740822</v>
      </c>
      <c r="H3448" s="10" t="str">
        <f t="shared" si="54"/>
        <v>COSTOS</v>
      </c>
      <c r="I3448" s="20">
        <v>2026</v>
      </c>
    </row>
    <row r="3449" spans="1:9" hidden="1" x14ac:dyDescent="0.3">
      <c r="A3449" s="24" t="s">
        <v>67</v>
      </c>
      <c r="B3449" s="24" t="s">
        <v>27</v>
      </c>
      <c r="C3449" s="22">
        <v>3</v>
      </c>
      <c r="D3449" s="25">
        <v>151405</v>
      </c>
      <c r="E3449" s="25">
        <v>150351</v>
      </c>
      <c r="F3449" s="25">
        <v>-1054</v>
      </c>
      <c r="G3449" s="26">
        <v>0.99303853901786598</v>
      </c>
      <c r="H3449" s="10" t="str">
        <f t="shared" si="54"/>
        <v>COSTOS</v>
      </c>
      <c r="I3449" s="20">
        <v>2026</v>
      </c>
    </row>
    <row r="3450" spans="1:9" hidden="1" x14ac:dyDescent="0.3">
      <c r="A3450" s="23" t="s">
        <v>67</v>
      </c>
      <c r="B3450" s="23" t="s">
        <v>27</v>
      </c>
      <c r="C3450" s="22">
        <v>4</v>
      </c>
      <c r="D3450" s="25">
        <v>151405</v>
      </c>
      <c r="E3450" s="25">
        <v>162801</v>
      </c>
      <c r="F3450" s="25">
        <v>11396</v>
      </c>
      <c r="G3450" s="26">
        <v>1.0752683200686899</v>
      </c>
      <c r="H3450" s="10" t="str">
        <f t="shared" si="54"/>
        <v>COSTOS</v>
      </c>
      <c r="I3450" s="20">
        <v>2026</v>
      </c>
    </row>
    <row r="3451" spans="1:9" x14ac:dyDescent="0.3">
      <c r="A3451" s="24" t="s">
        <v>113</v>
      </c>
      <c r="B3451" s="24" t="s">
        <v>27</v>
      </c>
      <c r="C3451" s="22">
        <v>1</v>
      </c>
      <c r="D3451" s="25">
        <v>134582</v>
      </c>
      <c r="E3451" s="25">
        <v>0</v>
      </c>
      <c r="F3451" s="25">
        <v>-134582</v>
      </c>
      <c r="G3451" s="26">
        <v>0</v>
      </c>
      <c r="H3451" s="10" t="str">
        <f t="shared" si="54"/>
        <v>COSTOS</v>
      </c>
      <c r="I3451" s="20">
        <v>2026</v>
      </c>
    </row>
    <row r="3452" spans="1:9" x14ac:dyDescent="0.3">
      <c r="A3452" s="24" t="s">
        <v>113</v>
      </c>
      <c r="B3452" s="24" t="s">
        <v>27</v>
      </c>
      <c r="C3452" s="22">
        <v>2</v>
      </c>
      <c r="D3452" s="25">
        <v>134582</v>
      </c>
      <c r="E3452" s="25">
        <v>105083</v>
      </c>
      <c r="F3452" s="25">
        <v>-29499</v>
      </c>
      <c r="G3452" s="26">
        <v>0.78081021236123704</v>
      </c>
      <c r="H3452" s="10" t="str">
        <f t="shared" si="54"/>
        <v>COSTOS</v>
      </c>
      <c r="I3452" s="20">
        <v>2026</v>
      </c>
    </row>
    <row r="3453" spans="1:9" x14ac:dyDescent="0.3">
      <c r="A3453" s="24" t="s">
        <v>113</v>
      </c>
      <c r="B3453" s="24" t="s">
        <v>27</v>
      </c>
      <c r="C3453" s="22">
        <v>3</v>
      </c>
      <c r="D3453" s="25">
        <v>134582</v>
      </c>
      <c r="E3453" s="25">
        <v>150351</v>
      </c>
      <c r="F3453" s="25">
        <v>15769</v>
      </c>
      <c r="G3453" s="26">
        <v>1.1171702010670075</v>
      </c>
      <c r="H3453" s="10" t="str">
        <f t="shared" si="54"/>
        <v>COSTOS</v>
      </c>
      <c r="I3453" s="20">
        <v>2026</v>
      </c>
    </row>
    <row r="3454" spans="1:9" x14ac:dyDescent="0.3">
      <c r="A3454" s="23" t="s">
        <v>113</v>
      </c>
      <c r="B3454" s="23" t="s">
        <v>27</v>
      </c>
      <c r="C3454" s="22">
        <v>4</v>
      </c>
      <c r="D3454" s="25">
        <v>134582</v>
      </c>
      <c r="E3454" s="25">
        <v>162801</v>
      </c>
      <c r="F3454" s="25">
        <v>28219</v>
      </c>
      <c r="G3454" s="26">
        <v>1.209678857499517</v>
      </c>
      <c r="H3454" s="10" t="str">
        <f t="shared" si="54"/>
        <v>COSTOS</v>
      </c>
      <c r="I3454" s="20">
        <v>2026</v>
      </c>
    </row>
    <row r="3455" spans="1:9" hidden="1" x14ac:dyDescent="0.3">
      <c r="A3455" s="24" t="s">
        <v>146</v>
      </c>
      <c r="B3455" s="24" t="s">
        <v>27</v>
      </c>
      <c r="C3455" s="22">
        <v>1</v>
      </c>
      <c r="D3455" s="25">
        <v>0</v>
      </c>
      <c r="E3455" s="25">
        <v>0</v>
      </c>
      <c r="F3455" s="25">
        <v>0</v>
      </c>
      <c r="G3455" s="26">
        <v>0</v>
      </c>
      <c r="H3455" s="10" t="str">
        <f t="shared" si="54"/>
        <v>COSTOS</v>
      </c>
      <c r="I3455" s="20">
        <v>2026</v>
      </c>
    </row>
    <row r="3456" spans="1:9" hidden="1" x14ac:dyDescent="0.3">
      <c r="A3456" s="24" t="s">
        <v>146</v>
      </c>
      <c r="B3456" s="24" t="s">
        <v>27</v>
      </c>
      <c r="C3456" s="22">
        <v>2</v>
      </c>
      <c r="D3456" s="25">
        <v>315248</v>
      </c>
      <c r="E3456" s="25">
        <v>315248</v>
      </c>
      <c r="F3456" s="25">
        <v>0</v>
      </c>
      <c r="G3456" s="26">
        <v>1</v>
      </c>
      <c r="H3456" s="10" t="str">
        <f t="shared" si="54"/>
        <v>COSTOS</v>
      </c>
      <c r="I3456" s="20">
        <v>2026</v>
      </c>
    </row>
    <row r="3457" spans="1:9" hidden="1" x14ac:dyDescent="0.3">
      <c r="A3457" s="23" t="s">
        <v>146</v>
      </c>
      <c r="B3457" s="23" t="s">
        <v>27</v>
      </c>
      <c r="C3457" s="22">
        <v>3</v>
      </c>
      <c r="D3457" s="25">
        <v>360841</v>
      </c>
      <c r="E3457" s="25">
        <v>360841</v>
      </c>
      <c r="F3457" s="25">
        <v>0</v>
      </c>
      <c r="G3457" s="26">
        <v>1</v>
      </c>
      <c r="H3457" s="10" t="str">
        <f t="shared" si="54"/>
        <v>COSTOS</v>
      </c>
      <c r="I3457" s="20">
        <v>2026</v>
      </c>
    </row>
    <row r="3458" spans="1:9" hidden="1" x14ac:dyDescent="0.3">
      <c r="A3458" s="24" t="s">
        <v>146</v>
      </c>
      <c r="B3458" s="24" t="s">
        <v>27</v>
      </c>
      <c r="C3458" s="22">
        <v>4</v>
      </c>
      <c r="D3458" s="25">
        <v>695165</v>
      </c>
      <c r="E3458" s="25">
        <v>415047</v>
      </c>
      <c r="F3458" s="25">
        <v>-280118</v>
      </c>
      <c r="G3458" s="26">
        <v>0.59704818280552097</v>
      </c>
      <c r="H3458" s="10" t="str">
        <f t="shared" si="54"/>
        <v>COSTOS</v>
      </c>
      <c r="I3458" s="20">
        <v>2026</v>
      </c>
    </row>
    <row r="3459" spans="1:9" hidden="1" x14ac:dyDescent="0.3">
      <c r="A3459" s="24" t="s">
        <v>147</v>
      </c>
      <c r="B3459" s="24" t="s">
        <v>27</v>
      </c>
      <c r="C3459" s="22">
        <v>1</v>
      </c>
      <c r="D3459" s="25">
        <v>23800</v>
      </c>
      <c r="E3459" s="25">
        <v>23800</v>
      </c>
      <c r="F3459" s="25">
        <v>0</v>
      </c>
      <c r="G3459" s="26">
        <v>1</v>
      </c>
      <c r="H3459" s="10" t="str">
        <f t="shared" si="54"/>
        <v>COSTOS</v>
      </c>
      <c r="I3459" s="20">
        <v>2026</v>
      </c>
    </row>
    <row r="3460" spans="1:9" hidden="1" x14ac:dyDescent="0.3">
      <c r="A3460" s="24" t="s">
        <v>147</v>
      </c>
      <c r="B3460" s="24" t="s">
        <v>27</v>
      </c>
      <c r="C3460" s="22">
        <v>2</v>
      </c>
      <c r="D3460" s="25">
        <v>840660</v>
      </c>
      <c r="E3460" s="25">
        <v>840660</v>
      </c>
      <c r="F3460" s="25">
        <v>0</v>
      </c>
      <c r="G3460" s="26">
        <v>1</v>
      </c>
      <c r="H3460" s="10" t="str">
        <f t="shared" si="54"/>
        <v>COSTOS</v>
      </c>
      <c r="I3460" s="20">
        <v>2026</v>
      </c>
    </row>
    <row r="3461" spans="1:9" hidden="1" x14ac:dyDescent="0.3">
      <c r="A3461" s="23" t="s">
        <v>147</v>
      </c>
      <c r="B3461" s="23" t="s">
        <v>27</v>
      </c>
      <c r="C3461" s="22">
        <v>3</v>
      </c>
      <c r="D3461" s="25">
        <v>1202806</v>
      </c>
      <c r="E3461" s="25">
        <v>1202806</v>
      </c>
      <c r="F3461" s="25">
        <v>0</v>
      </c>
      <c r="G3461" s="26">
        <v>1</v>
      </c>
      <c r="H3461" s="10" t="str">
        <f t="shared" si="54"/>
        <v>COSTOS</v>
      </c>
      <c r="I3461" s="20">
        <v>2026</v>
      </c>
    </row>
    <row r="3462" spans="1:9" hidden="1" x14ac:dyDescent="0.3">
      <c r="A3462" s="24" t="s">
        <v>147</v>
      </c>
      <c r="B3462" s="24" t="s">
        <v>27</v>
      </c>
      <c r="C3462" s="22">
        <v>4</v>
      </c>
      <c r="D3462" s="25">
        <v>1766050</v>
      </c>
      <c r="E3462" s="25">
        <v>1766050</v>
      </c>
      <c r="F3462" s="25">
        <v>0</v>
      </c>
      <c r="G3462" s="26">
        <v>1</v>
      </c>
      <c r="H3462" s="10" t="str">
        <f t="shared" si="54"/>
        <v>COSTOS</v>
      </c>
      <c r="I3462" s="20">
        <v>2026</v>
      </c>
    </row>
    <row r="3463" spans="1:9" hidden="1" x14ac:dyDescent="0.3">
      <c r="A3463" s="24" t="s">
        <v>87</v>
      </c>
      <c r="B3463" s="24" t="s">
        <v>28</v>
      </c>
      <c r="C3463" s="22">
        <v>1</v>
      </c>
      <c r="D3463" s="25">
        <v>220000</v>
      </c>
      <c r="E3463" s="25">
        <v>0</v>
      </c>
      <c r="F3463" s="25">
        <v>-220000</v>
      </c>
      <c r="G3463" s="26">
        <v>0</v>
      </c>
      <c r="H3463" s="10" t="str">
        <f t="shared" si="54"/>
        <v>COSTOS</v>
      </c>
      <c r="I3463" s="20">
        <v>2026</v>
      </c>
    </row>
    <row r="3464" spans="1:9" hidden="1" x14ac:dyDescent="0.3">
      <c r="A3464" s="24" t="s">
        <v>87</v>
      </c>
      <c r="B3464" s="24" t="s">
        <v>28</v>
      </c>
      <c r="C3464" s="22">
        <v>2</v>
      </c>
      <c r="D3464" s="25">
        <v>0</v>
      </c>
      <c r="E3464" s="25">
        <v>0</v>
      </c>
      <c r="F3464" s="25">
        <v>0</v>
      </c>
      <c r="G3464" s="26">
        <v>0</v>
      </c>
      <c r="H3464" s="10" t="str">
        <f t="shared" si="54"/>
        <v>COSTOS</v>
      </c>
      <c r="I3464" s="20">
        <v>2026</v>
      </c>
    </row>
    <row r="3465" spans="1:9" hidden="1" x14ac:dyDescent="0.3">
      <c r="A3465" s="23" t="s">
        <v>87</v>
      </c>
      <c r="B3465" s="23" t="s">
        <v>28</v>
      </c>
      <c r="C3465" s="22">
        <v>3</v>
      </c>
      <c r="D3465" s="25">
        <v>220000</v>
      </c>
      <c r="E3465" s="25">
        <v>175210</v>
      </c>
      <c r="F3465" s="25">
        <v>-44790</v>
      </c>
      <c r="G3465" s="26">
        <v>0.79640909090909096</v>
      </c>
      <c r="H3465" s="10" t="str">
        <f t="shared" si="54"/>
        <v>COSTOS</v>
      </c>
      <c r="I3465" s="20">
        <v>2026</v>
      </c>
    </row>
    <row r="3466" spans="1:9" hidden="1" x14ac:dyDescent="0.3">
      <c r="A3466" s="24" t="s">
        <v>87</v>
      </c>
      <c r="B3466" s="24" t="s">
        <v>28</v>
      </c>
      <c r="C3466" s="22">
        <v>4</v>
      </c>
      <c r="D3466" s="25">
        <v>0</v>
      </c>
      <c r="E3466" s="25">
        <v>121008</v>
      </c>
      <c r="F3466" s="25">
        <v>121008</v>
      </c>
      <c r="G3466" s="26">
        <v>0</v>
      </c>
      <c r="H3466" s="10" t="str">
        <f t="shared" si="54"/>
        <v>COSTOS</v>
      </c>
      <c r="I3466" s="20">
        <v>2026</v>
      </c>
    </row>
    <row r="3467" spans="1:9" hidden="1" x14ac:dyDescent="0.3">
      <c r="A3467" s="24" t="s">
        <v>93</v>
      </c>
      <c r="B3467" s="24" t="s">
        <v>28</v>
      </c>
      <c r="C3467" s="22">
        <v>1</v>
      </c>
      <c r="D3467" s="25">
        <v>0</v>
      </c>
      <c r="E3467" s="25">
        <v>99812</v>
      </c>
      <c r="F3467" s="25">
        <v>99812</v>
      </c>
      <c r="G3467" s="26">
        <v>0</v>
      </c>
      <c r="H3467" s="10" t="str">
        <f t="shared" si="54"/>
        <v>COSTOS</v>
      </c>
      <c r="I3467" s="20">
        <v>2026</v>
      </c>
    </row>
    <row r="3468" spans="1:9" hidden="1" x14ac:dyDescent="0.3">
      <c r="A3468" s="24" t="s">
        <v>93</v>
      </c>
      <c r="B3468" s="24" t="s">
        <v>28</v>
      </c>
      <c r="C3468" s="22">
        <v>2</v>
      </c>
      <c r="D3468" s="25">
        <v>0</v>
      </c>
      <c r="E3468" s="25">
        <v>11440</v>
      </c>
      <c r="F3468" s="25">
        <v>11440</v>
      </c>
      <c r="G3468" s="26">
        <v>0</v>
      </c>
      <c r="H3468" s="10" t="str">
        <f t="shared" si="54"/>
        <v>COSTOS</v>
      </c>
      <c r="I3468" s="20">
        <v>2026</v>
      </c>
    </row>
    <row r="3469" spans="1:9" hidden="1" x14ac:dyDescent="0.3">
      <c r="A3469" s="23" t="s">
        <v>93</v>
      </c>
      <c r="B3469" s="23" t="s">
        <v>28</v>
      </c>
      <c r="C3469" s="22">
        <v>3</v>
      </c>
      <c r="D3469" s="25">
        <v>0</v>
      </c>
      <c r="E3469" s="25">
        <v>15094</v>
      </c>
      <c r="F3469" s="25">
        <v>15094</v>
      </c>
      <c r="G3469" s="26">
        <v>0</v>
      </c>
      <c r="H3469" s="10" t="str">
        <f t="shared" si="54"/>
        <v>COSTOS</v>
      </c>
      <c r="I3469" s="20">
        <v>2026</v>
      </c>
    </row>
    <row r="3470" spans="1:9" hidden="1" x14ac:dyDescent="0.3">
      <c r="A3470" s="24" t="s">
        <v>93</v>
      </c>
      <c r="B3470" s="24" t="s">
        <v>28</v>
      </c>
      <c r="C3470" s="22">
        <v>4</v>
      </c>
      <c r="D3470" s="25">
        <v>0</v>
      </c>
      <c r="E3470" s="25">
        <v>18400</v>
      </c>
      <c r="F3470" s="25">
        <v>18400</v>
      </c>
      <c r="G3470" s="26">
        <v>0</v>
      </c>
      <c r="H3470" s="10" t="str">
        <f t="shared" si="54"/>
        <v>COSTOS</v>
      </c>
      <c r="I3470" s="20">
        <v>2026</v>
      </c>
    </row>
    <row r="3471" spans="1:9" hidden="1" x14ac:dyDescent="0.3">
      <c r="A3471" s="24" t="s">
        <v>243</v>
      </c>
      <c r="B3471" s="24" t="s">
        <v>28</v>
      </c>
      <c r="C3471" s="22">
        <v>1</v>
      </c>
      <c r="D3471" s="25">
        <v>100000</v>
      </c>
      <c r="E3471" s="25">
        <v>8403</v>
      </c>
      <c r="F3471" s="25">
        <v>-91597</v>
      </c>
      <c r="G3471" s="26">
        <v>8.4029999999999994E-2</v>
      </c>
      <c r="H3471" s="10" t="str">
        <f t="shared" si="54"/>
        <v>COSTOS</v>
      </c>
      <c r="I3471" s="20">
        <v>2026</v>
      </c>
    </row>
    <row r="3472" spans="1:9" hidden="1" x14ac:dyDescent="0.3">
      <c r="A3472" s="24" t="s">
        <v>243</v>
      </c>
      <c r="B3472" s="24" t="s">
        <v>28</v>
      </c>
      <c r="C3472" s="22">
        <v>2</v>
      </c>
      <c r="D3472" s="25">
        <v>0</v>
      </c>
      <c r="E3472" s="25">
        <v>21008</v>
      </c>
      <c r="F3472" s="25">
        <v>21008</v>
      </c>
      <c r="G3472" s="26">
        <v>0</v>
      </c>
      <c r="H3472" s="10" t="str">
        <f t="shared" si="54"/>
        <v>COSTOS</v>
      </c>
      <c r="I3472" s="20">
        <v>2026</v>
      </c>
    </row>
    <row r="3473" spans="1:9" hidden="1" x14ac:dyDescent="0.3">
      <c r="A3473" s="23" t="s">
        <v>243</v>
      </c>
      <c r="B3473" s="23" t="s">
        <v>28</v>
      </c>
      <c r="C3473" s="22">
        <v>3</v>
      </c>
      <c r="D3473" s="25">
        <v>0</v>
      </c>
      <c r="E3473" s="25">
        <v>192854</v>
      </c>
      <c r="F3473" s="25">
        <v>192854</v>
      </c>
      <c r="G3473" s="26">
        <v>0</v>
      </c>
      <c r="H3473" s="10" t="str">
        <f t="shared" si="54"/>
        <v>COSTOS</v>
      </c>
      <c r="I3473" s="20">
        <v>2026</v>
      </c>
    </row>
    <row r="3474" spans="1:9" hidden="1" x14ac:dyDescent="0.3">
      <c r="A3474" s="24" t="s">
        <v>243</v>
      </c>
      <c r="B3474" s="24" t="s">
        <v>28</v>
      </c>
      <c r="C3474" s="22">
        <v>4</v>
      </c>
      <c r="D3474" s="25">
        <v>0</v>
      </c>
      <c r="E3474" s="25">
        <v>0</v>
      </c>
      <c r="F3474" s="25">
        <v>0</v>
      </c>
      <c r="G3474" s="26">
        <v>0</v>
      </c>
      <c r="H3474" s="10" t="str">
        <f t="shared" si="54"/>
        <v>COSTOS</v>
      </c>
      <c r="I3474" s="20">
        <v>2026</v>
      </c>
    </row>
    <row r="3475" spans="1:9" hidden="1" x14ac:dyDescent="0.3">
      <c r="A3475" s="24" t="s">
        <v>244</v>
      </c>
      <c r="B3475" s="24" t="s">
        <v>28</v>
      </c>
      <c r="C3475" s="22">
        <v>1</v>
      </c>
      <c r="D3475" s="25">
        <v>150000</v>
      </c>
      <c r="E3475" s="25">
        <v>639008</v>
      </c>
      <c r="F3475" s="25">
        <v>489008</v>
      </c>
      <c r="G3475" s="26">
        <v>4.2600533333333335</v>
      </c>
      <c r="H3475" s="10" t="str">
        <f t="shared" si="54"/>
        <v>COSTOS</v>
      </c>
      <c r="I3475" s="20">
        <v>2026</v>
      </c>
    </row>
    <row r="3476" spans="1:9" hidden="1" x14ac:dyDescent="0.3">
      <c r="A3476" s="24" t="s">
        <v>244</v>
      </c>
      <c r="B3476" s="24" t="s">
        <v>28</v>
      </c>
      <c r="C3476" s="22">
        <v>2</v>
      </c>
      <c r="D3476" s="25">
        <v>150000</v>
      </c>
      <c r="E3476" s="25">
        <v>227267</v>
      </c>
      <c r="F3476" s="25">
        <v>77267</v>
      </c>
      <c r="G3476" s="26">
        <v>1.5151133333333333</v>
      </c>
      <c r="H3476" s="10" t="str">
        <f t="shared" si="54"/>
        <v>COSTOS</v>
      </c>
      <c r="I3476" s="20">
        <v>2026</v>
      </c>
    </row>
    <row r="3477" spans="1:9" hidden="1" x14ac:dyDescent="0.3">
      <c r="A3477" s="23" t="s">
        <v>244</v>
      </c>
      <c r="B3477" s="23" t="s">
        <v>28</v>
      </c>
      <c r="C3477" s="22">
        <v>3</v>
      </c>
      <c r="D3477" s="25">
        <v>150000</v>
      </c>
      <c r="E3477" s="25">
        <v>316230</v>
      </c>
      <c r="F3477" s="25">
        <v>166230</v>
      </c>
      <c r="G3477" s="26">
        <v>2.1082000000000001</v>
      </c>
      <c r="H3477" s="10" t="str">
        <f t="shared" si="54"/>
        <v>COSTOS</v>
      </c>
      <c r="I3477" s="20">
        <v>2026</v>
      </c>
    </row>
    <row r="3478" spans="1:9" hidden="1" x14ac:dyDescent="0.3">
      <c r="A3478" s="24" t="s">
        <v>244</v>
      </c>
      <c r="B3478" s="24" t="s">
        <v>28</v>
      </c>
      <c r="C3478" s="22">
        <v>4</v>
      </c>
      <c r="D3478" s="25">
        <v>150000</v>
      </c>
      <c r="E3478" s="25">
        <v>98434</v>
      </c>
      <c r="F3478" s="25">
        <v>-51566</v>
      </c>
      <c r="G3478" s="26">
        <v>0.65622666666666674</v>
      </c>
      <c r="H3478" s="10" t="str">
        <f t="shared" si="54"/>
        <v>COSTOS</v>
      </c>
      <c r="I3478" s="20">
        <v>2026</v>
      </c>
    </row>
    <row r="3479" spans="1:9" hidden="1" x14ac:dyDescent="0.3">
      <c r="A3479" s="24" t="s">
        <v>101</v>
      </c>
      <c r="B3479" s="24" t="s">
        <v>28</v>
      </c>
      <c r="C3479" s="22">
        <v>1</v>
      </c>
      <c r="D3479" s="25">
        <v>611884</v>
      </c>
      <c r="E3479" s="25">
        <v>611884</v>
      </c>
      <c r="F3479" s="25">
        <v>0</v>
      </c>
      <c r="G3479" s="26">
        <v>1</v>
      </c>
      <c r="H3479" s="10" t="str">
        <f t="shared" si="54"/>
        <v>COSTOS</v>
      </c>
      <c r="I3479" s="20">
        <v>2026</v>
      </c>
    </row>
    <row r="3480" spans="1:9" hidden="1" x14ac:dyDescent="0.3">
      <c r="A3480" s="24" t="s">
        <v>101</v>
      </c>
      <c r="B3480" s="24" t="s">
        <v>28</v>
      </c>
      <c r="C3480" s="22">
        <v>2</v>
      </c>
      <c r="D3480" s="25">
        <v>407587</v>
      </c>
      <c r="E3480" s="25">
        <v>407587</v>
      </c>
      <c r="F3480" s="25">
        <v>0</v>
      </c>
      <c r="G3480" s="26">
        <v>1</v>
      </c>
      <c r="H3480" s="10" t="str">
        <f t="shared" si="54"/>
        <v>COSTOS</v>
      </c>
      <c r="I3480" s="20">
        <v>2026</v>
      </c>
    </row>
    <row r="3481" spans="1:9" hidden="1" x14ac:dyDescent="0.3">
      <c r="A3481" s="23" t="s">
        <v>101</v>
      </c>
      <c r="B3481" s="23" t="s">
        <v>28</v>
      </c>
      <c r="C3481" s="22">
        <v>3</v>
      </c>
      <c r="D3481" s="25">
        <v>1303946</v>
      </c>
      <c r="E3481" s="25">
        <v>1303946</v>
      </c>
      <c r="F3481" s="25">
        <v>0</v>
      </c>
      <c r="G3481" s="26">
        <v>1</v>
      </c>
      <c r="H3481" s="10" t="str">
        <f t="shared" si="54"/>
        <v>COSTOS</v>
      </c>
      <c r="I3481" s="20">
        <v>2026</v>
      </c>
    </row>
    <row r="3482" spans="1:9" hidden="1" x14ac:dyDescent="0.3">
      <c r="A3482" s="24" t="s">
        <v>101</v>
      </c>
      <c r="B3482" s="24" t="s">
        <v>28</v>
      </c>
      <c r="C3482" s="22">
        <v>4</v>
      </c>
      <c r="D3482" s="25">
        <v>92001</v>
      </c>
      <c r="E3482" s="25">
        <v>92001</v>
      </c>
      <c r="F3482" s="25">
        <v>0</v>
      </c>
      <c r="G3482" s="26">
        <v>1</v>
      </c>
      <c r="H3482" s="10" t="str">
        <f t="shared" si="54"/>
        <v>COSTOS</v>
      </c>
      <c r="I3482" s="20">
        <v>2026</v>
      </c>
    </row>
    <row r="3483" spans="1:9" hidden="1" x14ac:dyDescent="0.3">
      <c r="A3483" s="24" t="s">
        <v>104</v>
      </c>
      <c r="B3483" s="24" t="s">
        <v>28</v>
      </c>
      <c r="C3483" s="22">
        <v>1</v>
      </c>
      <c r="D3483" s="25">
        <v>0</v>
      </c>
      <c r="E3483" s="25">
        <v>620652</v>
      </c>
      <c r="F3483" s="25">
        <v>620652</v>
      </c>
      <c r="G3483" s="26">
        <v>0</v>
      </c>
      <c r="H3483" s="10" t="str">
        <f t="shared" si="54"/>
        <v>COSTOS</v>
      </c>
      <c r="I3483" s="20">
        <v>2026</v>
      </c>
    </row>
    <row r="3484" spans="1:9" hidden="1" x14ac:dyDescent="0.3">
      <c r="A3484" s="24" t="s">
        <v>104</v>
      </c>
      <c r="B3484" s="24" t="s">
        <v>28</v>
      </c>
      <c r="C3484" s="22">
        <v>2</v>
      </c>
      <c r="D3484" s="25">
        <v>36094</v>
      </c>
      <c r="E3484" s="25">
        <v>28600</v>
      </c>
      <c r="F3484" s="25">
        <v>-7494</v>
      </c>
      <c r="G3484" s="26">
        <v>0.79237546406604975</v>
      </c>
      <c r="H3484" s="10" t="str">
        <f t="shared" si="54"/>
        <v>COSTOS</v>
      </c>
      <c r="I3484" s="20">
        <v>2026</v>
      </c>
    </row>
    <row r="3485" spans="1:9" hidden="1" x14ac:dyDescent="0.3">
      <c r="A3485" s="23" t="s">
        <v>104</v>
      </c>
      <c r="B3485" s="23" t="s">
        <v>28</v>
      </c>
      <c r="C3485" s="22">
        <v>3</v>
      </c>
      <c r="D3485" s="25">
        <v>36094</v>
      </c>
      <c r="E3485" s="25">
        <v>237934</v>
      </c>
      <c r="F3485" s="25">
        <v>201840</v>
      </c>
      <c r="G3485" s="26">
        <v>6.5920651631850173</v>
      </c>
      <c r="H3485" s="10" t="str">
        <f t="shared" si="54"/>
        <v>COSTOS</v>
      </c>
      <c r="I3485" s="20">
        <v>2026</v>
      </c>
    </row>
    <row r="3486" spans="1:9" hidden="1" x14ac:dyDescent="0.3">
      <c r="A3486" s="24" t="s">
        <v>104</v>
      </c>
      <c r="B3486" s="24" t="s">
        <v>28</v>
      </c>
      <c r="C3486" s="22">
        <v>4</v>
      </c>
      <c r="D3486" s="25">
        <v>51315</v>
      </c>
      <c r="E3486" s="25">
        <v>46001</v>
      </c>
      <c r="F3486" s="25">
        <v>-5314</v>
      </c>
      <c r="G3486" s="26">
        <v>0.89644353502874408</v>
      </c>
      <c r="H3486" s="10" t="str">
        <f t="shared" si="54"/>
        <v>COSTOS</v>
      </c>
      <c r="I3486" s="20">
        <v>2026</v>
      </c>
    </row>
    <row r="3487" spans="1:9" hidden="1" x14ac:dyDescent="0.3">
      <c r="A3487" s="24" t="s">
        <v>105</v>
      </c>
      <c r="B3487" s="24" t="s">
        <v>28</v>
      </c>
      <c r="C3487" s="22">
        <v>1</v>
      </c>
      <c r="D3487" s="25">
        <v>0</v>
      </c>
      <c r="E3487" s="25">
        <v>58950</v>
      </c>
      <c r="F3487" s="25">
        <v>58950</v>
      </c>
      <c r="G3487" s="26">
        <v>0</v>
      </c>
      <c r="H3487" s="10" t="str">
        <f t="shared" si="54"/>
        <v>COSTOS</v>
      </c>
      <c r="I3487" s="20">
        <v>2026</v>
      </c>
    </row>
    <row r="3488" spans="1:9" hidden="1" x14ac:dyDescent="0.3">
      <c r="A3488" s="24" t="s">
        <v>105</v>
      </c>
      <c r="B3488" s="24" t="s">
        <v>28</v>
      </c>
      <c r="C3488" s="22">
        <v>2</v>
      </c>
      <c r="D3488" s="25">
        <v>0</v>
      </c>
      <c r="E3488" s="25">
        <v>0</v>
      </c>
      <c r="F3488" s="25">
        <v>0</v>
      </c>
      <c r="G3488" s="26">
        <v>0</v>
      </c>
      <c r="H3488" s="10" t="str">
        <f t="shared" si="54"/>
        <v>COSTOS</v>
      </c>
      <c r="I3488" s="20">
        <v>2026</v>
      </c>
    </row>
    <row r="3489" spans="1:9" hidden="1" x14ac:dyDescent="0.3">
      <c r="A3489" s="23" t="s">
        <v>105</v>
      </c>
      <c r="B3489" s="23" t="s">
        <v>28</v>
      </c>
      <c r="C3489" s="22">
        <v>3</v>
      </c>
      <c r="D3489" s="25">
        <v>0</v>
      </c>
      <c r="E3489" s="25">
        <v>0</v>
      </c>
      <c r="F3489" s="25">
        <v>0</v>
      </c>
      <c r="G3489" s="26">
        <v>0</v>
      </c>
      <c r="H3489" s="10" t="str">
        <f t="shared" si="54"/>
        <v>COSTOS</v>
      </c>
      <c r="I3489" s="20">
        <v>2026</v>
      </c>
    </row>
    <row r="3490" spans="1:9" hidden="1" x14ac:dyDescent="0.3">
      <c r="A3490" s="24" t="s">
        <v>105</v>
      </c>
      <c r="B3490" s="24" t="s">
        <v>28</v>
      </c>
      <c r="C3490" s="22">
        <v>4</v>
      </c>
      <c r="D3490" s="25">
        <v>0</v>
      </c>
      <c r="E3490" s="25">
        <v>0</v>
      </c>
      <c r="F3490" s="25">
        <v>0</v>
      </c>
      <c r="G3490" s="26">
        <v>0</v>
      </c>
      <c r="H3490" s="10" t="str">
        <f t="shared" si="54"/>
        <v>COSTOS</v>
      </c>
      <c r="I3490" s="20">
        <v>2026</v>
      </c>
    </row>
    <row r="3491" spans="1:9" hidden="1" x14ac:dyDescent="0.3">
      <c r="A3491" s="24" t="s">
        <v>237</v>
      </c>
      <c r="B3491" s="24" t="s">
        <v>28</v>
      </c>
      <c r="C3491" s="22">
        <v>1</v>
      </c>
      <c r="D3491" s="25">
        <v>0</v>
      </c>
      <c r="E3491" s="25">
        <v>810238</v>
      </c>
      <c r="F3491" s="25">
        <v>810238</v>
      </c>
      <c r="G3491" s="26">
        <v>0</v>
      </c>
      <c r="H3491" s="10" t="str">
        <f t="shared" si="54"/>
        <v>COSTOS</v>
      </c>
      <c r="I3491" s="20">
        <v>2026</v>
      </c>
    </row>
    <row r="3492" spans="1:9" hidden="1" x14ac:dyDescent="0.3">
      <c r="A3492" s="24" t="s">
        <v>237</v>
      </c>
      <c r="B3492" s="24" t="s">
        <v>28</v>
      </c>
      <c r="C3492" s="22">
        <v>2</v>
      </c>
      <c r="D3492" s="25">
        <v>0</v>
      </c>
      <c r="E3492" s="25">
        <v>126050</v>
      </c>
      <c r="F3492" s="25">
        <v>126050</v>
      </c>
      <c r="G3492" s="26">
        <v>0</v>
      </c>
      <c r="H3492" s="10" t="str">
        <f t="shared" si="54"/>
        <v>COSTOS</v>
      </c>
      <c r="I3492" s="20">
        <v>2026</v>
      </c>
    </row>
    <row r="3493" spans="1:9" hidden="1" x14ac:dyDescent="0.3">
      <c r="A3493" s="23" t="s">
        <v>237</v>
      </c>
      <c r="B3493" s="23" t="s">
        <v>28</v>
      </c>
      <c r="C3493" s="22">
        <v>3</v>
      </c>
      <c r="D3493" s="25">
        <v>0</v>
      </c>
      <c r="E3493" s="25">
        <v>437319</v>
      </c>
      <c r="F3493" s="25">
        <v>437319</v>
      </c>
      <c r="G3493" s="26">
        <v>0</v>
      </c>
      <c r="H3493" s="10" t="str">
        <f t="shared" si="54"/>
        <v>COSTOS</v>
      </c>
      <c r="I3493" s="20">
        <v>2026</v>
      </c>
    </row>
    <row r="3494" spans="1:9" hidden="1" x14ac:dyDescent="0.3">
      <c r="A3494" s="24" t="s">
        <v>237</v>
      </c>
      <c r="B3494" s="24" t="s">
        <v>28</v>
      </c>
      <c r="C3494" s="22">
        <v>4</v>
      </c>
      <c r="D3494" s="25">
        <v>0</v>
      </c>
      <c r="E3494" s="25">
        <v>0</v>
      </c>
      <c r="F3494" s="25">
        <v>0</v>
      </c>
      <c r="G3494" s="26">
        <v>0</v>
      </c>
      <c r="H3494" s="10" t="str">
        <f t="shared" si="54"/>
        <v>COSTOS</v>
      </c>
      <c r="I3494" s="20">
        <v>2026</v>
      </c>
    </row>
    <row r="3495" spans="1:9" hidden="1" x14ac:dyDescent="0.3">
      <c r="A3495" s="24" t="s">
        <v>64</v>
      </c>
      <c r="B3495" s="24" t="s">
        <v>28</v>
      </c>
      <c r="C3495" s="22">
        <v>1</v>
      </c>
      <c r="D3495" s="25">
        <v>32585</v>
      </c>
      <c r="E3495" s="25">
        <v>32585</v>
      </c>
      <c r="F3495" s="25">
        <v>0</v>
      </c>
      <c r="G3495" s="26">
        <v>1</v>
      </c>
      <c r="H3495" s="10" t="str">
        <f t="shared" si="54"/>
        <v>COSTOS</v>
      </c>
      <c r="I3495" s="20">
        <v>2026</v>
      </c>
    </row>
    <row r="3496" spans="1:9" hidden="1" x14ac:dyDescent="0.3">
      <c r="A3496" s="24" t="s">
        <v>64</v>
      </c>
      <c r="B3496" s="24" t="s">
        <v>28</v>
      </c>
      <c r="C3496" s="22">
        <v>2</v>
      </c>
      <c r="D3496" s="25">
        <v>22880</v>
      </c>
      <c r="E3496" s="25">
        <v>22880</v>
      </c>
      <c r="F3496" s="25">
        <v>0</v>
      </c>
      <c r="G3496" s="26">
        <v>1</v>
      </c>
      <c r="H3496" s="10" t="str">
        <f t="shared" si="54"/>
        <v>COSTOS</v>
      </c>
      <c r="I3496" s="20">
        <v>2026</v>
      </c>
    </row>
    <row r="3497" spans="1:9" hidden="1" x14ac:dyDescent="0.3">
      <c r="A3497" s="23" t="s">
        <v>64</v>
      </c>
      <c r="B3497" s="23" t="s">
        <v>28</v>
      </c>
      <c r="C3497" s="22">
        <v>3</v>
      </c>
      <c r="D3497" s="25">
        <v>30187</v>
      </c>
      <c r="E3497" s="25">
        <v>30187</v>
      </c>
      <c r="F3497" s="25">
        <v>0</v>
      </c>
      <c r="G3497" s="26">
        <v>1</v>
      </c>
      <c r="H3497" s="10" t="str">
        <f t="shared" si="54"/>
        <v>COSTOS</v>
      </c>
      <c r="I3497" s="20">
        <v>2026</v>
      </c>
    </row>
    <row r="3498" spans="1:9" hidden="1" x14ac:dyDescent="0.3">
      <c r="A3498" s="24" t="s">
        <v>64</v>
      </c>
      <c r="B3498" s="24" t="s">
        <v>28</v>
      </c>
      <c r="C3498" s="22">
        <v>4</v>
      </c>
      <c r="D3498" s="25">
        <v>36801</v>
      </c>
      <c r="E3498" s="25">
        <v>36801</v>
      </c>
      <c r="F3498" s="25">
        <v>0</v>
      </c>
      <c r="G3498" s="26">
        <v>1</v>
      </c>
      <c r="H3498" s="10" t="str">
        <f t="shared" si="54"/>
        <v>COSTOS</v>
      </c>
      <c r="I3498" s="20">
        <v>2026</v>
      </c>
    </row>
    <row r="3499" spans="1:9" hidden="1" x14ac:dyDescent="0.3">
      <c r="A3499" s="24" t="s">
        <v>67</v>
      </c>
      <c r="B3499" s="24" t="s">
        <v>28</v>
      </c>
      <c r="C3499" s="22">
        <v>1</v>
      </c>
      <c r="D3499" s="25">
        <v>301224</v>
      </c>
      <c r="E3499" s="25">
        <v>308215</v>
      </c>
      <c r="F3499" s="25">
        <v>6991</v>
      </c>
      <c r="G3499" s="26">
        <v>1.0232086420736728</v>
      </c>
      <c r="H3499" s="10" t="str">
        <f t="shared" si="54"/>
        <v>COSTOS</v>
      </c>
      <c r="I3499" s="20">
        <v>2026</v>
      </c>
    </row>
    <row r="3500" spans="1:9" hidden="1" x14ac:dyDescent="0.3">
      <c r="A3500" s="24" t="s">
        <v>67</v>
      </c>
      <c r="B3500" s="24" t="s">
        <v>28</v>
      </c>
      <c r="C3500" s="22">
        <v>2</v>
      </c>
      <c r="D3500" s="25">
        <v>301224</v>
      </c>
      <c r="E3500" s="25">
        <v>82381</v>
      </c>
      <c r="F3500" s="25">
        <v>-218843</v>
      </c>
      <c r="G3500" s="26">
        <v>0.27348750431572516</v>
      </c>
      <c r="H3500" s="10" t="str">
        <f t="shared" si="54"/>
        <v>COSTOS</v>
      </c>
      <c r="I3500" s="20">
        <v>2026</v>
      </c>
    </row>
    <row r="3501" spans="1:9" hidden="1" x14ac:dyDescent="0.3">
      <c r="A3501" s="23" t="s">
        <v>67</v>
      </c>
      <c r="B3501" s="23" t="s">
        <v>28</v>
      </c>
      <c r="C3501" s="22">
        <v>3</v>
      </c>
      <c r="D3501" s="25">
        <v>301224</v>
      </c>
      <c r="E3501" s="25">
        <v>204755</v>
      </c>
      <c r="F3501" s="25">
        <v>-96469</v>
      </c>
      <c r="G3501" s="26">
        <v>0.67974331394576792</v>
      </c>
      <c r="H3501" s="10" t="str">
        <f t="shared" si="54"/>
        <v>COSTOS</v>
      </c>
      <c r="I3501" s="20">
        <v>2026</v>
      </c>
    </row>
    <row r="3502" spans="1:9" hidden="1" x14ac:dyDescent="0.3">
      <c r="A3502" s="24" t="s">
        <v>67</v>
      </c>
      <c r="B3502" s="24" t="s">
        <v>28</v>
      </c>
      <c r="C3502" s="22">
        <v>4</v>
      </c>
      <c r="D3502" s="25">
        <v>301224</v>
      </c>
      <c r="E3502" s="25">
        <v>108379</v>
      </c>
      <c r="F3502" s="25">
        <v>-192845</v>
      </c>
      <c r="G3502" s="26">
        <v>0.35979536823095104</v>
      </c>
      <c r="H3502" s="10" t="str">
        <f t="shared" ref="H3502:H3565" si="55">+IF(OR(A3502="ADMINISTRACION",A3502="COMERCIAL",A3502="COMERCIAL-EXPORTACIONES",A3502="LEASING DE LA BODEGA",A3502="LOGISTICA-SALIDA",A3502="OTROS GASTOS",A3502="BODEGA ALQUILADA", A3502="BODEGA CARTOPLAST", A3502="BODEGA CARTOPLAS", A3502= "GESTION HUMANA-OTROS GASTOS",A3502="FAMILIA"),"GASTOS","COSTOS")</f>
        <v>COSTOS</v>
      </c>
      <c r="I3502" s="20">
        <v>2026</v>
      </c>
    </row>
    <row r="3503" spans="1:9" x14ac:dyDescent="0.3">
      <c r="A3503" s="24" t="s">
        <v>113</v>
      </c>
      <c r="B3503" s="24" t="s">
        <v>28</v>
      </c>
      <c r="C3503" s="22">
        <v>1</v>
      </c>
      <c r="D3503" s="25">
        <v>31688</v>
      </c>
      <c r="E3503" s="25">
        <v>32585</v>
      </c>
      <c r="F3503" s="25">
        <v>897</v>
      </c>
      <c r="G3503" s="26">
        <v>1.0283072456450393</v>
      </c>
      <c r="H3503" s="10" t="str">
        <f t="shared" si="55"/>
        <v>COSTOS</v>
      </c>
      <c r="I3503" s="20">
        <v>2026</v>
      </c>
    </row>
    <row r="3504" spans="1:9" x14ac:dyDescent="0.3">
      <c r="A3504" s="24" t="s">
        <v>113</v>
      </c>
      <c r="B3504" s="24" t="s">
        <v>28</v>
      </c>
      <c r="C3504" s="22">
        <v>2</v>
      </c>
      <c r="D3504" s="25">
        <v>36094</v>
      </c>
      <c r="E3504" s="25">
        <v>28600</v>
      </c>
      <c r="F3504" s="25">
        <v>-7494</v>
      </c>
      <c r="G3504" s="26">
        <v>0.79237546406604975</v>
      </c>
      <c r="H3504" s="10" t="str">
        <f t="shared" si="55"/>
        <v>COSTOS</v>
      </c>
      <c r="I3504" s="20">
        <v>2026</v>
      </c>
    </row>
    <row r="3505" spans="1:9" x14ac:dyDescent="0.3">
      <c r="A3505" s="23" t="s">
        <v>113</v>
      </c>
      <c r="B3505" s="23" t="s">
        <v>28</v>
      </c>
      <c r="C3505" s="22">
        <v>3</v>
      </c>
      <c r="D3505" s="25">
        <v>57615</v>
      </c>
      <c r="E3505" s="25">
        <v>83900</v>
      </c>
      <c r="F3505" s="25">
        <v>26285</v>
      </c>
      <c r="G3505" s="26">
        <v>1.4562179987850388</v>
      </c>
      <c r="H3505" s="10" t="str">
        <f t="shared" si="55"/>
        <v>COSTOS</v>
      </c>
      <c r="I3505" s="20">
        <v>2026</v>
      </c>
    </row>
    <row r="3506" spans="1:9" x14ac:dyDescent="0.3">
      <c r="A3506" s="24" t="s">
        <v>113</v>
      </c>
      <c r="B3506" s="24" t="s">
        <v>28</v>
      </c>
      <c r="C3506" s="22">
        <v>4</v>
      </c>
      <c r="D3506" s="25">
        <v>122309</v>
      </c>
      <c r="E3506" s="25">
        <v>72001</v>
      </c>
      <c r="F3506" s="25">
        <v>-50308</v>
      </c>
      <c r="G3506" s="26">
        <v>0.5886811273087017</v>
      </c>
      <c r="H3506" s="10" t="str">
        <f t="shared" si="55"/>
        <v>COSTOS</v>
      </c>
      <c r="I3506" s="20">
        <v>2026</v>
      </c>
    </row>
    <row r="3507" spans="1:9" x14ac:dyDescent="0.3">
      <c r="A3507" s="24" t="s">
        <v>129</v>
      </c>
      <c r="B3507" s="24" t="s">
        <v>28</v>
      </c>
      <c r="C3507" s="22">
        <v>4</v>
      </c>
      <c r="D3507" s="25">
        <v>0</v>
      </c>
      <c r="E3507" s="25">
        <v>30000</v>
      </c>
      <c r="F3507" s="25">
        <v>30000</v>
      </c>
      <c r="G3507" s="26">
        <v>0</v>
      </c>
      <c r="H3507" s="10" t="str">
        <f t="shared" si="55"/>
        <v>COSTOS</v>
      </c>
      <c r="I3507" s="20">
        <v>2026</v>
      </c>
    </row>
    <row r="3508" spans="1:9" x14ac:dyDescent="0.3">
      <c r="A3508" s="24" t="s">
        <v>135</v>
      </c>
      <c r="B3508" s="24" t="s">
        <v>28</v>
      </c>
      <c r="C3508" s="22">
        <v>1</v>
      </c>
      <c r="D3508" s="25">
        <v>0</v>
      </c>
      <c r="E3508" s="25">
        <v>209244</v>
      </c>
      <c r="F3508" s="25">
        <v>209244</v>
      </c>
      <c r="G3508" s="26">
        <v>0</v>
      </c>
      <c r="H3508" s="10" t="str">
        <f t="shared" si="55"/>
        <v>COSTOS</v>
      </c>
      <c r="I3508" s="20">
        <v>2026</v>
      </c>
    </row>
    <row r="3509" spans="1:9" x14ac:dyDescent="0.3">
      <c r="A3509" s="23" t="s">
        <v>135</v>
      </c>
      <c r="B3509" s="23" t="s">
        <v>28</v>
      </c>
      <c r="C3509" s="22">
        <v>2</v>
      </c>
      <c r="D3509" s="25">
        <v>0</v>
      </c>
      <c r="E3509" s="25">
        <v>36555</v>
      </c>
      <c r="F3509" s="25">
        <v>36555</v>
      </c>
      <c r="G3509" s="26">
        <v>0</v>
      </c>
      <c r="H3509" s="10" t="str">
        <f t="shared" si="55"/>
        <v>COSTOS</v>
      </c>
      <c r="I3509" s="20">
        <v>2026</v>
      </c>
    </row>
    <row r="3510" spans="1:9" x14ac:dyDescent="0.3">
      <c r="A3510" s="24" t="s">
        <v>135</v>
      </c>
      <c r="B3510" s="24" t="s">
        <v>28</v>
      </c>
      <c r="C3510" s="22">
        <v>3</v>
      </c>
      <c r="D3510" s="25">
        <v>0</v>
      </c>
      <c r="E3510" s="25">
        <v>252941</v>
      </c>
      <c r="F3510" s="25">
        <v>252941</v>
      </c>
      <c r="G3510" s="26">
        <v>0</v>
      </c>
      <c r="H3510" s="10" t="str">
        <f t="shared" si="55"/>
        <v>COSTOS</v>
      </c>
      <c r="I3510" s="20">
        <v>2026</v>
      </c>
    </row>
    <row r="3511" spans="1:9" x14ac:dyDescent="0.3">
      <c r="A3511" s="24" t="s">
        <v>135</v>
      </c>
      <c r="B3511" s="24" t="s">
        <v>28</v>
      </c>
      <c r="C3511" s="22">
        <v>4</v>
      </c>
      <c r="D3511" s="25">
        <v>0</v>
      </c>
      <c r="E3511" s="25">
        <v>72269</v>
      </c>
      <c r="F3511" s="25">
        <v>72269</v>
      </c>
      <c r="G3511" s="26">
        <v>0</v>
      </c>
      <c r="H3511" s="10" t="str">
        <f t="shared" si="55"/>
        <v>COSTOS</v>
      </c>
      <c r="I3511" s="20">
        <v>2026</v>
      </c>
    </row>
    <row r="3512" spans="1:9" x14ac:dyDescent="0.3">
      <c r="A3512" s="24" t="s">
        <v>139</v>
      </c>
      <c r="B3512" s="24" t="s">
        <v>28</v>
      </c>
      <c r="C3512" s="22">
        <v>3</v>
      </c>
      <c r="D3512" s="25">
        <v>0</v>
      </c>
      <c r="E3512" s="25">
        <v>277311</v>
      </c>
      <c r="F3512" s="25">
        <v>277311</v>
      </c>
      <c r="G3512" s="26">
        <v>0</v>
      </c>
      <c r="H3512" s="10" t="str">
        <f t="shared" si="55"/>
        <v>COSTOS</v>
      </c>
      <c r="I3512" s="20">
        <v>2026</v>
      </c>
    </row>
    <row r="3513" spans="1:9" x14ac:dyDescent="0.3">
      <c r="A3513" s="23" t="s">
        <v>139</v>
      </c>
      <c r="B3513" s="23" t="s">
        <v>28</v>
      </c>
      <c r="C3513" s="22">
        <v>4</v>
      </c>
      <c r="D3513" s="25">
        <v>0</v>
      </c>
      <c r="E3513" s="25">
        <v>0</v>
      </c>
      <c r="F3513" s="25">
        <v>0</v>
      </c>
      <c r="G3513" s="26">
        <v>0</v>
      </c>
      <c r="H3513" s="10" t="str">
        <f t="shared" si="55"/>
        <v>COSTOS</v>
      </c>
      <c r="I3513" s="20">
        <v>2026</v>
      </c>
    </row>
    <row r="3514" spans="1:9" hidden="1" x14ac:dyDescent="0.3">
      <c r="A3514" s="24" t="s">
        <v>146</v>
      </c>
      <c r="B3514" s="24" t="s">
        <v>28</v>
      </c>
      <c r="C3514" s="22">
        <v>1</v>
      </c>
      <c r="D3514" s="25">
        <v>97753</v>
      </c>
      <c r="E3514" s="25">
        <v>97753</v>
      </c>
      <c r="F3514" s="25">
        <v>0</v>
      </c>
      <c r="G3514" s="26">
        <v>1</v>
      </c>
      <c r="H3514" s="10" t="str">
        <f t="shared" si="55"/>
        <v>COSTOS</v>
      </c>
      <c r="I3514" s="20">
        <v>2026</v>
      </c>
    </row>
    <row r="3515" spans="1:9" hidden="1" x14ac:dyDescent="0.3">
      <c r="A3515" s="24" t="s">
        <v>146</v>
      </c>
      <c r="B3515" s="24" t="s">
        <v>28</v>
      </c>
      <c r="C3515" s="22">
        <v>2</v>
      </c>
      <c r="D3515" s="25">
        <v>420280</v>
      </c>
      <c r="E3515" s="25">
        <v>420280</v>
      </c>
      <c r="F3515" s="25">
        <v>0</v>
      </c>
      <c r="G3515" s="26">
        <v>1</v>
      </c>
      <c r="H3515" s="10" t="str">
        <f t="shared" si="55"/>
        <v>COSTOS</v>
      </c>
      <c r="I3515" s="20">
        <v>2026</v>
      </c>
    </row>
    <row r="3516" spans="1:9" hidden="1" x14ac:dyDescent="0.3">
      <c r="A3516" s="24" t="s">
        <v>146</v>
      </c>
      <c r="B3516" s="24" t="s">
        <v>28</v>
      </c>
      <c r="C3516" s="22">
        <v>3</v>
      </c>
      <c r="D3516" s="25">
        <v>208073</v>
      </c>
      <c r="E3516" s="25">
        <v>208073</v>
      </c>
      <c r="F3516" s="25">
        <v>0</v>
      </c>
      <c r="G3516" s="26">
        <v>1</v>
      </c>
      <c r="H3516" s="10" t="str">
        <f t="shared" si="55"/>
        <v>COSTOS</v>
      </c>
      <c r="I3516" s="20">
        <v>2026</v>
      </c>
    </row>
    <row r="3517" spans="1:9" hidden="1" x14ac:dyDescent="0.3">
      <c r="A3517" s="23" t="s">
        <v>146</v>
      </c>
      <c r="B3517" s="23" t="s">
        <v>28</v>
      </c>
      <c r="C3517" s="22">
        <v>4</v>
      </c>
      <c r="D3517" s="25">
        <v>230911</v>
      </c>
      <c r="E3517" s="25">
        <v>235802</v>
      </c>
      <c r="F3517" s="25">
        <v>4891</v>
      </c>
      <c r="G3517" s="26">
        <v>1.0211813209418348</v>
      </c>
      <c r="H3517" s="10" t="str">
        <f t="shared" si="55"/>
        <v>COSTOS</v>
      </c>
      <c r="I3517" s="20">
        <v>2026</v>
      </c>
    </row>
    <row r="3518" spans="1:9" hidden="1" x14ac:dyDescent="0.3">
      <c r="A3518" s="24" t="s">
        <v>147</v>
      </c>
      <c r="B3518" s="24" t="s">
        <v>28</v>
      </c>
      <c r="C3518" s="22">
        <v>1</v>
      </c>
      <c r="D3518" s="25">
        <v>699242</v>
      </c>
      <c r="E3518" s="25">
        <v>699242</v>
      </c>
      <c r="F3518" s="25">
        <v>0</v>
      </c>
      <c r="G3518" s="26">
        <v>1</v>
      </c>
      <c r="H3518" s="10" t="str">
        <f t="shared" si="55"/>
        <v>COSTOS</v>
      </c>
      <c r="I3518" s="20">
        <v>2026</v>
      </c>
    </row>
    <row r="3519" spans="1:9" hidden="1" x14ac:dyDescent="0.3">
      <c r="A3519" s="24" t="s">
        <v>147</v>
      </c>
      <c r="B3519" s="24" t="s">
        <v>28</v>
      </c>
      <c r="C3519" s="22">
        <v>2</v>
      </c>
      <c r="D3519" s="25">
        <v>1704194</v>
      </c>
      <c r="E3519" s="25">
        <v>1704194</v>
      </c>
      <c r="F3519" s="25">
        <v>0</v>
      </c>
      <c r="G3519" s="26">
        <v>1</v>
      </c>
      <c r="H3519" s="10" t="str">
        <f t="shared" si="55"/>
        <v>COSTOS</v>
      </c>
      <c r="I3519" s="20">
        <v>2026</v>
      </c>
    </row>
    <row r="3520" spans="1:9" hidden="1" x14ac:dyDescent="0.3">
      <c r="A3520" s="24" t="s">
        <v>147</v>
      </c>
      <c r="B3520" s="24" t="s">
        <v>28</v>
      </c>
      <c r="C3520" s="22">
        <v>3</v>
      </c>
      <c r="D3520" s="25">
        <v>128543</v>
      </c>
      <c r="E3520" s="25">
        <v>128543</v>
      </c>
      <c r="F3520" s="25">
        <v>0</v>
      </c>
      <c r="G3520" s="26">
        <v>1</v>
      </c>
      <c r="H3520" s="10" t="str">
        <f t="shared" si="55"/>
        <v>COSTOS</v>
      </c>
      <c r="I3520" s="20">
        <v>2026</v>
      </c>
    </row>
    <row r="3521" spans="1:9" hidden="1" x14ac:dyDescent="0.3">
      <c r="A3521" s="23" t="s">
        <v>147</v>
      </c>
      <c r="B3521" s="23" t="s">
        <v>28</v>
      </c>
      <c r="C3521" s="22">
        <v>4</v>
      </c>
      <c r="D3521" s="25">
        <v>410852</v>
      </c>
      <c r="E3521" s="25">
        <v>410852</v>
      </c>
      <c r="F3521" s="25">
        <v>0</v>
      </c>
      <c r="G3521" s="26">
        <v>1</v>
      </c>
      <c r="H3521" s="10" t="str">
        <f t="shared" si="55"/>
        <v>COSTOS</v>
      </c>
      <c r="I3521" s="20">
        <v>2026</v>
      </c>
    </row>
    <row r="3522" spans="1:9" x14ac:dyDescent="0.3">
      <c r="A3522" s="24" t="s">
        <v>131</v>
      </c>
      <c r="B3522" s="24" t="s">
        <v>52</v>
      </c>
      <c r="C3522" s="22">
        <v>1</v>
      </c>
      <c r="D3522" s="25">
        <v>0</v>
      </c>
      <c r="E3522" s="25">
        <v>0</v>
      </c>
      <c r="F3522" s="25">
        <v>0</v>
      </c>
      <c r="G3522" s="26">
        <v>0</v>
      </c>
      <c r="H3522" s="10" t="str">
        <f t="shared" si="55"/>
        <v>COSTOS</v>
      </c>
      <c r="I3522" s="20">
        <v>2026</v>
      </c>
    </row>
    <row r="3523" spans="1:9" x14ac:dyDescent="0.3">
      <c r="A3523" s="24" t="s">
        <v>131</v>
      </c>
      <c r="B3523" s="24" t="s">
        <v>52</v>
      </c>
      <c r="C3523" s="22">
        <v>2</v>
      </c>
      <c r="D3523" s="25">
        <v>0</v>
      </c>
      <c r="E3523" s="25">
        <v>4015000</v>
      </c>
      <c r="F3523" s="25">
        <v>4015000</v>
      </c>
      <c r="G3523" s="26">
        <v>0</v>
      </c>
      <c r="H3523" s="10" t="str">
        <f t="shared" si="55"/>
        <v>COSTOS</v>
      </c>
      <c r="I3523" s="20">
        <v>2026</v>
      </c>
    </row>
    <row r="3524" spans="1:9" x14ac:dyDescent="0.3">
      <c r="A3524" s="24" t="s">
        <v>131</v>
      </c>
      <c r="B3524" s="24" t="s">
        <v>52</v>
      </c>
      <c r="C3524" s="22">
        <v>3</v>
      </c>
      <c r="D3524" s="25">
        <v>4097000</v>
      </c>
      <c r="E3524" s="25">
        <v>4685000</v>
      </c>
      <c r="F3524" s="25">
        <v>588000</v>
      </c>
      <c r="G3524" s="26">
        <v>1.1435196485233099</v>
      </c>
      <c r="H3524" s="10" t="str">
        <f t="shared" si="55"/>
        <v>COSTOS</v>
      </c>
      <c r="I3524" s="20">
        <v>2026</v>
      </c>
    </row>
    <row r="3525" spans="1:9" x14ac:dyDescent="0.3">
      <c r="A3525" s="23" t="s">
        <v>131</v>
      </c>
      <c r="B3525" s="23" t="s">
        <v>52</v>
      </c>
      <c r="C3525" s="22">
        <v>4</v>
      </c>
      <c r="D3525" s="25">
        <v>0</v>
      </c>
      <c r="E3525" s="25">
        <v>0</v>
      </c>
      <c r="F3525" s="25">
        <v>0</v>
      </c>
      <c r="G3525" s="26">
        <v>0</v>
      </c>
      <c r="H3525" s="10" t="str">
        <f t="shared" si="55"/>
        <v>COSTOS</v>
      </c>
      <c r="I3525" s="20">
        <v>2026</v>
      </c>
    </row>
    <row r="3526" spans="1:9" x14ac:dyDescent="0.3">
      <c r="A3526" s="24" t="s">
        <v>139</v>
      </c>
      <c r="B3526" s="24" t="s">
        <v>52</v>
      </c>
      <c r="C3526" s="22">
        <v>1</v>
      </c>
      <c r="D3526" s="25">
        <v>1300000</v>
      </c>
      <c r="E3526" s="25">
        <v>0</v>
      </c>
      <c r="F3526" s="25">
        <v>-1300000</v>
      </c>
      <c r="G3526" s="26">
        <v>0</v>
      </c>
      <c r="H3526" s="10" t="str">
        <f t="shared" si="55"/>
        <v>COSTOS</v>
      </c>
      <c r="I3526" s="20">
        <v>2026</v>
      </c>
    </row>
    <row r="3527" spans="1:9" x14ac:dyDescent="0.3">
      <c r="A3527" s="24" t="s">
        <v>139</v>
      </c>
      <c r="B3527" s="24" t="s">
        <v>52</v>
      </c>
      <c r="C3527" s="22">
        <v>2</v>
      </c>
      <c r="D3527" s="25">
        <v>0</v>
      </c>
      <c r="E3527" s="25">
        <v>0</v>
      </c>
      <c r="F3527" s="25">
        <v>0</v>
      </c>
      <c r="G3527" s="26">
        <v>0</v>
      </c>
      <c r="H3527" s="10" t="str">
        <f t="shared" si="55"/>
        <v>COSTOS</v>
      </c>
      <c r="I3527" s="20">
        <v>2026</v>
      </c>
    </row>
    <row r="3528" spans="1:9" x14ac:dyDescent="0.3">
      <c r="A3528" s="24" t="s">
        <v>139</v>
      </c>
      <c r="B3528" s="24" t="s">
        <v>52</v>
      </c>
      <c r="C3528" s="22">
        <v>3</v>
      </c>
      <c r="D3528" s="25">
        <v>0</v>
      </c>
      <c r="E3528" s="25">
        <v>0</v>
      </c>
      <c r="F3528" s="25">
        <v>0</v>
      </c>
      <c r="G3528" s="26">
        <v>0</v>
      </c>
      <c r="H3528" s="10" t="str">
        <f t="shared" si="55"/>
        <v>COSTOS</v>
      </c>
      <c r="I3528" s="20">
        <v>2026</v>
      </c>
    </row>
    <row r="3529" spans="1:9" x14ac:dyDescent="0.3">
      <c r="A3529" s="23" t="s">
        <v>139</v>
      </c>
      <c r="B3529" s="23" t="s">
        <v>52</v>
      </c>
      <c r="C3529" s="22">
        <v>4</v>
      </c>
      <c r="D3529" s="25">
        <v>1300000</v>
      </c>
      <c r="E3529" s="25">
        <v>0</v>
      </c>
      <c r="F3529" s="25">
        <v>-1300000</v>
      </c>
      <c r="G3529" s="26">
        <v>0</v>
      </c>
      <c r="H3529" s="10" t="str">
        <f t="shared" si="55"/>
        <v>COSTOS</v>
      </c>
      <c r="I3529" s="20">
        <v>2026</v>
      </c>
    </row>
    <row r="3530" spans="1:9" hidden="1" x14ac:dyDescent="0.3">
      <c r="A3530" s="24" t="s">
        <v>93</v>
      </c>
      <c r="B3530" s="24" t="s">
        <v>29</v>
      </c>
      <c r="C3530" s="22">
        <v>1</v>
      </c>
      <c r="D3530" s="25">
        <v>0</v>
      </c>
      <c r="E3530" s="25">
        <v>0</v>
      </c>
      <c r="F3530" s="25">
        <v>0</v>
      </c>
      <c r="G3530" s="26">
        <v>0</v>
      </c>
      <c r="H3530" s="10" t="str">
        <f t="shared" si="55"/>
        <v>COSTOS</v>
      </c>
      <c r="I3530" s="20">
        <v>2026</v>
      </c>
    </row>
    <row r="3531" spans="1:9" hidden="1" x14ac:dyDescent="0.3">
      <c r="A3531" s="24" t="s">
        <v>93</v>
      </c>
      <c r="B3531" s="24" t="s">
        <v>29</v>
      </c>
      <c r="C3531" s="22">
        <v>2</v>
      </c>
      <c r="D3531" s="25">
        <v>0</v>
      </c>
      <c r="E3531" s="25">
        <v>0</v>
      </c>
      <c r="F3531" s="25">
        <v>0</v>
      </c>
      <c r="G3531" s="26">
        <v>0</v>
      </c>
      <c r="H3531" s="10" t="str">
        <f t="shared" si="55"/>
        <v>COSTOS</v>
      </c>
      <c r="I3531" s="20">
        <v>2026</v>
      </c>
    </row>
    <row r="3532" spans="1:9" hidden="1" x14ac:dyDescent="0.3">
      <c r="A3532" s="24" t="s">
        <v>93</v>
      </c>
      <c r="B3532" s="24" t="s">
        <v>29</v>
      </c>
      <c r="C3532" s="22">
        <v>3</v>
      </c>
      <c r="D3532" s="25">
        <v>200470</v>
      </c>
      <c r="E3532" s="25">
        <v>238500</v>
      </c>
      <c r="F3532" s="25">
        <v>38030</v>
      </c>
      <c r="G3532" s="26">
        <v>1.1897041951414178</v>
      </c>
      <c r="H3532" s="10" t="str">
        <f t="shared" si="55"/>
        <v>COSTOS</v>
      </c>
      <c r="I3532" s="20">
        <v>2026</v>
      </c>
    </row>
    <row r="3533" spans="1:9" hidden="1" x14ac:dyDescent="0.3">
      <c r="A3533" s="23" t="s">
        <v>93</v>
      </c>
      <c r="B3533" s="23" t="s">
        <v>29</v>
      </c>
      <c r="C3533" s="22">
        <v>4</v>
      </c>
      <c r="D3533" s="25">
        <v>16294</v>
      </c>
      <c r="E3533" s="25">
        <v>0</v>
      </c>
      <c r="F3533" s="25">
        <v>-16294</v>
      </c>
      <c r="G3533" s="26">
        <v>0</v>
      </c>
      <c r="H3533" s="10" t="str">
        <f t="shared" si="55"/>
        <v>COSTOS</v>
      </c>
      <c r="I3533" s="20">
        <v>2026</v>
      </c>
    </row>
    <row r="3534" spans="1:9" hidden="1" x14ac:dyDescent="0.3">
      <c r="A3534" s="24" t="s">
        <v>245</v>
      </c>
      <c r="B3534" s="24" t="s">
        <v>29</v>
      </c>
      <c r="C3534" s="22">
        <v>1</v>
      </c>
      <c r="D3534" s="25">
        <v>0</v>
      </c>
      <c r="E3534" s="25">
        <v>0</v>
      </c>
      <c r="F3534" s="25">
        <v>0</v>
      </c>
      <c r="G3534" s="26">
        <v>0</v>
      </c>
      <c r="H3534" s="10" t="str">
        <f t="shared" si="55"/>
        <v>COSTOS</v>
      </c>
      <c r="I3534" s="20">
        <v>2026</v>
      </c>
    </row>
    <row r="3535" spans="1:9" hidden="1" x14ac:dyDescent="0.3">
      <c r="A3535" s="24" t="s">
        <v>245</v>
      </c>
      <c r="B3535" s="24" t="s">
        <v>29</v>
      </c>
      <c r="C3535" s="22">
        <v>2</v>
      </c>
      <c r="D3535" s="25">
        <v>0</v>
      </c>
      <c r="E3535" s="25">
        <v>0</v>
      </c>
      <c r="F3535" s="25">
        <v>0</v>
      </c>
      <c r="G3535" s="26">
        <v>0</v>
      </c>
      <c r="H3535" s="10" t="str">
        <f t="shared" si="55"/>
        <v>COSTOS</v>
      </c>
      <c r="I3535" s="20">
        <v>2026</v>
      </c>
    </row>
    <row r="3536" spans="1:9" hidden="1" x14ac:dyDescent="0.3">
      <c r="A3536" s="24" t="s">
        <v>245</v>
      </c>
      <c r="B3536" s="24" t="s">
        <v>29</v>
      </c>
      <c r="C3536" s="22">
        <v>3</v>
      </c>
      <c r="D3536" s="25">
        <v>0</v>
      </c>
      <c r="E3536" s="25">
        <v>0</v>
      </c>
      <c r="F3536" s="25">
        <v>0</v>
      </c>
      <c r="G3536" s="26">
        <v>0</v>
      </c>
      <c r="H3536" s="10" t="str">
        <f t="shared" si="55"/>
        <v>COSTOS</v>
      </c>
      <c r="I3536" s="20">
        <v>2026</v>
      </c>
    </row>
    <row r="3537" spans="1:9" hidden="1" x14ac:dyDescent="0.3">
      <c r="A3537" s="23" t="s">
        <v>245</v>
      </c>
      <c r="B3537" s="23" t="s">
        <v>29</v>
      </c>
      <c r="C3537" s="22">
        <v>4</v>
      </c>
      <c r="D3537" s="25">
        <v>0</v>
      </c>
      <c r="E3537" s="25">
        <v>0</v>
      </c>
      <c r="F3537" s="25">
        <v>0</v>
      </c>
      <c r="G3537" s="26">
        <v>0</v>
      </c>
      <c r="H3537" s="10" t="str">
        <f t="shared" si="55"/>
        <v>COSTOS</v>
      </c>
      <c r="I3537" s="20">
        <v>2026</v>
      </c>
    </row>
    <row r="3538" spans="1:9" hidden="1" x14ac:dyDescent="0.3">
      <c r="A3538" s="24" t="s">
        <v>101</v>
      </c>
      <c r="B3538" s="24" t="s">
        <v>29</v>
      </c>
      <c r="C3538" s="22">
        <v>1</v>
      </c>
      <c r="D3538" s="25">
        <v>23000</v>
      </c>
      <c r="E3538" s="25">
        <v>23000</v>
      </c>
      <c r="F3538" s="25">
        <v>0</v>
      </c>
      <c r="G3538" s="26">
        <v>1</v>
      </c>
      <c r="H3538" s="10" t="str">
        <f t="shared" si="55"/>
        <v>COSTOS</v>
      </c>
      <c r="I3538" s="20">
        <v>2026</v>
      </c>
    </row>
    <row r="3539" spans="1:9" hidden="1" x14ac:dyDescent="0.3">
      <c r="A3539" s="24" t="s">
        <v>101</v>
      </c>
      <c r="B3539" s="24" t="s">
        <v>29</v>
      </c>
      <c r="C3539" s="22">
        <v>2</v>
      </c>
      <c r="D3539" s="25">
        <v>3285247</v>
      </c>
      <c r="E3539" s="25">
        <v>3285247</v>
      </c>
      <c r="F3539" s="25">
        <v>0</v>
      </c>
      <c r="G3539" s="26">
        <v>1</v>
      </c>
      <c r="H3539" s="10" t="str">
        <f t="shared" si="55"/>
        <v>COSTOS</v>
      </c>
      <c r="I3539" s="20">
        <v>2026</v>
      </c>
    </row>
    <row r="3540" spans="1:9" hidden="1" x14ac:dyDescent="0.3">
      <c r="A3540" s="24" t="s">
        <v>101</v>
      </c>
      <c r="B3540" s="24" t="s">
        <v>29</v>
      </c>
      <c r="C3540" s="22">
        <v>3</v>
      </c>
      <c r="D3540" s="25">
        <v>224000</v>
      </c>
      <c r="E3540" s="25">
        <v>224000</v>
      </c>
      <c r="F3540" s="25">
        <v>0</v>
      </c>
      <c r="G3540" s="26">
        <v>1</v>
      </c>
      <c r="H3540" s="10" t="str">
        <f t="shared" si="55"/>
        <v>COSTOS</v>
      </c>
      <c r="I3540" s="20">
        <v>2026</v>
      </c>
    </row>
    <row r="3541" spans="1:9" hidden="1" x14ac:dyDescent="0.3">
      <c r="A3541" s="23" t="s">
        <v>101</v>
      </c>
      <c r="B3541" s="23" t="s">
        <v>29</v>
      </c>
      <c r="C3541" s="22">
        <v>4</v>
      </c>
      <c r="D3541" s="25">
        <v>606827</v>
      </c>
      <c r="E3541" s="25">
        <v>768427</v>
      </c>
      <c r="F3541" s="25">
        <v>161600</v>
      </c>
      <c r="G3541" s="26">
        <v>1.2663032462299799</v>
      </c>
      <c r="H3541" s="10" t="str">
        <f t="shared" si="55"/>
        <v>COSTOS</v>
      </c>
      <c r="I3541" s="20">
        <v>2026</v>
      </c>
    </row>
    <row r="3542" spans="1:9" hidden="1" x14ac:dyDescent="0.3">
      <c r="A3542" s="24" t="s">
        <v>104</v>
      </c>
      <c r="B3542" s="24" t="s">
        <v>29</v>
      </c>
      <c r="C3542" s="22">
        <v>1</v>
      </c>
      <c r="D3542" s="25">
        <v>0</v>
      </c>
      <c r="E3542" s="25">
        <v>619500</v>
      </c>
      <c r="F3542" s="25">
        <v>619500</v>
      </c>
      <c r="G3542" s="26">
        <v>0</v>
      </c>
      <c r="H3542" s="10" t="str">
        <f t="shared" si="55"/>
        <v>COSTOS</v>
      </c>
      <c r="I3542" s="20">
        <v>2026</v>
      </c>
    </row>
    <row r="3543" spans="1:9" hidden="1" x14ac:dyDescent="0.3">
      <c r="A3543" s="24" t="s">
        <v>104</v>
      </c>
      <c r="B3543" s="24" t="s">
        <v>29</v>
      </c>
      <c r="C3543" s="22">
        <v>2</v>
      </c>
      <c r="D3543" s="25">
        <v>0</v>
      </c>
      <c r="E3543" s="25">
        <v>0</v>
      </c>
      <c r="F3543" s="25">
        <v>0</v>
      </c>
      <c r="G3543" s="26">
        <v>0</v>
      </c>
      <c r="H3543" s="10" t="str">
        <f t="shared" si="55"/>
        <v>COSTOS</v>
      </c>
      <c r="I3543" s="20">
        <v>2026</v>
      </c>
    </row>
    <row r="3544" spans="1:9" hidden="1" x14ac:dyDescent="0.3">
      <c r="A3544" s="24" t="s">
        <v>104</v>
      </c>
      <c r="B3544" s="24" t="s">
        <v>29</v>
      </c>
      <c r="C3544" s="22">
        <v>3</v>
      </c>
      <c r="D3544" s="25">
        <v>0</v>
      </c>
      <c r="E3544" s="25">
        <v>154000</v>
      </c>
      <c r="F3544" s="25">
        <v>154000</v>
      </c>
      <c r="G3544" s="26">
        <v>0</v>
      </c>
      <c r="H3544" s="10" t="str">
        <f t="shared" si="55"/>
        <v>COSTOS</v>
      </c>
      <c r="I3544" s="20">
        <v>2026</v>
      </c>
    </row>
    <row r="3545" spans="1:9" hidden="1" x14ac:dyDescent="0.3">
      <c r="A3545" s="23" t="s">
        <v>104</v>
      </c>
      <c r="B3545" s="23" t="s">
        <v>29</v>
      </c>
      <c r="C3545" s="22">
        <v>4</v>
      </c>
      <c r="D3545" s="25">
        <v>0</v>
      </c>
      <c r="E3545" s="25">
        <v>0</v>
      </c>
      <c r="F3545" s="25">
        <v>0</v>
      </c>
      <c r="G3545" s="26">
        <v>0</v>
      </c>
      <c r="H3545" s="10" t="str">
        <f t="shared" si="55"/>
        <v>COSTOS</v>
      </c>
      <c r="I3545" s="20">
        <v>2026</v>
      </c>
    </row>
    <row r="3546" spans="1:9" hidden="1" x14ac:dyDescent="0.3">
      <c r="A3546" s="24" t="s">
        <v>67</v>
      </c>
      <c r="B3546" s="24" t="s">
        <v>29</v>
      </c>
      <c r="C3546" s="22">
        <v>1</v>
      </c>
      <c r="D3546" s="25">
        <v>195285</v>
      </c>
      <c r="E3546" s="25">
        <v>24000</v>
      </c>
      <c r="F3546" s="25">
        <v>-171285</v>
      </c>
      <c r="G3546" s="26">
        <v>0.12289730394039482</v>
      </c>
      <c r="H3546" s="10" t="str">
        <f t="shared" si="55"/>
        <v>COSTOS</v>
      </c>
      <c r="I3546" s="20">
        <v>2026</v>
      </c>
    </row>
    <row r="3547" spans="1:9" hidden="1" x14ac:dyDescent="0.3">
      <c r="A3547" s="24" t="s">
        <v>67</v>
      </c>
      <c r="B3547" s="24" t="s">
        <v>29</v>
      </c>
      <c r="C3547" s="22">
        <v>2</v>
      </c>
      <c r="D3547" s="25">
        <v>195285</v>
      </c>
      <c r="E3547" s="25">
        <v>84400</v>
      </c>
      <c r="F3547" s="25">
        <v>-110885</v>
      </c>
      <c r="G3547" s="26">
        <v>0.43218885219038844</v>
      </c>
      <c r="H3547" s="10" t="str">
        <f t="shared" si="55"/>
        <v>COSTOS</v>
      </c>
      <c r="I3547" s="20">
        <v>2026</v>
      </c>
    </row>
    <row r="3548" spans="1:9" hidden="1" x14ac:dyDescent="0.3">
      <c r="A3548" s="24" t="s">
        <v>67</v>
      </c>
      <c r="B3548" s="24" t="s">
        <v>29</v>
      </c>
      <c r="C3548" s="22">
        <v>3</v>
      </c>
      <c r="D3548" s="25">
        <v>195285</v>
      </c>
      <c r="E3548" s="25">
        <v>366975</v>
      </c>
      <c r="F3548" s="25">
        <v>171690</v>
      </c>
      <c r="G3548" s="26">
        <v>1.8791765880635993</v>
      </c>
      <c r="H3548" s="10" t="str">
        <f t="shared" si="55"/>
        <v>COSTOS</v>
      </c>
      <c r="I3548" s="20">
        <v>2026</v>
      </c>
    </row>
    <row r="3549" spans="1:9" hidden="1" x14ac:dyDescent="0.3">
      <c r="A3549" s="23" t="s">
        <v>67</v>
      </c>
      <c r="B3549" s="23" t="s">
        <v>29</v>
      </c>
      <c r="C3549" s="22">
        <v>4</v>
      </c>
      <c r="D3549" s="25">
        <v>195285</v>
      </c>
      <c r="E3549" s="25">
        <v>13000</v>
      </c>
      <c r="F3549" s="25">
        <v>-182285</v>
      </c>
      <c r="G3549" s="26">
        <v>6.6569372967713855E-2</v>
      </c>
      <c r="H3549" s="10" t="str">
        <f t="shared" si="55"/>
        <v>COSTOS</v>
      </c>
      <c r="I3549" s="20">
        <v>2026</v>
      </c>
    </row>
    <row r="3550" spans="1:9" x14ac:dyDescent="0.3">
      <c r="A3550" s="24" t="s">
        <v>113</v>
      </c>
      <c r="B3550" s="24" t="s">
        <v>29</v>
      </c>
      <c r="C3550" s="22">
        <v>1</v>
      </c>
      <c r="D3550" s="25">
        <v>0</v>
      </c>
      <c r="E3550" s="25">
        <v>39000</v>
      </c>
      <c r="F3550" s="25">
        <v>39000</v>
      </c>
      <c r="G3550" s="26">
        <v>0</v>
      </c>
      <c r="H3550" s="10" t="str">
        <f t="shared" si="55"/>
        <v>COSTOS</v>
      </c>
      <c r="I3550" s="20">
        <v>2026</v>
      </c>
    </row>
    <row r="3551" spans="1:9" x14ac:dyDescent="0.3">
      <c r="A3551" s="24" t="s">
        <v>113</v>
      </c>
      <c r="B3551" s="24" t="s">
        <v>29</v>
      </c>
      <c r="C3551" s="22">
        <v>2</v>
      </c>
      <c r="D3551" s="25">
        <v>0</v>
      </c>
      <c r="E3551" s="25">
        <v>0</v>
      </c>
      <c r="F3551" s="25">
        <v>0</v>
      </c>
      <c r="G3551" s="26">
        <v>0</v>
      </c>
      <c r="H3551" s="10" t="str">
        <f t="shared" si="55"/>
        <v>COSTOS</v>
      </c>
      <c r="I3551" s="20">
        <v>2026</v>
      </c>
    </row>
    <row r="3552" spans="1:9" x14ac:dyDescent="0.3">
      <c r="A3552" s="24" t="s">
        <v>113</v>
      </c>
      <c r="B3552" s="24" t="s">
        <v>29</v>
      </c>
      <c r="C3552" s="22">
        <v>3</v>
      </c>
      <c r="D3552" s="25">
        <v>340027</v>
      </c>
      <c r="E3552" s="25">
        <v>317000</v>
      </c>
      <c r="F3552" s="25">
        <v>-23027</v>
      </c>
      <c r="G3552" s="26">
        <v>0.9322789072632468</v>
      </c>
      <c r="H3552" s="10" t="str">
        <f t="shared" si="55"/>
        <v>COSTOS</v>
      </c>
      <c r="I3552" s="20">
        <v>2026</v>
      </c>
    </row>
    <row r="3553" spans="1:9" x14ac:dyDescent="0.3">
      <c r="A3553" s="23" t="s">
        <v>113</v>
      </c>
      <c r="B3553" s="23" t="s">
        <v>29</v>
      </c>
      <c r="C3553" s="22">
        <v>4</v>
      </c>
      <c r="D3553" s="25">
        <v>0</v>
      </c>
      <c r="E3553" s="25">
        <v>0</v>
      </c>
      <c r="F3553" s="25">
        <v>0</v>
      </c>
      <c r="G3553" s="26">
        <v>0</v>
      </c>
      <c r="H3553" s="10" t="str">
        <f t="shared" si="55"/>
        <v>COSTOS</v>
      </c>
      <c r="I3553" s="20">
        <v>2026</v>
      </c>
    </row>
    <row r="3554" spans="1:9" hidden="1" x14ac:dyDescent="0.3">
      <c r="A3554" s="24" t="s">
        <v>146</v>
      </c>
      <c r="B3554" s="24" t="s">
        <v>29</v>
      </c>
      <c r="C3554" s="22">
        <v>1</v>
      </c>
      <c r="D3554" s="25">
        <v>0</v>
      </c>
      <c r="E3554" s="25">
        <v>0</v>
      </c>
      <c r="F3554" s="25">
        <v>0</v>
      </c>
      <c r="G3554" s="26">
        <v>0</v>
      </c>
      <c r="H3554" s="10" t="str">
        <f t="shared" si="55"/>
        <v>COSTOS</v>
      </c>
      <c r="I3554" s="20">
        <v>2026</v>
      </c>
    </row>
    <row r="3555" spans="1:9" hidden="1" x14ac:dyDescent="0.3">
      <c r="A3555" s="24" t="s">
        <v>146</v>
      </c>
      <c r="B3555" s="24" t="s">
        <v>29</v>
      </c>
      <c r="C3555" s="22">
        <v>2</v>
      </c>
      <c r="D3555" s="25">
        <v>0</v>
      </c>
      <c r="E3555" s="25">
        <v>0</v>
      </c>
      <c r="F3555" s="25">
        <v>0</v>
      </c>
      <c r="G3555" s="26">
        <v>0</v>
      </c>
      <c r="H3555" s="10" t="str">
        <f t="shared" si="55"/>
        <v>COSTOS</v>
      </c>
      <c r="I3555" s="20">
        <v>2026</v>
      </c>
    </row>
    <row r="3556" spans="1:9" hidden="1" x14ac:dyDescent="0.3">
      <c r="A3556" s="24" t="s">
        <v>146</v>
      </c>
      <c r="B3556" s="24" t="s">
        <v>29</v>
      </c>
      <c r="C3556" s="22">
        <v>3</v>
      </c>
      <c r="D3556" s="25">
        <v>619000</v>
      </c>
      <c r="E3556" s="25">
        <v>619000</v>
      </c>
      <c r="F3556" s="25">
        <v>0</v>
      </c>
      <c r="G3556" s="26">
        <v>1</v>
      </c>
      <c r="H3556" s="10" t="str">
        <f t="shared" si="55"/>
        <v>COSTOS</v>
      </c>
      <c r="I3556" s="20">
        <v>2026</v>
      </c>
    </row>
    <row r="3557" spans="1:9" hidden="1" x14ac:dyDescent="0.3">
      <c r="A3557" s="23" t="s">
        <v>146</v>
      </c>
      <c r="B3557" s="23" t="s">
        <v>29</v>
      </c>
      <c r="C3557" s="22">
        <v>4</v>
      </c>
      <c r="D3557" s="25">
        <v>0</v>
      </c>
      <c r="E3557" s="25">
        <v>0</v>
      </c>
      <c r="F3557" s="25">
        <v>0</v>
      </c>
      <c r="G3557" s="26">
        <v>0</v>
      </c>
      <c r="H3557" s="10" t="str">
        <f t="shared" si="55"/>
        <v>COSTOS</v>
      </c>
      <c r="I3557" s="20">
        <v>2026</v>
      </c>
    </row>
    <row r="3558" spans="1:9" hidden="1" x14ac:dyDescent="0.3">
      <c r="A3558" s="24" t="s">
        <v>147</v>
      </c>
      <c r="B3558" s="24" t="s">
        <v>29</v>
      </c>
      <c r="C3558" s="22">
        <v>1</v>
      </c>
      <c r="D3558" s="25">
        <v>0</v>
      </c>
      <c r="E3558" s="25">
        <v>0</v>
      </c>
      <c r="F3558" s="25">
        <v>0</v>
      </c>
      <c r="G3558" s="26">
        <v>0</v>
      </c>
      <c r="H3558" s="10" t="str">
        <f t="shared" si="55"/>
        <v>COSTOS</v>
      </c>
      <c r="I3558" s="20">
        <v>2026</v>
      </c>
    </row>
    <row r="3559" spans="1:9" hidden="1" x14ac:dyDescent="0.3">
      <c r="A3559" s="24" t="s">
        <v>147</v>
      </c>
      <c r="B3559" s="24" t="s">
        <v>29</v>
      </c>
      <c r="C3559" s="22">
        <v>2</v>
      </c>
      <c r="D3559" s="25">
        <v>0</v>
      </c>
      <c r="E3559" s="25">
        <v>0</v>
      </c>
      <c r="F3559" s="25">
        <v>0</v>
      </c>
      <c r="G3559" s="26">
        <v>0</v>
      </c>
      <c r="H3559" s="10" t="str">
        <f t="shared" si="55"/>
        <v>COSTOS</v>
      </c>
      <c r="I3559" s="20">
        <v>2026</v>
      </c>
    </row>
    <row r="3560" spans="1:9" hidden="1" x14ac:dyDescent="0.3">
      <c r="A3560" s="24" t="s">
        <v>147</v>
      </c>
      <c r="B3560" s="24" t="s">
        <v>29</v>
      </c>
      <c r="C3560" s="22">
        <v>3</v>
      </c>
      <c r="D3560" s="25">
        <v>4379000</v>
      </c>
      <c r="E3560" s="25">
        <v>4379000</v>
      </c>
      <c r="F3560" s="25">
        <v>0</v>
      </c>
      <c r="G3560" s="26">
        <v>1</v>
      </c>
      <c r="H3560" s="10" t="str">
        <f t="shared" si="55"/>
        <v>COSTOS</v>
      </c>
      <c r="I3560" s="20">
        <v>2026</v>
      </c>
    </row>
    <row r="3561" spans="1:9" hidden="1" x14ac:dyDescent="0.3">
      <c r="A3561" s="21" t="s">
        <v>147</v>
      </c>
      <c r="B3561" s="21" t="s">
        <v>29</v>
      </c>
      <c r="C3561" s="22">
        <v>4</v>
      </c>
      <c r="D3561" s="25">
        <v>3500000</v>
      </c>
      <c r="E3561" s="25">
        <v>0</v>
      </c>
      <c r="F3561" s="25">
        <v>-3500000</v>
      </c>
      <c r="G3561" s="26">
        <v>0</v>
      </c>
      <c r="H3561" s="10" t="str">
        <f t="shared" si="55"/>
        <v>COSTOS</v>
      </c>
      <c r="I3561" s="20">
        <v>2026</v>
      </c>
    </row>
    <row r="3562" spans="1:9" hidden="1" x14ac:dyDescent="0.3">
      <c r="A3562" s="23" t="s">
        <v>105</v>
      </c>
      <c r="B3562" s="23" t="s">
        <v>58</v>
      </c>
      <c r="C3562" s="22">
        <v>1</v>
      </c>
      <c r="D3562" s="25">
        <v>0</v>
      </c>
      <c r="E3562" s="25">
        <v>14723</v>
      </c>
      <c r="F3562" s="25">
        <v>14723</v>
      </c>
      <c r="G3562" s="26">
        <v>0</v>
      </c>
      <c r="H3562" s="10" t="str">
        <f t="shared" si="55"/>
        <v>COSTOS</v>
      </c>
      <c r="I3562" s="20">
        <v>2026</v>
      </c>
    </row>
    <row r="3563" spans="1:9" hidden="1" x14ac:dyDescent="0.3">
      <c r="A3563" s="24" t="s">
        <v>105</v>
      </c>
      <c r="B3563" s="24" t="s">
        <v>58</v>
      </c>
      <c r="C3563" s="22">
        <v>2</v>
      </c>
      <c r="D3563" s="25">
        <v>0</v>
      </c>
      <c r="E3563" s="25">
        <v>0</v>
      </c>
      <c r="F3563" s="25">
        <v>0</v>
      </c>
      <c r="G3563" s="26">
        <v>0</v>
      </c>
      <c r="H3563" s="10" t="str">
        <f t="shared" si="55"/>
        <v>COSTOS</v>
      </c>
      <c r="I3563" s="20">
        <v>2026</v>
      </c>
    </row>
    <row r="3564" spans="1:9" hidden="1" x14ac:dyDescent="0.3">
      <c r="A3564" s="24" t="s">
        <v>105</v>
      </c>
      <c r="B3564" s="24" t="s">
        <v>58</v>
      </c>
      <c r="C3564" s="22">
        <v>3</v>
      </c>
      <c r="D3564" s="25">
        <v>550000</v>
      </c>
      <c r="E3564" s="25">
        <v>0</v>
      </c>
      <c r="F3564" s="25">
        <v>-550000</v>
      </c>
      <c r="G3564" s="26">
        <v>0</v>
      </c>
      <c r="H3564" s="10" t="str">
        <f t="shared" si="55"/>
        <v>COSTOS</v>
      </c>
      <c r="I3564" s="20">
        <v>2026</v>
      </c>
    </row>
    <row r="3565" spans="1:9" hidden="1" x14ac:dyDescent="0.3">
      <c r="A3565" s="24" t="s">
        <v>105</v>
      </c>
      <c r="B3565" s="24" t="s">
        <v>58</v>
      </c>
      <c r="C3565" s="22">
        <v>4</v>
      </c>
      <c r="D3565" s="25">
        <v>550000</v>
      </c>
      <c r="E3565" s="25">
        <v>0</v>
      </c>
      <c r="F3565" s="25">
        <v>-550000</v>
      </c>
      <c r="G3565" s="26">
        <v>0</v>
      </c>
      <c r="H3565" s="10" t="str">
        <f t="shared" si="55"/>
        <v>COSTOS</v>
      </c>
      <c r="I3565" s="20">
        <v>2026</v>
      </c>
    </row>
    <row r="3566" spans="1:9" x14ac:dyDescent="0.3">
      <c r="A3566" s="23" t="s">
        <v>115</v>
      </c>
      <c r="B3566" s="23" t="s">
        <v>58</v>
      </c>
      <c r="C3566" s="22">
        <v>1</v>
      </c>
      <c r="D3566" s="25">
        <v>1000000</v>
      </c>
      <c r="E3566" s="25">
        <v>32500</v>
      </c>
      <c r="F3566" s="25">
        <v>-967500</v>
      </c>
      <c r="G3566" s="26">
        <v>3.2500000000000001E-2</v>
      </c>
      <c r="H3566" s="10" t="str">
        <f t="shared" ref="H3566:H3629" si="56">+IF(OR(A3566="ADMINISTRACION",A3566="COMERCIAL",A3566="COMERCIAL-EXPORTACIONES",A3566="LEASING DE LA BODEGA",A3566="LOGISTICA-SALIDA",A3566="OTROS GASTOS",A3566="BODEGA ALQUILADA", A3566="BODEGA CARTOPLAST", A3566="BODEGA CARTOPLAS", A3566= "GESTION HUMANA-OTROS GASTOS",A3566="FAMILIA"),"GASTOS","COSTOS")</f>
        <v>COSTOS</v>
      </c>
      <c r="I3566" s="20">
        <v>2026</v>
      </c>
    </row>
    <row r="3567" spans="1:9" x14ac:dyDescent="0.3">
      <c r="A3567" s="24" t="s">
        <v>115</v>
      </c>
      <c r="B3567" s="24" t="s">
        <v>58</v>
      </c>
      <c r="C3567" s="22">
        <v>2</v>
      </c>
      <c r="D3567" s="25">
        <v>0</v>
      </c>
      <c r="E3567" s="25">
        <v>1449695</v>
      </c>
      <c r="F3567" s="25">
        <v>1449695</v>
      </c>
      <c r="G3567" s="26">
        <v>0</v>
      </c>
      <c r="H3567" s="10" t="str">
        <f t="shared" si="56"/>
        <v>COSTOS</v>
      </c>
      <c r="I3567" s="20">
        <v>2026</v>
      </c>
    </row>
    <row r="3568" spans="1:9" x14ac:dyDescent="0.3">
      <c r="A3568" s="24" t="s">
        <v>115</v>
      </c>
      <c r="B3568" s="24" t="s">
        <v>58</v>
      </c>
      <c r="C3568" s="22">
        <v>3</v>
      </c>
      <c r="D3568" s="25">
        <v>1000000</v>
      </c>
      <c r="E3568" s="25">
        <v>668200</v>
      </c>
      <c r="F3568" s="25">
        <v>-331800</v>
      </c>
      <c r="G3568" s="26">
        <v>0.66820000000000002</v>
      </c>
      <c r="H3568" s="10" t="str">
        <f t="shared" si="56"/>
        <v>COSTOS</v>
      </c>
      <c r="I3568" s="20">
        <v>2026</v>
      </c>
    </row>
    <row r="3569" spans="1:9" x14ac:dyDescent="0.3">
      <c r="A3569" s="24" t="s">
        <v>115</v>
      </c>
      <c r="B3569" s="24" t="s">
        <v>58</v>
      </c>
      <c r="C3569" s="22">
        <v>4</v>
      </c>
      <c r="D3569" s="25">
        <v>0</v>
      </c>
      <c r="E3569" s="25">
        <v>540000</v>
      </c>
      <c r="F3569" s="25">
        <v>540000</v>
      </c>
      <c r="G3569" s="26">
        <v>0</v>
      </c>
      <c r="H3569" s="10" t="str">
        <f t="shared" si="56"/>
        <v>COSTOS</v>
      </c>
      <c r="I3569" s="20">
        <v>2026</v>
      </c>
    </row>
    <row r="3570" spans="1:9" x14ac:dyDescent="0.3">
      <c r="A3570" s="23" t="s">
        <v>129</v>
      </c>
      <c r="B3570" s="23" t="s">
        <v>58</v>
      </c>
      <c r="C3570" s="22">
        <v>4</v>
      </c>
      <c r="D3570" s="25">
        <v>0</v>
      </c>
      <c r="E3570" s="25">
        <v>1400000</v>
      </c>
      <c r="F3570" s="25">
        <v>1400000</v>
      </c>
      <c r="G3570" s="26">
        <v>0</v>
      </c>
      <c r="H3570" s="10" t="str">
        <f t="shared" si="56"/>
        <v>COSTOS</v>
      </c>
      <c r="I3570" s="20">
        <v>2026</v>
      </c>
    </row>
    <row r="3571" spans="1:9" x14ac:dyDescent="0.3">
      <c r="A3571" s="24" t="s">
        <v>135</v>
      </c>
      <c r="B3571" s="24" t="s">
        <v>58</v>
      </c>
      <c r="C3571" s="22">
        <v>1</v>
      </c>
      <c r="D3571" s="25">
        <v>0</v>
      </c>
      <c r="E3571" s="25">
        <v>3500000</v>
      </c>
      <c r="F3571" s="25">
        <v>3500000</v>
      </c>
      <c r="G3571" s="26">
        <v>0</v>
      </c>
      <c r="H3571" s="10" t="str">
        <f t="shared" si="56"/>
        <v>COSTOS</v>
      </c>
      <c r="I3571" s="20">
        <v>2026</v>
      </c>
    </row>
    <row r="3572" spans="1:9" x14ac:dyDescent="0.3">
      <c r="A3572" s="24" t="s">
        <v>135</v>
      </c>
      <c r="B3572" s="24" t="s">
        <v>58</v>
      </c>
      <c r="C3572" s="22">
        <v>2</v>
      </c>
      <c r="D3572" s="25">
        <v>0</v>
      </c>
      <c r="E3572" s="25">
        <v>0</v>
      </c>
      <c r="F3572" s="25">
        <v>0</v>
      </c>
      <c r="G3572" s="26">
        <v>0</v>
      </c>
      <c r="H3572" s="10" t="str">
        <f t="shared" si="56"/>
        <v>COSTOS</v>
      </c>
      <c r="I3572" s="20">
        <v>2026</v>
      </c>
    </row>
    <row r="3573" spans="1:9" x14ac:dyDescent="0.3">
      <c r="A3573" s="24" t="s">
        <v>135</v>
      </c>
      <c r="B3573" s="24" t="s">
        <v>58</v>
      </c>
      <c r="C3573" s="22">
        <v>3</v>
      </c>
      <c r="D3573" s="25">
        <v>0</v>
      </c>
      <c r="E3573" s="25">
        <v>0</v>
      </c>
      <c r="F3573" s="25">
        <v>0</v>
      </c>
      <c r="G3573" s="26">
        <v>0</v>
      </c>
      <c r="H3573" s="10" t="str">
        <f t="shared" si="56"/>
        <v>COSTOS</v>
      </c>
      <c r="I3573" s="20">
        <v>2026</v>
      </c>
    </row>
    <row r="3574" spans="1:9" x14ac:dyDescent="0.3">
      <c r="A3574" s="23" t="s">
        <v>135</v>
      </c>
      <c r="B3574" s="23" t="s">
        <v>58</v>
      </c>
      <c r="C3574" s="22">
        <v>4</v>
      </c>
      <c r="D3574" s="25">
        <v>0</v>
      </c>
      <c r="E3574" s="25">
        <v>1430000</v>
      </c>
      <c r="F3574" s="25">
        <v>1430000</v>
      </c>
      <c r="G3574" s="26">
        <v>0</v>
      </c>
      <c r="H3574" s="10" t="str">
        <f t="shared" si="56"/>
        <v>COSTOS</v>
      </c>
      <c r="I3574" s="20">
        <v>2026</v>
      </c>
    </row>
    <row r="3575" spans="1:9" x14ac:dyDescent="0.3">
      <c r="A3575" s="24" t="s">
        <v>139</v>
      </c>
      <c r="B3575" s="24" t="s">
        <v>58</v>
      </c>
      <c r="C3575" s="22">
        <v>1</v>
      </c>
      <c r="D3575" s="25">
        <v>602840</v>
      </c>
      <c r="E3575" s="25">
        <v>0</v>
      </c>
      <c r="F3575" s="25">
        <v>-602840</v>
      </c>
      <c r="G3575" s="26">
        <v>0</v>
      </c>
      <c r="H3575" s="10" t="str">
        <f t="shared" si="56"/>
        <v>COSTOS</v>
      </c>
      <c r="I3575" s="20">
        <v>2026</v>
      </c>
    </row>
    <row r="3576" spans="1:9" x14ac:dyDescent="0.3">
      <c r="A3576" s="24" t="s">
        <v>139</v>
      </c>
      <c r="B3576" s="24" t="s">
        <v>58</v>
      </c>
      <c r="C3576" s="22">
        <v>2</v>
      </c>
      <c r="D3576" s="25">
        <v>0</v>
      </c>
      <c r="E3576" s="25">
        <v>23149057</v>
      </c>
      <c r="F3576" s="25">
        <v>23149057</v>
      </c>
      <c r="G3576" s="26">
        <v>0</v>
      </c>
      <c r="H3576" s="10" t="str">
        <f t="shared" si="56"/>
        <v>COSTOS</v>
      </c>
      <c r="I3576" s="20">
        <v>2026</v>
      </c>
    </row>
    <row r="3577" spans="1:9" x14ac:dyDescent="0.3">
      <c r="A3577" s="24" t="s">
        <v>139</v>
      </c>
      <c r="B3577" s="24" t="s">
        <v>58</v>
      </c>
      <c r="C3577" s="22">
        <v>3</v>
      </c>
      <c r="D3577" s="25">
        <v>2048403</v>
      </c>
      <c r="E3577" s="25">
        <v>0</v>
      </c>
      <c r="F3577" s="25">
        <v>-2048403</v>
      </c>
      <c r="G3577" s="26">
        <v>0</v>
      </c>
      <c r="H3577" s="10" t="str">
        <f t="shared" si="56"/>
        <v>COSTOS</v>
      </c>
      <c r="I3577" s="20">
        <v>2026</v>
      </c>
    </row>
    <row r="3578" spans="1:9" x14ac:dyDescent="0.3">
      <c r="A3578" s="23" t="s">
        <v>139</v>
      </c>
      <c r="B3578" s="23" t="s">
        <v>58</v>
      </c>
      <c r="C3578" s="22">
        <v>4</v>
      </c>
      <c r="D3578" s="25">
        <v>6200000</v>
      </c>
      <c r="E3578" s="25">
        <v>13201429</v>
      </c>
      <c r="F3578" s="25">
        <v>7001429</v>
      </c>
      <c r="G3578" s="26">
        <v>2.1292627419354839</v>
      </c>
      <c r="H3578" s="10" t="str">
        <f t="shared" si="56"/>
        <v>COSTOS</v>
      </c>
      <c r="I3578" s="20">
        <v>2026</v>
      </c>
    </row>
    <row r="3579" spans="1:9" x14ac:dyDescent="0.3">
      <c r="A3579" s="24" t="s">
        <v>143</v>
      </c>
      <c r="B3579" s="24" t="s">
        <v>58</v>
      </c>
      <c r="C3579" s="22">
        <v>2</v>
      </c>
      <c r="D3579" s="25">
        <v>0</v>
      </c>
      <c r="E3579" s="25">
        <v>2301418</v>
      </c>
      <c r="F3579" s="25">
        <v>2301418</v>
      </c>
      <c r="G3579" s="26">
        <v>0</v>
      </c>
      <c r="H3579" s="10" t="str">
        <f t="shared" si="56"/>
        <v>COSTOS</v>
      </c>
      <c r="I3579" s="20">
        <v>2026</v>
      </c>
    </row>
    <row r="3580" spans="1:9" x14ac:dyDescent="0.3">
      <c r="A3580" s="24" t="s">
        <v>143</v>
      </c>
      <c r="B3580" s="24" t="s">
        <v>58</v>
      </c>
      <c r="C3580" s="22">
        <v>3</v>
      </c>
      <c r="D3580" s="25">
        <v>0</v>
      </c>
      <c r="E3580" s="25">
        <v>0</v>
      </c>
      <c r="F3580" s="25">
        <v>0</v>
      </c>
      <c r="G3580" s="26">
        <v>0</v>
      </c>
      <c r="H3580" s="10" t="str">
        <f t="shared" si="56"/>
        <v>COSTOS</v>
      </c>
      <c r="I3580" s="20">
        <v>2026</v>
      </c>
    </row>
    <row r="3581" spans="1:9" x14ac:dyDescent="0.3">
      <c r="A3581" s="24" t="s">
        <v>143</v>
      </c>
      <c r="B3581" s="24" t="s">
        <v>58</v>
      </c>
      <c r="C3581" s="22">
        <v>4</v>
      </c>
      <c r="D3581" s="25">
        <v>0</v>
      </c>
      <c r="E3581" s="25">
        <v>23800000</v>
      </c>
      <c r="F3581" s="25">
        <v>23800000</v>
      </c>
      <c r="G3581" s="26">
        <v>0</v>
      </c>
      <c r="H3581" s="10" t="str">
        <f t="shared" si="56"/>
        <v>COSTOS</v>
      </c>
      <c r="I3581" s="20">
        <v>2026</v>
      </c>
    </row>
    <row r="3582" spans="1:9" x14ac:dyDescent="0.3">
      <c r="A3582" s="24" t="s">
        <v>115</v>
      </c>
      <c r="B3582" s="24" t="s">
        <v>59</v>
      </c>
      <c r="C3582" s="22">
        <v>1</v>
      </c>
      <c r="D3582" s="25">
        <v>0</v>
      </c>
      <c r="E3582" s="25">
        <v>892800</v>
      </c>
      <c r="F3582" s="25">
        <v>892800</v>
      </c>
      <c r="G3582" s="26">
        <v>0</v>
      </c>
      <c r="H3582" s="10" t="str">
        <f t="shared" si="56"/>
        <v>COSTOS</v>
      </c>
      <c r="I3582" s="20">
        <v>2026</v>
      </c>
    </row>
    <row r="3583" spans="1:9" x14ac:dyDescent="0.3">
      <c r="A3583" s="24" t="s">
        <v>115</v>
      </c>
      <c r="B3583" s="24" t="s">
        <v>59</v>
      </c>
      <c r="C3583" s="22">
        <v>2</v>
      </c>
      <c r="D3583" s="25">
        <v>0</v>
      </c>
      <c r="E3583" s="25">
        <v>3850556</v>
      </c>
      <c r="F3583" s="25">
        <v>3850556</v>
      </c>
      <c r="G3583" s="26">
        <v>0</v>
      </c>
      <c r="H3583" s="10" t="str">
        <f t="shared" si="56"/>
        <v>COSTOS</v>
      </c>
      <c r="I3583" s="20">
        <v>2026</v>
      </c>
    </row>
    <row r="3584" spans="1:9" x14ac:dyDescent="0.3">
      <c r="A3584" s="23" t="s">
        <v>115</v>
      </c>
      <c r="B3584" s="23" t="s">
        <v>59</v>
      </c>
      <c r="C3584" s="22">
        <v>3</v>
      </c>
      <c r="D3584" s="25">
        <v>0</v>
      </c>
      <c r="E3584" s="25">
        <v>332267</v>
      </c>
      <c r="F3584" s="25">
        <v>332267</v>
      </c>
      <c r="G3584" s="26">
        <v>0</v>
      </c>
      <c r="H3584" s="10" t="str">
        <f t="shared" si="56"/>
        <v>COSTOS</v>
      </c>
      <c r="I3584" s="20">
        <v>2026</v>
      </c>
    </row>
    <row r="3585" spans="1:9" x14ac:dyDescent="0.3">
      <c r="A3585" s="24" t="s">
        <v>115</v>
      </c>
      <c r="B3585" s="24" t="s">
        <v>59</v>
      </c>
      <c r="C3585" s="22">
        <v>4</v>
      </c>
      <c r="D3585" s="25">
        <v>0</v>
      </c>
      <c r="E3585" s="25">
        <v>1373118</v>
      </c>
      <c r="F3585" s="25">
        <v>1373118</v>
      </c>
      <c r="G3585" s="26">
        <v>0</v>
      </c>
      <c r="H3585" s="10" t="str">
        <f t="shared" si="56"/>
        <v>COSTOS</v>
      </c>
      <c r="I3585" s="20">
        <v>2026</v>
      </c>
    </row>
    <row r="3586" spans="1:9" x14ac:dyDescent="0.3">
      <c r="A3586" s="24" t="s">
        <v>125</v>
      </c>
      <c r="B3586" s="24" t="s">
        <v>59</v>
      </c>
      <c r="C3586" s="22">
        <v>4</v>
      </c>
      <c r="D3586" s="25">
        <v>0</v>
      </c>
      <c r="E3586" s="25">
        <v>63025</v>
      </c>
      <c r="F3586" s="25">
        <v>63025</v>
      </c>
      <c r="G3586" s="26">
        <v>0</v>
      </c>
      <c r="H3586" s="10" t="str">
        <f t="shared" si="56"/>
        <v>COSTOS</v>
      </c>
      <c r="I3586" s="20">
        <v>2026</v>
      </c>
    </row>
    <row r="3587" spans="1:9" x14ac:dyDescent="0.3">
      <c r="A3587" s="24" t="s">
        <v>129</v>
      </c>
      <c r="B3587" s="24" t="s">
        <v>59</v>
      </c>
      <c r="C3587" s="22">
        <v>1</v>
      </c>
      <c r="D3587" s="25">
        <v>0</v>
      </c>
      <c r="E3587" s="25">
        <v>96863</v>
      </c>
      <c r="F3587" s="25">
        <v>96863</v>
      </c>
      <c r="G3587" s="26">
        <v>0</v>
      </c>
      <c r="H3587" s="10" t="str">
        <f t="shared" si="56"/>
        <v>COSTOS</v>
      </c>
      <c r="I3587" s="20">
        <v>2026</v>
      </c>
    </row>
    <row r="3588" spans="1:9" x14ac:dyDescent="0.3">
      <c r="A3588" s="23" t="s">
        <v>129</v>
      </c>
      <c r="B3588" s="23" t="s">
        <v>59</v>
      </c>
      <c r="C3588" s="22">
        <v>2</v>
      </c>
      <c r="D3588" s="25">
        <v>0</v>
      </c>
      <c r="E3588" s="25">
        <v>38500</v>
      </c>
      <c r="F3588" s="25">
        <v>38500</v>
      </c>
      <c r="G3588" s="26">
        <v>0</v>
      </c>
      <c r="H3588" s="10" t="str">
        <f t="shared" si="56"/>
        <v>COSTOS</v>
      </c>
      <c r="I3588" s="20">
        <v>2026</v>
      </c>
    </row>
    <row r="3589" spans="1:9" x14ac:dyDescent="0.3">
      <c r="A3589" s="24" t="s">
        <v>129</v>
      </c>
      <c r="B3589" s="24" t="s">
        <v>59</v>
      </c>
      <c r="C3589" s="22">
        <v>3</v>
      </c>
      <c r="D3589" s="25">
        <v>0</v>
      </c>
      <c r="E3589" s="25">
        <v>0</v>
      </c>
      <c r="F3589" s="25">
        <v>0</v>
      </c>
      <c r="G3589" s="26">
        <v>0</v>
      </c>
      <c r="H3589" s="10" t="str">
        <f t="shared" si="56"/>
        <v>COSTOS</v>
      </c>
      <c r="I3589" s="20">
        <v>2026</v>
      </c>
    </row>
    <row r="3590" spans="1:9" x14ac:dyDescent="0.3">
      <c r="A3590" s="24" t="s">
        <v>129</v>
      </c>
      <c r="B3590" s="24" t="s">
        <v>59</v>
      </c>
      <c r="C3590" s="22">
        <v>4</v>
      </c>
      <c r="D3590" s="25">
        <v>0</v>
      </c>
      <c r="E3590" s="25">
        <v>48500</v>
      </c>
      <c r="F3590" s="25">
        <v>48500</v>
      </c>
      <c r="G3590" s="26">
        <v>0</v>
      </c>
      <c r="H3590" s="10" t="str">
        <f t="shared" si="56"/>
        <v>COSTOS</v>
      </c>
      <c r="I3590" s="20">
        <v>2026</v>
      </c>
    </row>
    <row r="3591" spans="1:9" x14ac:dyDescent="0.3">
      <c r="A3591" s="24" t="s">
        <v>132</v>
      </c>
      <c r="B3591" s="24" t="s">
        <v>59</v>
      </c>
      <c r="C3591" s="22">
        <v>2</v>
      </c>
      <c r="D3591" s="25">
        <v>0</v>
      </c>
      <c r="E3591" s="25">
        <v>228800</v>
      </c>
      <c r="F3591" s="25">
        <v>228800</v>
      </c>
      <c r="G3591" s="26">
        <v>0</v>
      </c>
      <c r="H3591" s="10" t="str">
        <f t="shared" si="56"/>
        <v>COSTOS</v>
      </c>
      <c r="I3591" s="20">
        <v>2026</v>
      </c>
    </row>
    <row r="3592" spans="1:9" x14ac:dyDescent="0.3">
      <c r="A3592" s="23" t="s">
        <v>132</v>
      </c>
      <c r="B3592" s="23" t="s">
        <v>59</v>
      </c>
      <c r="C3592" s="22">
        <v>3</v>
      </c>
      <c r="D3592" s="25">
        <v>0</v>
      </c>
      <c r="E3592" s="25">
        <v>0</v>
      </c>
      <c r="F3592" s="25">
        <v>0</v>
      </c>
      <c r="G3592" s="26">
        <v>0</v>
      </c>
      <c r="H3592" s="10" t="str">
        <f t="shared" si="56"/>
        <v>COSTOS</v>
      </c>
      <c r="I3592" s="20">
        <v>2026</v>
      </c>
    </row>
    <row r="3593" spans="1:9" x14ac:dyDescent="0.3">
      <c r="A3593" s="24" t="s">
        <v>132</v>
      </c>
      <c r="B3593" s="24" t="s">
        <v>59</v>
      </c>
      <c r="C3593" s="22">
        <v>4</v>
      </c>
      <c r="D3593" s="25">
        <v>0</v>
      </c>
      <c r="E3593" s="25">
        <v>0</v>
      </c>
      <c r="F3593" s="25">
        <v>0</v>
      </c>
      <c r="G3593" s="26">
        <v>0</v>
      </c>
      <c r="H3593" s="10" t="str">
        <f t="shared" si="56"/>
        <v>COSTOS</v>
      </c>
      <c r="I3593" s="20">
        <v>2026</v>
      </c>
    </row>
    <row r="3594" spans="1:9" x14ac:dyDescent="0.3">
      <c r="A3594" s="24" t="s">
        <v>140</v>
      </c>
      <c r="B3594" s="24" t="s">
        <v>59</v>
      </c>
      <c r="C3594" s="22">
        <v>1</v>
      </c>
      <c r="D3594" s="25">
        <v>0</v>
      </c>
      <c r="E3594" s="25">
        <v>98400</v>
      </c>
      <c r="F3594" s="25">
        <v>98400</v>
      </c>
      <c r="G3594" s="26">
        <v>0</v>
      </c>
      <c r="H3594" s="10" t="str">
        <f t="shared" si="56"/>
        <v>COSTOS</v>
      </c>
      <c r="I3594" s="20">
        <v>2026</v>
      </c>
    </row>
    <row r="3595" spans="1:9" x14ac:dyDescent="0.3">
      <c r="A3595" s="24" t="s">
        <v>140</v>
      </c>
      <c r="B3595" s="24" t="s">
        <v>59</v>
      </c>
      <c r="C3595" s="22">
        <v>2</v>
      </c>
      <c r="D3595" s="25">
        <v>0</v>
      </c>
      <c r="E3595" s="25">
        <v>0</v>
      </c>
      <c r="F3595" s="25">
        <v>0</v>
      </c>
      <c r="G3595" s="26">
        <v>0</v>
      </c>
      <c r="H3595" s="10" t="str">
        <f t="shared" si="56"/>
        <v>COSTOS</v>
      </c>
      <c r="I3595" s="20">
        <v>2026</v>
      </c>
    </row>
    <row r="3596" spans="1:9" x14ac:dyDescent="0.3">
      <c r="A3596" s="23" t="s">
        <v>140</v>
      </c>
      <c r="B3596" s="23" t="s">
        <v>59</v>
      </c>
      <c r="C3596" s="22">
        <v>3</v>
      </c>
      <c r="D3596" s="25">
        <v>0</v>
      </c>
      <c r="E3596" s="25">
        <v>0</v>
      </c>
      <c r="F3596" s="25">
        <v>0</v>
      </c>
      <c r="G3596" s="26">
        <v>0</v>
      </c>
      <c r="H3596" s="10" t="str">
        <f t="shared" si="56"/>
        <v>COSTOS</v>
      </c>
      <c r="I3596" s="20">
        <v>2026</v>
      </c>
    </row>
    <row r="3597" spans="1:9" x14ac:dyDescent="0.3">
      <c r="A3597" s="24" t="s">
        <v>140</v>
      </c>
      <c r="B3597" s="24" t="s">
        <v>59</v>
      </c>
      <c r="C3597" s="22">
        <v>4</v>
      </c>
      <c r="D3597" s="25">
        <v>0</v>
      </c>
      <c r="E3597" s="25">
        <v>41000</v>
      </c>
      <c r="F3597" s="25">
        <v>41000</v>
      </c>
      <c r="G3597" s="26">
        <v>0</v>
      </c>
      <c r="H3597" s="10" t="str">
        <f t="shared" si="56"/>
        <v>COSTOS</v>
      </c>
      <c r="I3597" s="20">
        <v>2026</v>
      </c>
    </row>
    <row r="3598" spans="1:9" x14ac:dyDescent="0.3">
      <c r="A3598" s="24" t="s">
        <v>141</v>
      </c>
      <c r="B3598" s="24" t="s">
        <v>59</v>
      </c>
      <c r="C3598" s="22">
        <v>3</v>
      </c>
      <c r="D3598" s="25">
        <v>0</v>
      </c>
      <c r="E3598" s="25">
        <v>494500</v>
      </c>
      <c r="F3598" s="25">
        <v>494500</v>
      </c>
      <c r="G3598" s="26">
        <v>0</v>
      </c>
      <c r="H3598" s="10" t="str">
        <f t="shared" si="56"/>
        <v>COSTOS</v>
      </c>
      <c r="I3598" s="20">
        <v>2026</v>
      </c>
    </row>
    <row r="3599" spans="1:9" x14ac:dyDescent="0.3">
      <c r="A3599" s="24" t="s">
        <v>141</v>
      </c>
      <c r="B3599" s="24" t="s">
        <v>59</v>
      </c>
      <c r="C3599" s="22">
        <v>4</v>
      </c>
      <c r="D3599" s="25">
        <v>0</v>
      </c>
      <c r="E3599" s="25">
        <v>0</v>
      </c>
      <c r="F3599" s="25">
        <v>0</v>
      </c>
      <c r="G3599" s="26">
        <v>0</v>
      </c>
      <c r="H3599" s="10" t="str">
        <f t="shared" si="56"/>
        <v>COSTOS</v>
      </c>
      <c r="I3599" s="20">
        <v>2026</v>
      </c>
    </row>
    <row r="3600" spans="1:9" x14ac:dyDescent="0.3">
      <c r="A3600" s="23" t="s">
        <v>142</v>
      </c>
      <c r="B3600" s="23" t="s">
        <v>59</v>
      </c>
      <c r="C3600" s="22">
        <v>3</v>
      </c>
      <c r="D3600" s="25">
        <v>0</v>
      </c>
      <c r="E3600" s="25">
        <v>46600</v>
      </c>
      <c r="F3600" s="25">
        <v>46600</v>
      </c>
      <c r="G3600" s="26">
        <v>0</v>
      </c>
      <c r="H3600" s="10" t="str">
        <f t="shared" si="56"/>
        <v>COSTOS</v>
      </c>
      <c r="I3600" s="20">
        <v>2026</v>
      </c>
    </row>
    <row r="3601" spans="1:9" x14ac:dyDescent="0.3">
      <c r="A3601" s="24" t="s">
        <v>142</v>
      </c>
      <c r="B3601" s="24" t="s">
        <v>59</v>
      </c>
      <c r="C3601" s="22">
        <v>4</v>
      </c>
      <c r="D3601" s="25">
        <v>0</v>
      </c>
      <c r="E3601" s="25">
        <v>0</v>
      </c>
      <c r="F3601" s="25">
        <v>0</v>
      </c>
      <c r="G3601" s="26">
        <v>0</v>
      </c>
      <c r="H3601" s="10" t="str">
        <f t="shared" si="56"/>
        <v>COSTOS</v>
      </c>
      <c r="I3601" s="20">
        <v>2026</v>
      </c>
    </row>
    <row r="3602" spans="1:9" x14ac:dyDescent="0.3">
      <c r="A3602" s="24" t="s">
        <v>143</v>
      </c>
      <c r="B3602" s="24" t="s">
        <v>59</v>
      </c>
      <c r="C3602" s="22">
        <v>2</v>
      </c>
      <c r="D3602" s="25">
        <v>0</v>
      </c>
      <c r="E3602" s="25">
        <v>70500</v>
      </c>
      <c r="F3602" s="25">
        <v>70500</v>
      </c>
      <c r="G3602" s="26">
        <v>0</v>
      </c>
      <c r="H3602" s="10" t="str">
        <f t="shared" si="56"/>
        <v>COSTOS</v>
      </c>
      <c r="I3602" s="20">
        <v>2026</v>
      </c>
    </row>
    <row r="3603" spans="1:9" x14ac:dyDescent="0.3">
      <c r="A3603" s="24" t="s">
        <v>143</v>
      </c>
      <c r="B3603" s="24" t="s">
        <v>59</v>
      </c>
      <c r="C3603" s="22">
        <v>3</v>
      </c>
      <c r="D3603" s="25">
        <v>0</v>
      </c>
      <c r="E3603" s="25">
        <v>0</v>
      </c>
      <c r="F3603" s="25">
        <v>0</v>
      </c>
      <c r="G3603" s="26">
        <v>0</v>
      </c>
      <c r="H3603" s="10" t="str">
        <f t="shared" si="56"/>
        <v>COSTOS</v>
      </c>
      <c r="I3603" s="20">
        <v>2026</v>
      </c>
    </row>
    <row r="3604" spans="1:9" x14ac:dyDescent="0.3">
      <c r="A3604" s="23" t="s">
        <v>143</v>
      </c>
      <c r="B3604" s="23" t="s">
        <v>59</v>
      </c>
      <c r="C3604" s="22">
        <v>4</v>
      </c>
      <c r="D3604" s="25">
        <v>0</v>
      </c>
      <c r="E3604" s="25">
        <v>0</v>
      </c>
      <c r="F3604" s="25">
        <v>0</v>
      </c>
      <c r="G3604" s="26">
        <v>0</v>
      </c>
      <c r="H3604" s="10" t="str">
        <f t="shared" si="56"/>
        <v>COSTOS</v>
      </c>
      <c r="I3604" s="20">
        <v>2026</v>
      </c>
    </row>
    <row r="3605" spans="1:9" x14ac:dyDescent="0.3">
      <c r="A3605" s="24" t="s">
        <v>251</v>
      </c>
      <c r="B3605" s="24" t="s">
        <v>59</v>
      </c>
      <c r="C3605" s="22">
        <v>4</v>
      </c>
      <c r="D3605" s="25">
        <v>0</v>
      </c>
      <c r="E3605" s="25">
        <v>154400</v>
      </c>
      <c r="F3605" s="25">
        <v>154400</v>
      </c>
      <c r="G3605" s="26">
        <v>0</v>
      </c>
      <c r="H3605" s="10" t="str">
        <f t="shared" si="56"/>
        <v>COSTOS</v>
      </c>
      <c r="I3605" s="20">
        <v>2026</v>
      </c>
    </row>
    <row r="3606" spans="1:9" hidden="1" x14ac:dyDescent="0.3">
      <c r="A3606" s="24" t="s">
        <v>107</v>
      </c>
      <c r="B3606" s="24" t="s">
        <v>130</v>
      </c>
      <c r="C3606" s="22">
        <v>3</v>
      </c>
      <c r="D3606" s="25">
        <v>0</v>
      </c>
      <c r="E3606" s="25">
        <v>65450</v>
      </c>
      <c r="F3606" s="25">
        <v>65450</v>
      </c>
      <c r="G3606" s="26">
        <v>0</v>
      </c>
      <c r="H3606" s="10" t="str">
        <f t="shared" si="56"/>
        <v>COSTOS</v>
      </c>
      <c r="I3606" s="20">
        <v>2026</v>
      </c>
    </row>
    <row r="3607" spans="1:9" hidden="1" x14ac:dyDescent="0.3">
      <c r="A3607" s="24" t="s">
        <v>107</v>
      </c>
      <c r="B3607" s="24" t="s">
        <v>130</v>
      </c>
      <c r="C3607" s="22">
        <v>4</v>
      </c>
      <c r="D3607" s="25">
        <v>0</v>
      </c>
      <c r="E3607" s="25">
        <v>0</v>
      </c>
      <c r="F3607" s="25">
        <v>0</v>
      </c>
      <c r="G3607" s="26">
        <v>0</v>
      </c>
      <c r="H3607" s="10" t="str">
        <f t="shared" si="56"/>
        <v>COSTOS</v>
      </c>
      <c r="I3607" s="20">
        <v>2026</v>
      </c>
    </row>
    <row r="3608" spans="1:9" x14ac:dyDescent="0.3">
      <c r="A3608" s="23" t="s">
        <v>115</v>
      </c>
      <c r="B3608" s="23" t="s">
        <v>130</v>
      </c>
      <c r="C3608" s="22">
        <v>3</v>
      </c>
      <c r="D3608" s="25">
        <v>0</v>
      </c>
      <c r="E3608" s="25">
        <v>86400</v>
      </c>
      <c r="F3608" s="25">
        <v>86400</v>
      </c>
      <c r="G3608" s="26">
        <v>0</v>
      </c>
      <c r="H3608" s="10" t="str">
        <f t="shared" si="56"/>
        <v>COSTOS</v>
      </c>
      <c r="I3608" s="20">
        <v>2026</v>
      </c>
    </row>
    <row r="3609" spans="1:9" x14ac:dyDescent="0.3">
      <c r="A3609" s="24" t="s">
        <v>115</v>
      </c>
      <c r="B3609" s="24" t="s">
        <v>130</v>
      </c>
      <c r="C3609" s="22">
        <v>4</v>
      </c>
      <c r="D3609" s="25">
        <v>0</v>
      </c>
      <c r="E3609" s="25">
        <v>0</v>
      </c>
      <c r="F3609" s="25">
        <v>0</v>
      </c>
      <c r="G3609" s="26">
        <v>0</v>
      </c>
      <c r="H3609" s="10" t="str">
        <f t="shared" si="56"/>
        <v>COSTOS</v>
      </c>
      <c r="I3609" s="20">
        <v>2026</v>
      </c>
    </row>
    <row r="3610" spans="1:9" x14ac:dyDescent="0.3">
      <c r="A3610" s="24" t="s">
        <v>136</v>
      </c>
      <c r="B3610" s="24" t="s">
        <v>130</v>
      </c>
      <c r="C3610" s="22">
        <v>4</v>
      </c>
      <c r="D3610" s="25">
        <v>0</v>
      </c>
      <c r="E3610" s="25">
        <v>5500000</v>
      </c>
      <c r="F3610" s="25">
        <v>5500000</v>
      </c>
      <c r="G3610" s="26">
        <v>0</v>
      </c>
      <c r="H3610" s="10" t="str">
        <f t="shared" si="56"/>
        <v>COSTOS</v>
      </c>
      <c r="I3610" s="20">
        <v>2026</v>
      </c>
    </row>
    <row r="3611" spans="1:9" hidden="1" x14ac:dyDescent="0.3">
      <c r="A3611" s="24" t="s">
        <v>105</v>
      </c>
      <c r="B3611" s="24" t="s">
        <v>106</v>
      </c>
      <c r="C3611" s="22">
        <v>1</v>
      </c>
      <c r="D3611" s="25">
        <v>1354166</v>
      </c>
      <c r="E3611" s="25">
        <v>0</v>
      </c>
      <c r="F3611" s="25">
        <v>-1354166</v>
      </c>
      <c r="G3611" s="26">
        <v>0</v>
      </c>
      <c r="H3611" s="10" t="str">
        <f t="shared" si="56"/>
        <v>COSTOS</v>
      </c>
      <c r="I3611" s="20">
        <v>2026</v>
      </c>
    </row>
    <row r="3612" spans="1:9" hidden="1" x14ac:dyDescent="0.3">
      <c r="A3612" s="23" t="s">
        <v>105</v>
      </c>
      <c r="B3612" s="23" t="s">
        <v>106</v>
      </c>
      <c r="C3612" s="22">
        <v>2</v>
      </c>
      <c r="D3612" s="25">
        <v>1354166</v>
      </c>
      <c r="E3612" s="25">
        <v>0</v>
      </c>
      <c r="F3612" s="25">
        <v>-1354166</v>
      </c>
      <c r="G3612" s="26">
        <v>0</v>
      </c>
      <c r="H3612" s="10" t="str">
        <f t="shared" si="56"/>
        <v>COSTOS</v>
      </c>
      <c r="I3612" s="20">
        <v>2026</v>
      </c>
    </row>
    <row r="3613" spans="1:9" hidden="1" x14ac:dyDescent="0.3">
      <c r="A3613" s="24" t="s">
        <v>105</v>
      </c>
      <c r="B3613" s="24" t="s">
        <v>106</v>
      </c>
      <c r="C3613" s="22">
        <v>3</v>
      </c>
      <c r="D3613" s="25">
        <v>2088541</v>
      </c>
      <c r="E3613" s="25">
        <v>0</v>
      </c>
      <c r="F3613" s="25">
        <v>-2088541</v>
      </c>
      <c r="G3613" s="26">
        <v>0</v>
      </c>
      <c r="H3613" s="10" t="str">
        <f t="shared" si="56"/>
        <v>COSTOS</v>
      </c>
      <c r="I3613" s="20">
        <v>2026</v>
      </c>
    </row>
    <row r="3614" spans="1:9" hidden="1" x14ac:dyDescent="0.3">
      <c r="A3614" s="24" t="s">
        <v>105</v>
      </c>
      <c r="B3614" s="24" t="s">
        <v>106</v>
      </c>
      <c r="C3614" s="22">
        <v>4</v>
      </c>
      <c r="D3614" s="25">
        <v>1588541</v>
      </c>
      <c r="E3614" s="25">
        <v>0</v>
      </c>
      <c r="F3614" s="25">
        <v>-1588541</v>
      </c>
      <c r="G3614" s="26">
        <v>0</v>
      </c>
      <c r="H3614" s="10" t="str">
        <f t="shared" si="56"/>
        <v>COSTOS</v>
      </c>
      <c r="I3614" s="20">
        <v>2026</v>
      </c>
    </row>
    <row r="3615" spans="1:9" hidden="1" x14ac:dyDescent="0.3">
      <c r="A3615" s="24" t="s">
        <v>107</v>
      </c>
      <c r="B3615" s="24" t="s">
        <v>61</v>
      </c>
      <c r="C3615" s="22">
        <v>1</v>
      </c>
      <c r="D3615" s="25">
        <v>1988975</v>
      </c>
      <c r="E3615" s="25">
        <v>0</v>
      </c>
      <c r="F3615" s="25">
        <v>-1988975</v>
      </c>
      <c r="G3615" s="26">
        <v>0</v>
      </c>
      <c r="H3615" s="10" t="str">
        <f t="shared" si="56"/>
        <v>COSTOS</v>
      </c>
      <c r="I3615" s="20">
        <v>2026</v>
      </c>
    </row>
    <row r="3616" spans="1:9" hidden="1" x14ac:dyDescent="0.3">
      <c r="A3616" s="23" t="s">
        <v>107</v>
      </c>
      <c r="B3616" s="23" t="s">
        <v>61</v>
      </c>
      <c r="C3616" s="22">
        <v>2</v>
      </c>
      <c r="D3616" s="25">
        <v>2200125</v>
      </c>
      <c r="E3616" s="25">
        <v>0</v>
      </c>
      <c r="F3616" s="25">
        <v>-2200125</v>
      </c>
      <c r="G3616" s="26">
        <v>0</v>
      </c>
      <c r="H3616" s="10" t="str">
        <f t="shared" si="56"/>
        <v>COSTOS</v>
      </c>
      <c r="I3616" s="20">
        <v>2026</v>
      </c>
    </row>
    <row r="3617" spans="1:9" hidden="1" x14ac:dyDescent="0.3">
      <c r="A3617" s="24" t="s">
        <v>107</v>
      </c>
      <c r="B3617" s="24" t="s">
        <v>61</v>
      </c>
      <c r="C3617" s="22">
        <v>3</v>
      </c>
      <c r="D3617" s="25">
        <v>1500000</v>
      </c>
      <c r="E3617" s="25">
        <v>0</v>
      </c>
      <c r="F3617" s="25">
        <v>-1500000</v>
      </c>
      <c r="G3617" s="26">
        <v>0</v>
      </c>
      <c r="H3617" s="10" t="str">
        <f t="shared" si="56"/>
        <v>COSTOS</v>
      </c>
      <c r="I3617" s="20">
        <v>2026</v>
      </c>
    </row>
    <row r="3618" spans="1:9" hidden="1" x14ac:dyDescent="0.3">
      <c r="A3618" s="24" t="s">
        <v>107</v>
      </c>
      <c r="B3618" s="24" t="s">
        <v>61</v>
      </c>
      <c r="C3618" s="22">
        <v>4</v>
      </c>
      <c r="D3618" s="25">
        <v>1500000</v>
      </c>
      <c r="E3618" s="25">
        <v>0</v>
      </c>
      <c r="F3618" s="25">
        <v>-1500000</v>
      </c>
      <c r="G3618" s="26">
        <v>0</v>
      </c>
      <c r="H3618" s="10" t="str">
        <f t="shared" si="56"/>
        <v>COSTOS</v>
      </c>
      <c r="I3618" s="20">
        <v>2026</v>
      </c>
    </row>
    <row r="3619" spans="1:9" hidden="1" x14ac:dyDescent="0.3">
      <c r="A3619" s="24" t="s">
        <v>237</v>
      </c>
      <c r="B3619" s="24" t="s">
        <v>61</v>
      </c>
      <c r="C3619" s="22">
        <v>1</v>
      </c>
      <c r="D3619" s="25">
        <v>0</v>
      </c>
      <c r="E3619" s="25">
        <v>0</v>
      </c>
      <c r="F3619" s="25">
        <v>0</v>
      </c>
      <c r="G3619" s="26">
        <v>0</v>
      </c>
      <c r="H3619" s="10" t="str">
        <f t="shared" si="56"/>
        <v>COSTOS</v>
      </c>
      <c r="I3619" s="20">
        <v>2026</v>
      </c>
    </row>
    <row r="3620" spans="1:9" hidden="1" x14ac:dyDescent="0.3">
      <c r="A3620" s="23" t="s">
        <v>237</v>
      </c>
      <c r="B3620" s="23" t="s">
        <v>61</v>
      </c>
      <c r="C3620" s="22">
        <v>2</v>
      </c>
      <c r="D3620" s="25">
        <v>125000</v>
      </c>
      <c r="E3620" s="25">
        <v>0</v>
      </c>
      <c r="F3620" s="25">
        <v>-125000</v>
      </c>
      <c r="G3620" s="26">
        <v>0</v>
      </c>
      <c r="H3620" s="10" t="str">
        <f t="shared" si="56"/>
        <v>COSTOS</v>
      </c>
      <c r="I3620" s="20">
        <v>2026</v>
      </c>
    </row>
    <row r="3621" spans="1:9" hidden="1" x14ac:dyDescent="0.3">
      <c r="A3621" s="24" t="s">
        <v>237</v>
      </c>
      <c r="B3621" s="24" t="s">
        <v>61</v>
      </c>
      <c r="C3621" s="22">
        <v>3</v>
      </c>
      <c r="D3621" s="25">
        <v>250000</v>
      </c>
      <c r="E3621" s="25">
        <v>0</v>
      </c>
      <c r="F3621" s="25">
        <v>-250000</v>
      </c>
      <c r="G3621" s="26">
        <v>0</v>
      </c>
      <c r="H3621" s="10" t="str">
        <f t="shared" si="56"/>
        <v>COSTOS</v>
      </c>
      <c r="I3621" s="20">
        <v>2026</v>
      </c>
    </row>
    <row r="3622" spans="1:9" hidden="1" x14ac:dyDescent="0.3">
      <c r="A3622" s="24" t="s">
        <v>237</v>
      </c>
      <c r="B3622" s="24" t="s">
        <v>61</v>
      </c>
      <c r="C3622" s="22">
        <v>4</v>
      </c>
      <c r="D3622" s="25">
        <v>250000</v>
      </c>
      <c r="E3622" s="25">
        <v>0</v>
      </c>
      <c r="F3622" s="25">
        <v>-250000</v>
      </c>
      <c r="G3622" s="26">
        <v>0</v>
      </c>
      <c r="H3622" s="10" t="str">
        <f t="shared" si="56"/>
        <v>COSTOS</v>
      </c>
      <c r="I3622" s="20">
        <v>2026</v>
      </c>
    </row>
    <row r="3623" spans="1:9" hidden="1" x14ac:dyDescent="0.3">
      <c r="A3623" s="24" t="s">
        <v>105</v>
      </c>
      <c r="B3623" s="24" t="s">
        <v>216</v>
      </c>
      <c r="C3623" s="22">
        <v>1</v>
      </c>
      <c r="D3623" s="25">
        <v>0</v>
      </c>
      <c r="E3623" s="25">
        <v>0</v>
      </c>
      <c r="F3623" s="25">
        <v>0</v>
      </c>
      <c r="G3623" s="26">
        <v>0</v>
      </c>
      <c r="H3623" s="10" t="str">
        <f t="shared" si="56"/>
        <v>COSTOS</v>
      </c>
      <c r="I3623" s="20">
        <v>2026</v>
      </c>
    </row>
    <row r="3624" spans="1:9" hidden="1" x14ac:dyDescent="0.3">
      <c r="A3624" s="23" t="s">
        <v>105</v>
      </c>
      <c r="B3624" s="23" t="s">
        <v>216</v>
      </c>
      <c r="C3624" s="22">
        <v>2</v>
      </c>
      <c r="D3624" s="25">
        <v>0</v>
      </c>
      <c r="E3624" s="25">
        <v>0</v>
      </c>
      <c r="F3624" s="25">
        <v>0</v>
      </c>
      <c r="G3624" s="26">
        <v>0</v>
      </c>
      <c r="H3624" s="10" t="str">
        <f t="shared" si="56"/>
        <v>COSTOS</v>
      </c>
      <c r="I3624" s="20">
        <v>2026</v>
      </c>
    </row>
    <row r="3625" spans="1:9" hidden="1" x14ac:dyDescent="0.3">
      <c r="A3625" s="24" t="s">
        <v>105</v>
      </c>
      <c r="B3625" s="24" t="s">
        <v>216</v>
      </c>
      <c r="C3625" s="22">
        <v>3</v>
      </c>
      <c r="D3625" s="25">
        <v>0</v>
      </c>
      <c r="E3625" s="25">
        <v>0</v>
      </c>
      <c r="F3625" s="25">
        <v>0</v>
      </c>
      <c r="G3625" s="26">
        <v>0</v>
      </c>
      <c r="H3625" s="10" t="str">
        <f t="shared" si="56"/>
        <v>COSTOS</v>
      </c>
      <c r="I3625" s="20">
        <v>2026</v>
      </c>
    </row>
    <row r="3626" spans="1:9" hidden="1" x14ac:dyDescent="0.3">
      <c r="A3626" s="24" t="s">
        <v>105</v>
      </c>
      <c r="B3626" s="24" t="s">
        <v>216</v>
      </c>
      <c r="C3626" s="22">
        <v>4</v>
      </c>
      <c r="D3626" s="25">
        <v>0</v>
      </c>
      <c r="E3626" s="25">
        <v>0</v>
      </c>
      <c r="F3626" s="25">
        <v>0</v>
      </c>
      <c r="G3626" s="26">
        <v>0</v>
      </c>
      <c r="H3626" s="10" t="str">
        <f t="shared" si="56"/>
        <v>COSTOS</v>
      </c>
      <c r="I3626" s="20">
        <v>2026</v>
      </c>
    </row>
    <row r="3627" spans="1:9" hidden="1" x14ac:dyDescent="0.3">
      <c r="A3627" s="24" t="s">
        <v>219</v>
      </c>
      <c r="B3627" s="24" t="s">
        <v>22</v>
      </c>
      <c r="C3627" s="22">
        <v>1</v>
      </c>
      <c r="D3627" s="25">
        <v>1100000</v>
      </c>
      <c r="E3627" s="25">
        <v>1100000</v>
      </c>
      <c r="F3627" s="25">
        <v>0</v>
      </c>
      <c r="G3627" s="26">
        <v>1</v>
      </c>
      <c r="H3627" s="10" t="str">
        <f t="shared" si="56"/>
        <v>GASTOS</v>
      </c>
      <c r="I3627" s="20">
        <v>2026</v>
      </c>
    </row>
    <row r="3628" spans="1:9" hidden="1" x14ac:dyDescent="0.3">
      <c r="A3628" s="23" t="s">
        <v>219</v>
      </c>
      <c r="B3628" s="23" t="s">
        <v>22</v>
      </c>
      <c r="C3628" s="22">
        <v>2</v>
      </c>
      <c r="D3628" s="25">
        <v>0</v>
      </c>
      <c r="E3628" s="25">
        <v>0</v>
      </c>
      <c r="F3628" s="25">
        <v>0</v>
      </c>
      <c r="G3628" s="26">
        <v>0</v>
      </c>
      <c r="H3628" s="10" t="str">
        <f t="shared" si="56"/>
        <v>GASTOS</v>
      </c>
      <c r="I3628" s="20">
        <v>2026</v>
      </c>
    </row>
    <row r="3629" spans="1:9" hidden="1" x14ac:dyDescent="0.3">
      <c r="A3629" s="24" t="s">
        <v>219</v>
      </c>
      <c r="B3629" s="24" t="s">
        <v>22</v>
      </c>
      <c r="C3629" s="22">
        <v>3</v>
      </c>
      <c r="D3629" s="25">
        <v>0</v>
      </c>
      <c r="E3629" s="25">
        <v>0</v>
      </c>
      <c r="F3629" s="25">
        <v>0</v>
      </c>
      <c r="G3629" s="26">
        <v>0</v>
      </c>
      <c r="H3629" s="10" t="str">
        <f t="shared" si="56"/>
        <v>GASTOS</v>
      </c>
      <c r="I3629" s="20">
        <v>2026</v>
      </c>
    </row>
    <row r="3630" spans="1:9" hidden="1" x14ac:dyDescent="0.3">
      <c r="A3630" s="24" t="s">
        <v>219</v>
      </c>
      <c r="B3630" s="24" t="s">
        <v>22</v>
      </c>
      <c r="C3630" s="22">
        <v>4</v>
      </c>
      <c r="D3630" s="25">
        <v>0</v>
      </c>
      <c r="E3630" s="25">
        <v>0</v>
      </c>
      <c r="F3630" s="25">
        <v>0</v>
      </c>
      <c r="G3630" s="26">
        <v>0</v>
      </c>
      <c r="H3630" s="10" t="str">
        <f t="shared" ref="H3630:H3693" si="57">+IF(OR(A3630="ADMINISTRACION",A3630="COMERCIAL",A3630="COMERCIAL-EXPORTACIONES",A3630="LEASING DE LA BODEGA",A3630="LOGISTICA-SALIDA",A3630="OTROS GASTOS",A3630="BODEGA ALQUILADA", A3630="BODEGA CARTOPLAST", A3630="BODEGA CARTOPLAS", A3630= "GESTION HUMANA-OTROS GASTOS",A3630="FAMILIA"),"GASTOS","COSTOS")</f>
        <v>GASTOS</v>
      </c>
      <c r="I3630" s="20">
        <v>2026</v>
      </c>
    </row>
    <row r="3631" spans="1:9" hidden="1" x14ac:dyDescent="0.3">
      <c r="A3631" s="24" t="s">
        <v>56</v>
      </c>
      <c r="B3631" s="24" t="s">
        <v>22</v>
      </c>
      <c r="C3631" s="22">
        <v>1</v>
      </c>
      <c r="D3631" s="25">
        <v>0</v>
      </c>
      <c r="E3631" s="25">
        <v>0</v>
      </c>
      <c r="F3631" s="25">
        <v>0</v>
      </c>
      <c r="G3631" s="26">
        <v>0</v>
      </c>
      <c r="H3631" s="10" t="str">
        <f t="shared" si="57"/>
        <v>GASTOS</v>
      </c>
      <c r="I3631" s="20">
        <v>2026</v>
      </c>
    </row>
    <row r="3632" spans="1:9" hidden="1" x14ac:dyDescent="0.3">
      <c r="A3632" s="23" t="s">
        <v>56</v>
      </c>
      <c r="B3632" s="23" t="s">
        <v>22</v>
      </c>
      <c r="C3632" s="22">
        <v>2</v>
      </c>
      <c r="D3632" s="25">
        <v>0</v>
      </c>
      <c r="E3632" s="25">
        <v>0</v>
      </c>
      <c r="F3632" s="25">
        <v>0</v>
      </c>
      <c r="G3632" s="26">
        <v>0</v>
      </c>
      <c r="H3632" s="10" t="str">
        <f t="shared" si="57"/>
        <v>GASTOS</v>
      </c>
      <c r="I3632" s="20">
        <v>2026</v>
      </c>
    </row>
    <row r="3633" spans="1:9" hidden="1" x14ac:dyDescent="0.3">
      <c r="A3633" s="24" t="s">
        <v>56</v>
      </c>
      <c r="B3633" s="24" t="s">
        <v>22</v>
      </c>
      <c r="C3633" s="22">
        <v>3</v>
      </c>
      <c r="D3633" s="25">
        <v>0</v>
      </c>
      <c r="E3633" s="25">
        <v>0</v>
      </c>
      <c r="F3633" s="25">
        <v>0</v>
      </c>
      <c r="G3633" s="26">
        <v>0</v>
      </c>
      <c r="H3633" s="10" t="str">
        <f t="shared" si="57"/>
        <v>GASTOS</v>
      </c>
      <c r="I3633" s="20">
        <v>2026</v>
      </c>
    </row>
    <row r="3634" spans="1:9" hidden="1" x14ac:dyDescent="0.3">
      <c r="A3634" s="24" t="s">
        <v>56</v>
      </c>
      <c r="B3634" s="24" t="s">
        <v>22</v>
      </c>
      <c r="C3634" s="22">
        <v>4</v>
      </c>
      <c r="D3634" s="25">
        <v>0</v>
      </c>
      <c r="E3634" s="25">
        <v>0</v>
      </c>
      <c r="F3634" s="25">
        <v>0</v>
      </c>
      <c r="G3634" s="26">
        <v>0</v>
      </c>
      <c r="H3634" s="10" t="str">
        <f t="shared" si="57"/>
        <v>GASTOS</v>
      </c>
      <c r="I3634" s="20">
        <v>2026</v>
      </c>
    </row>
    <row r="3635" spans="1:9" hidden="1" x14ac:dyDescent="0.3">
      <c r="A3635" s="23" t="s">
        <v>7</v>
      </c>
      <c r="B3635" s="23" t="s">
        <v>23</v>
      </c>
      <c r="C3635" s="22">
        <v>1</v>
      </c>
      <c r="D3635" s="25">
        <v>3594745</v>
      </c>
      <c r="E3635" s="25">
        <v>3594745</v>
      </c>
      <c r="F3635" s="25">
        <v>0</v>
      </c>
      <c r="G3635" s="26">
        <v>1</v>
      </c>
      <c r="H3635" s="10" t="str">
        <f t="shared" si="57"/>
        <v>GASTOS</v>
      </c>
      <c r="I3635" s="20">
        <v>2026</v>
      </c>
    </row>
    <row r="3636" spans="1:9" hidden="1" x14ac:dyDescent="0.3">
      <c r="A3636" s="24" t="s">
        <v>7</v>
      </c>
      <c r="B3636" s="24" t="s">
        <v>23</v>
      </c>
      <c r="C3636" s="22">
        <v>2</v>
      </c>
      <c r="D3636" s="25">
        <v>3594745</v>
      </c>
      <c r="E3636" s="25">
        <v>3594745</v>
      </c>
      <c r="F3636" s="25">
        <v>0</v>
      </c>
      <c r="G3636" s="26">
        <v>1</v>
      </c>
      <c r="H3636" s="10" t="str">
        <f t="shared" si="57"/>
        <v>GASTOS</v>
      </c>
      <c r="I3636" s="20">
        <v>2026</v>
      </c>
    </row>
    <row r="3637" spans="1:9" hidden="1" x14ac:dyDescent="0.3">
      <c r="A3637" s="24" t="s">
        <v>7</v>
      </c>
      <c r="B3637" s="24" t="s">
        <v>23</v>
      </c>
      <c r="C3637" s="22">
        <v>3</v>
      </c>
      <c r="D3637" s="25">
        <v>3594745</v>
      </c>
      <c r="E3637" s="25">
        <v>3594745</v>
      </c>
      <c r="F3637" s="25">
        <v>0</v>
      </c>
      <c r="G3637" s="26">
        <v>1</v>
      </c>
      <c r="H3637" s="10" t="str">
        <f t="shared" si="57"/>
        <v>GASTOS</v>
      </c>
      <c r="I3637" s="20">
        <v>2026</v>
      </c>
    </row>
    <row r="3638" spans="1:9" hidden="1" x14ac:dyDescent="0.3">
      <c r="A3638" s="24" t="s">
        <v>7</v>
      </c>
      <c r="B3638" s="24" t="s">
        <v>23</v>
      </c>
      <c r="C3638" s="22">
        <v>4</v>
      </c>
      <c r="D3638" s="25">
        <v>3594745</v>
      </c>
      <c r="E3638" s="25">
        <v>3594745</v>
      </c>
      <c r="F3638" s="25">
        <v>0</v>
      </c>
      <c r="G3638" s="26">
        <v>1</v>
      </c>
      <c r="H3638" s="10" t="str">
        <f t="shared" si="57"/>
        <v>GASTOS</v>
      </c>
      <c r="I3638" s="20">
        <v>2026</v>
      </c>
    </row>
    <row r="3639" spans="1:9" hidden="1" x14ac:dyDescent="0.3">
      <c r="A3639" s="23" t="s">
        <v>219</v>
      </c>
      <c r="B3639" s="23" t="s">
        <v>23</v>
      </c>
      <c r="C3639" s="22">
        <v>1</v>
      </c>
      <c r="D3639" s="25">
        <v>6253870</v>
      </c>
      <c r="E3639" s="25">
        <v>6253870</v>
      </c>
      <c r="F3639" s="25">
        <v>0</v>
      </c>
      <c r="G3639" s="26">
        <v>1</v>
      </c>
      <c r="H3639" s="10" t="str">
        <f t="shared" si="57"/>
        <v>GASTOS</v>
      </c>
      <c r="I3639" s="20">
        <v>2026</v>
      </c>
    </row>
    <row r="3640" spans="1:9" hidden="1" x14ac:dyDescent="0.3">
      <c r="A3640" s="24" t="s">
        <v>219</v>
      </c>
      <c r="B3640" s="24" t="s">
        <v>23</v>
      </c>
      <c r="C3640" s="22">
        <v>2</v>
      </c>
      <c r="D3640" s="25">
        <v>6253870</v>
      </c>
      <c r="E3640" s="25">
        <v>6253870</v>
      </c>
      <c r="F3640" s="25">
        <v>0</v>
      </c>
      <c r="G3640" s="26">
        <v>1</v>
      </c>
      <c r="H3640" s="10" t="str">
        <f t="shared" si="57"/>
        <v>GASTOS</v>
      </c>
      <c r="I3640" s="20">
        <v>2026</v>
      </c>
    </row>
    <row r="3641" spans="1:9" hidden="1" x14ac:dyDescent="0.3">
      <c r="A3641" s="24" t="s">
        <v>219</v>
      </c>
      <c r="B3641" s="24" t="s">
        <v>23</v>
      </c>
      <c r="C3641" s="22">
        <v>3</v>
      </c>
      <c r="D3641" s="25">
        <v>6253870</v>
      </c>
      <c r="E3641" s="25">
        <v>6253870</v>
      </c>
      <c r="F3641" s="25">
        <v>0</v>
      </c>
      <c r="G3641" s="26">
        <v>1</v>
      </c>
      <c r="H3641" s="10" t="str">
        <f t="shared" si="57"/>
        <v>GASTOS</v>
      </c>
      <c r="I3641" s="20">
        <v>2026</v>
      </c>
    </row>
    <row r="3642" spans="1:9" hidden="1" x14ac:dyDescent="0.3">
      <c r="A3642" s="24" t="s">
        <v>219</v>
      </c>
      <c r="B3642" s="24" t="s">
        <v>23</v>
      </c>
      <c r="C3642" s="22">
        <v>4</v>
      </c>
      <c r="D3642" s="25">
        <v>6253870</v>
      </c>
      <c r="E3642" s="25">
        <v>6253870</v>
      </c>
      <c r="F3642" s="25">
        <v>0</v>
      </c>
      <c r="G3642" s="26">
        <v>1</v>
      </c>
      <c r="H3642" s="10" t="str">
        <f t="shared" si="57"/>
        <v>GASTOS</v>
      </c>
      <c r="I3642" s="20">
        <v>2026</v>
      </c>
    </row>
    <row r="3643" spans="1:9" hidden="1" x14ac:dyDescent="0.3">
      <c r="A3643" s="23" t="s">
        <v>242</v>
      </c>
      <c r="B3643" s="23" t="s">
        <v>23</v>
      </c>
      <c r="C3643" s="22">
        <v>3</v>
      </c>
      <c r="D3643" s="25">
        <v>0</v>
      </c>
      <c r="E3643" s="25">
        <v>5094380</v>
      </c>
      <c r="F3643" s="25">
        <v>5094380</v>
      </c>
      <c r="G3643" s="26">
        <v>0</v>
      </c>
      <c r="H3643" s="10" t="str">
        <f t="shared" si="57"/>
        <v>GASTOS</v>
      </c>
      <c r="I3643" s="20">
        <v>2026</v>
      </c>
    </row>
    <row r="3644" spans="1:9" hidden="1" x14ac:dyDescent="0.3">
      <c r="A3644" s="24" t="s">
        <v>242</v>
      </c>
      <c r="B3644" s="24" t="s">
        <v>23</v>
      </c>
      <c r="C3644" s="22">
        <v>4</v>
      </c>
      <c r="D3644" s="25">
        <v>0</v>
      </c>
      <c r="E3644" s="25">
        <v>-5094380</v>
      </c>
      <c r="F3644" s="25">
        <v>-5094380</v>
      </c>
      <c r="G3644" s="26">
        <v>0</v>
      </c>
      <c r="H3644" s="10" t="str">
        <f t="shared" si="57"/>
        <v>GASTOS</v>
      </c>
      <c r="I3644" s="20">
        <v>2026</v>
      </c>
    </row>
    <row r="3645" spans="1:9" hidden="1" x14ac:dyDescent="0.3">
      <c r="A3645" s="24" t="s">
        <v>7</v>
      </c>
      <c r="B3645" s="24" t="s">
        <v>24</v>
      </c>
      <c r="C3645" s="22">
        <v>1</v>
      </c>
      <c r="D3645" s="25">
        <v>750677</v>
      </c>
      <c r="E3645" s="25">
        <v>750677</v>
      </c>
      <c r="F3645" s="25">
        <v>0</v>
      </c>
      <c r="G3645" s="26">
        <v>1</v>
      </c>
      <c r="H3645" s="10" t="str">
        <f t="shared" si="57"/>
        <v>GASTOS</v>
      </c>
      <c r="I3645" s="20">
        <v>2026</v>
      </c>
    </row>
    <row r="3646" spans="1:9" hidden="1" x14ac:dyDescent="0.3">
      <c r="A3646" s="24" t="s">
        <v>7</v>
      </c>
      <c r="B3646" s="24" t="s">
        <v>24</v>
      </c>
      <c r="C3646" s="22">
        <v>2</v>
      </c>
      <c r="D3646" s="25">
        <v>750677</v>
      </c>
      <c r="E3646" s="25">
        <v>750677</v>
      </c>
      <c r="F3646" s="25">
        <v>0</v>
      </c>
      <c r="G3646" s="26">
        <v>1</v>
      </c>
      <c r="H3646" s="10" t="str">
        <f t="shared" si="57"/>
        <v>GASTOS</v>
      </c>
      <c r="I3646" s="20">
        <v>2026</v>
      </c>
    </row>
    <row r="3647" spans="1:9" hidden="1" x14ac:dyDescent="0.3">
      <c r="A3647" s="23" t="s">
        <v>7</v>
      </c>
      <c r="B3647" s="23" t="s">
        <v>24</v>
      </c>
      <c r="C3647" s="22">
        <v>3</v>
      </c>
      <c r="D3647" s="25">
        <v>750677</v>
      </c>
      <c r="E3647" s="25">
        <v>750677</v>
      </c>
      <c r="F3647" s="25">
        <v>0</v>
      </c>
      <c r="G3647" s="26">
        <v>1</v>
      </c>
      <c r="H3647" s="10" t="str">
        <f t="shared" si="57"/>
        <v>GASTOS</v>
      </c>
      <c r="I3647" s="20">
        <v>2026</v>
      </c>
    </row>
    <row r="3648" spans="1:9" hidden="1" x14ac:dyDescent="0.3">
      <c r="A3648" s="24" t="s">
        <v>7</v>
      </c>
      <c r="B3648" s="24" t="s">
        <v>24</v>
      </c>
      <c r="C3648" s="22">
        <v>4</v>
      </c>
      <c r="D3648" s="25">
        <v>750677</v>
      </c>
      <c r="E3648" s="25">
        <v>750677</v>
      </c>
      <c r="F3648" s="25">
        <v>0</v>
      </c>
      <c r="G3648" s="26">
        <v>1</v>
      </c>
      <c r="H3648" s="10" t="str">
        <f t="shared" si="57"/>
        <v>GASTOS</v>
      </c>
      <c r="I3648" s="20">
        <v>2026</v>
      </c>
    </row>
    <row r="3649" spans="1:9" hidden="1" x14ac:dyDescent="0.3">
      <c r="A3649" s="24" t="s">
        <v>7</v>
      </c>
      <c r="B3649" s="24" t="s">
        <v>42</v>
      </c>
      <c r="C3649" s="22">
        <v>1</v>
      </c>
      <c r="D3649" s="25">
        <v>2490000</v>
      </c>
      <c r="E3649" s="25">
        <v>2490000</v>
      </c>
      <c r="F3649" s="25">
        <v>0</v>
      </c>
      <c r="G3649" s="26">
        <v>1</v>
      </c>
      <c r="H3649" s="10" t="str">
        <f t="shared" si="57"/>
        <v>GASTOS</v>
      </c>
      <c r="I3649" s="20">
        <v>2026</v>
      </c>
    </row>
    <row r="3650" spans="1:9" hidden="1" x14ac:dyDescent="0.3">
      <c r="A3650" s="24" t="s">
        <v>7</v>
      </c>
      <c r="B3650" s="24" t="s">
        <v>42</v>
      </c>
      <c r="C3650" s="22">
        <v>2</v>
      </c>
      <c r="D3650" s="25">
        <v>0</v>
      </c>
      <c r="E3650" s="25">
        <v>0</v>
      </c>
      <c r="F3650" s="25">
        <v>0</v>
      </c>
      <c r="G3650" s="26">
        <v>0</v>
      </c>
      <c r="H3650" s="10" t="str">
        <f t="shared" si="57"/>
        <v>GASTOS</v>
      </c>
      <c r="I3650" s="20">
        <v>2026</v>
      </c>
    </row>
    <row r="3651" spans="1:9" hidden="1" x14ac:dyDescent="0.3">
      <c r="A3651" s="23" t="s">
        <v>7</v>
      </c>
      <c r="B3651" s="23" t="s">
        <v>42</v>
      </c>
      <c r="C3651" s="22">
        <v>3</v>
      </c>
      <c r="D3651" s="25">
        <v>2549070</v>
      </c>
      <c r="E3651" s="25">
        <v>2549070</v>
      </c>
      <c r="F3651" s="25">
        <v>0</v>
      </c>
      <c r="G3651" s="26">
        <v>1</v>
      </c>
      <c r="H3651" s="10" t="str">
        <f t="shared" si="57"/>
        <v>GASTOS</v>
      </c>
      <c r="I3651" s="20">
        <v>2026</v>
      </c>
    </row>
    <row r="3652" spans="1:9" hidden="1" x14ac:dyDescent="0.3">
      <c r="A3652" s="24" t="s">
        <v>7</v>
      </c>
      <c r="B3652" s="24" t="s">
        <v>42</v>
      </c>
      <c r="C3652" s="22">
        <v>4</v>
      </c>
      <c r="D3652" s="25">
        <v>0</v>
      </c>
      <c r="E3652" s="25">
        <v>0</v>
      </c>
      <c r="F3652" s="25">
        <v>0</v>
      </c>
      <c r="G3652" s="26">
        <v>0</v>
      </c>
      <c r="H3652" s="10" t="str">
        <f t="shared" si="57"/>
        <v>GASTOS</v>
      </c>
      <c r="I3652" s="20">
        <v>2026</v>
      </c>
    </row>
    <row r="3653" spans="1:9" hidden="1" x14ac:dyDescent="0.3">
      <c r="A3653" s="24" t="s">
        <v>56</v>
      </c>
      <c r="B3653" s="24" t="s">
        <v>25</v>
      </c>
      <c r="C3653" s="22">
        <v>1</v>
      </c>
      <c r="D3653" s="25">
        <v>3554722</v>
      </c>
      <c r="E3653" s="25">
        <v>3554722</v>
      </c>
      <c r="F3653" s="25">
        <v>0</v>
      </c>
      <c r="G3653" s="26">
        <v>1</v>
      </c>
      <c r="H3653" s="10" t="str">
        <f t="shared" si="57"/>
        <v>GASTOS</v>
      </c>
      <c r="I3653" s="20">
        <v>2026</v>
      </c>
    </row>
    <row r="3654" spans="1:9" hidden="1" x14ac:dyDescent="0.3">
      <c r="A3654" s="24" t="s">
        <v>56</v>
      </c>
      <c r="B3654" s="24" t="s">
        <v>25</v>
      </c>
      <c r="C3654" s="22">
        <v>2</v>
      </c>
      <c r="D3654" s="25">
        <v>3554722</v>
      </c>
      <c r="E3654" s="25">
        <v>3554722</v>
      </c>
      <c r="F3654" s="25">
        <v>0</v>
      </c>
      <c r="G3654" s="26">
        <v>1</v>
      </c>
      <c r="H3654" s="10" t="str">
        <f t="shared" si="57"/>
        <v>GASTOS</v>
      </c>
      <c r="I3654" s="20">
        <v>2026</v>
      </c>
    </row>
    <row r="3655" spans="1:9" hidden="1" x14ac:dyDescent="0.3">
      <c r="A3655" s="23" t="s">
        <v>56</v>
      </c>
      <c r="B3655" s="23" t="s">
        <v>25</v>
      </c>
      <c r="C3655" s="22">
        <v>3</v>
      </c>
      <c r="D3655" s="25">
        <v>3554722</v>
      </c>
      <c r="E3655" s="25">
        <v>3554722</v>
      </c>
      <c r="F3655" s="25">
        <v>0</v>
      </c>
      <c r="G3655" s="26">
        <v>1</v>
      </c>
      <c r="H3655" s="10" t="str">
        <f t="shared" si="57"/>
        <v>GASTOS</v>
      </c>
      <c r="I3655" s="20">
        <v>2026</v>
      </c>
    </row>
    <row r="3656" spans="1:9" hidden="1" x14ac:dyDescent="0.3">
      <c r="A3656" s="24" t="s">
        <v>56</v>
      </c>
      <c r="B3656" s="24" t="s">
        <v>25</v>
      </c>
      <c r="C3656" s="22">
        <v>4</v>
      </c>
      <c r="D3656" s="25">
        <v>3554722</v>
      </c>
      <c r="E3656" s="25">
        <v>3554722</v>
      </c>
      <c r="F3656" s="25">
        <v>0</v>
      </c>
      <c r="G3656" s="26">
        <v>1</v>
      </c>
      <c r="H3656" s="10" t="str">
        <f t="shared" si="57"/>
        <v>GASTOS</v>
      </c>
      <c r="I3656" s="20">
        <v>2026</v>
      </c>
    </row>
    <row r="3657" spans="1:9" hidden="1" x14ac:dyDescent="0.3">
      <c r="A3657" s="24" t="s">
        <v>7</v>
      </c>
      <c r="B3657" s="24" t="s">
        <v>209</v>
      </c>
      <c r="C3657" s="22">
        <v>2</v>
      </c>
      <c r="D3657" s="25">
        <v>0</v>
      </c>
      <c r="E3657" s="25">
        <v>105200</v>
      </c>
      <c r="F3657" s="25">
        <v>105200</v>
      </c>
      <c r="G3657" s="26">
        <v>0</v>
      </c>
      <c r="H3657" s="10" t="str">
        <f t="shared" si="57"/>
        <v>GASTOS</v>
      </c>
      <c r="I3657" s="20">
        <v>2026</v>
      </c>
    </row>
    <row r="3658" spans="1:9" hidden="1" x14ac:dyDescent="0.3">
      <c r="A3658" s="24" t="s">
        <v>7</v>
      </c>
      <c r="B3658" s="24" t="s">
        <v>209</v>
      </c>
      <c r="C3658" s="22">
        <v>3</v>
      </c>
      <c r="D3658" s="25">
        <v>0</v>
      </c>
      <c r="E3658" s="25">
        <v>0</v>
      </c>
      <c r="F3658" s="25">
        <v>0</v>
      </c>
      <c r="G3658" s="26">
        <v>0</v>
      </c>
      <c r="H3658" s="10" t="str">
        <f t="shared" si="57"/>
        <v>GASTOS</v>
      </c>
      <c r="I3658" s="20">
        <v>2026</v>
      </c>
    </row>
    <row r="3659" spans="1:9" hidden="1" x14ac:dyDescent="0.3">
      <c r="A3659" s="23" t="s">
        <v>7</v>
      </c>
      <c r="B3659" s="23" t="s">
        <v>209</v>
      </c>
      <c r="C3659" s="22">
        <v>4</v>
      </c>
      <c r="D3659" s="25">
        <v>0</v>
      </c>
      <c r="E3659" s="25">
        <v>0</v>
      </c>
      <c r="F3659" s="25">
        <v>0</v>
      </c>
      <c r="G3659" s="26">
        <v>0</v>
      </c>
      <c r="H3659" s="10" t="str">
        <f t="shared" si="57"/>
        <v>GASTOS</v>
      </c>
      <c r="I3659" s="20">
        <v>2026</v>
      </c>
    </row>
    <row r="3660" spans="1:9" hidden="1" x14ac:dyDescent="0.3">
      <c r="A3660" s="24" t="s">
        <v>219</v>
      </c>
      <c r="B3660" s="24" t="s">
        <v>209</v>
      </c>
      <c r="C3660" s="22">
        <v>1</v>
      </c>
      <c r="D3660" s="25">
        <v>0</v>
      </c>
      <c r="E3660" s="25">
        <v>0</v>
      </c>
      <c r="F3660" s="25">
        <v>0</v>
      </c>
      <c r="G3660" s="26">
        <v>0</v>
      </c>
      <c r="H3660" s="10" t="str">
        <f t="shared" si="57"/>
        <v>GASTOS</v>
      </c>
      <c r="I3660" s="20">
        <v>2026</v>
      </c>
    </row>
    <row r="3661" spans="1:9" hidden="1" x14ac:dyDescent="0.3">
      <c r="A3661" s="24" t="s">
        <v>219</v>
      </c>
      <c r="B3661" s="24" t="s">
        <v>209</v>
      </c>
      <c r="C3661" s="22">
        <v>2</v>
      </c>
      <c r="D3661" s="25">
        <v>3808000</v>
      </c>
      <c r="E3661" s="25">
        <v>3808000</v>
      </c>
      <c r="F3661" s="25">
        <v>0</v>
      </c>
      <c r="G3661" s="26">
        <v>1</v>
      </c>
      <c r="H3661" s="10" t="str">
        <f t="shared" si="57"/>
        <v>GASTOS</v>
      </c>
      <c r="I3661" s="20">
        <v>2026</v>
      </c>
    </row>
    <row r="3662" spans="1:9" hidden="1" x14ac:dyDescent="0.3">
      <c r="A3662" s="24" t="s">
        <v>219</v>
      </c>
      <c r="B3662" s="24" t="s">
        <v>209</v>
      </c>
      <c r="C3662" s="22">
        <v>3</v>
      </c>
      <c r="D3662" s="25">
        <v>3808000</v>
      </c>
      <c r="E3662" s="25">
        <v>3808000</v>
      </c>
      <c r="F3662" s="25">
        <v>0</v>
      </c>
      <c r="G3662" s="26">
        <v>1</v>
      </c>
      <c r="H3662" s="10" t="str">
        <f t="shared" si="57"/>
        <v>GASTOS</v>
      </c>
      <c r="I3662" s="20">
        <v>2026</v>
      </c>
    </row>
    <row r="3663" spans="1:9" hidden="1" x14ac:dyDescent="0.3">
      <c r="A3663" s="23" t="s">
        <v>219</v>
      </c>
      <c r="B3663" s="23" t="s">
        <v>209</v>
      </c>
      <c r="C3663" s="22">
        <v>4</v>
      </c>
      <c r="D3663" s="25">
        <v>3808000</v>
      </c>
      <c r="E3663" s="25">
        <v>3808000</v>
      </c>
      <c r="F3663" s="25">
        <v>0</v>
      </c>
      <c r="G3663" s="26">
        <v>1</v>
      </c>
      <c r="H3663" s="10" t="str">
        <f t="shared" si="57"/>
        <v>GASTOS</v>
      </c>
      <c r="I3663" s="20">
        <v>2026</v>
      </c>
    </row>
    <row r="3664" spans="1:9" hidden="1" x14ac:dyDescent="0.3">
      <c r="A3664" s="24" t="s">
        <v>7</v>
      </c>
      <c r="B3664" s="24" t="s">
        <v>26</v>
      </c>
      <c r="C3664" s="22">
        <v>1</v>
      </c>
      <c r="D3664" s="25">
        <v>328824</v>
      </c>
      <c r="E3664" s="25">
        <v>328824</v>
      </c>
      <c r="F3664" s="25">
        <v>0</v>
      </c>
      <c r="G3664" s="26">
        <v>1</v>
      </c>
      <c r="H3664" s="10" t="str">
        <f t="shared" si="57"/>
        <v>GASTOS</v>
      </c>
      <c r="I3664" s="20">
        <v>2026</v>
      </c>
    </row>
    <row r="3665" spans="1:9" hidden="1" x14ac:dyDescent="0.3">
      <c r="A3665" s="24" t="s">
        <v>7</v>
      </c>
      <c r="B3665" s="24" t="s">
        <v>26</v>
      </c>
      <c r="C3665" s="22">
        <v>2</v>
      </c>
      <c r="D3665" s="25">
        <v>829824</v>
      </c>
      <c r="E3665" s="25">
        <v>829824</v>
      </c>
      <c r="F3665" s="25">
        <v>0</v>
      </c>
      <c r="G3665" s="26">
        <v>1</v>
      </c>
      <c r="H3665" s="10" t="str">
        <f t="shared" si="57"/>
        <v>GASTOS</v>
      </c>
      <c r="I3665" s="20">
        <v>2026</v>
      </c>
    </row>
    <row r="3666" spans="1:9" hidden="1" x14ac:dyDescent="0.3">
      <c r="A3666" s="24" t="s">
        <v>7</v>
      </c>
      <c r="B3666" s="24" t="s">
        <v>26</v>
      </c>
      <c r="C3666" s="22">
        <v>3</v>
      </c>
      <c r="D3666" s="25">
        <v>0</v>
      </c>
      <c r="E3666" s="25">
        <v>29000</v>
      </c>
      <c r="F3666" s="25">
        <v>29000</v>
      </c>
      <c r="G3666" s="26">
        <v>0</v>
      </c>
      <c r="H3666" s="10" t="str">
        <f t="shared" si="57"/>
        <v>GASTOS</v>
      </c>
      <c r="I3666" s="20">
        <v>2026</v>
      </c>
    </row>
    <row r="3667" spans="1:9" hidden="1" x14ac:dyDescent="0.3">
      <c r="A3667" s="23" t="s">
        <v>7</v>
      </c>
      <c r="B3667" s="23" t="s">
        <v>26</v>
      </c>
      <c r="C3667" s="22">
        <v>4</v>
      </c>
      <c r="D3667" s="25">
        <v>0</v>
      </c>
      <c r="E3667" s="25">
        <v>477589</v>
      </c>
      <c r="F3667" s="25">
        <v>477589</v>
      </c>
      <c r="G3667" s="26">
        <v>0</v>
      </c>
      <c r="H3667" s="10" t="str">
        <f t="shared" si="57"/>
        <v>GASTOS</v>
      </c>
      <c r="I3667" s="20">
        <v>2026</v>
      </c>
    </row>
    <row r="3668" spans="1:9" hidden="1" x14ac:dyDescent="0.3">
      <c r="A3668" s="24" t="s">
        <v>56</v>
      </c>
      <c r="B3668" s="24" t="s">
        <v>26</v>
      </c>
      <c r="C3668" s="22">
        <v>1</v>
      </c>
      <c r="D3668" s="25">
        <v>0</v>
      </c>
      <c r="E3668" s="25">
        <v>2500000</v>
      </c>
      <c r="F3668" s="25">
        <v>2500000</v>
      </c>
      <c r="G3668" s="26">
        <v>0</v>
      </c>
      <c r="H3668" s="10" t="str">
        <f t="shared" si="57"/>
        <v>GASTOS</v>
      </c>
      <c r="I3668" s="20">
        <v>2026</v>
      </c>
    </row>
    <row r="3669" spans="1:9" hidden="1" x14ac:dyDescent="0.3">
      <c r="A3669" s="24" t="s">
        <v>56</v>
      </c>
      <c r="B3669" s="24" t="s">
        <v>26</v>
      </c>
      <c r="C3669" s="22">
        <v>2</v>
      </c>
      <c r="D3669" s="25">
        <v>0</v>
      </c>
      <c r="E3669" s="25">
        <v>0</v>
      </c>
      <c r="F3669" s="25">
        <v>0</v>
      </c>
      <c r="G3669" s="26">
        <v>0</v>
      </c>
      <c r="H3669" s="10" t="str">
        <f t="shared" si="57"/>
        <v>GASTOS</v>
      </c>
      <c r="I3669" s="20">
        <v>2026</v>
      </c>
    </row>
    <row r="3670" spans="1:9" hidden="1" x14ac:dyDescent="0.3">
      <c r="A3670" s="24" t="s">
        <v>56</v>
      </c>
      <c r="B3670" s="24" t="s">
        <v>26</v>
      </c>
      <c r="C3670" s="22">
        <v>3</v>
      </c>
      <c r="D3670" s="25">
        <v>0</v>
      </c>
      <c r="E3670" s="25">
        <v>0</v>
      </c>
      <c r="F3670" s="25">
        <v>0</v>
      </c>
      <c r="G3670" s="26">
        <v>0</v>
      </c>
      <c r="H3670" s="10" t="str">
        <f t="shared" si="57"/>
        <v>GASTOS</v>
      </c>
      <c r="I3670" s="20">
        <v>2026</v>
      </c>
    </row>
    <row r="3671" spans="1:9" hidden="1" x14ac:dyDescent="0.3">
      <c r="A3671" s="23" t="s">
        <v>56</v>
      </c>
      <c r="B3671" s="23" t="s">
        <v>26</v>
      </c>
      <c r="C3671" s="22">
        <v>4</v>
      </c>
      <c r="D3671" s="25">
        <v>0</v>
      </c>
      <c r="E3671" s="25">
        <v>189076</v>
      </c>
      <c r="F3671" s="25">
        <v>189076</v>
      </c>
      <c r="G3671" s="26">
        <v>0</v>
      </c>
      <c r="H3671" s="10" t="str">
        <f t="shared" si="57"/>
        <v>GASTOS</v>
      </c>
      <c r="I3671" s="20">
        <v>2026</v>
      </c>
    </row>
    <row r="3672" spans="1:9" hidden="1" x14ac:dyDescent="0.3">
      <c r="A3672" s="24" t="s">
        <v>248</v>
      </c>
      <c r="B3672" s="24" t="s">
        <v>26</v>
      </c>
      <c r="C3672" s="22">
        <v>1</v>
      </c>
      <c r="D3672" s="25">
        <v>47400</v>
      </c>
      <c r="E3672" s="25">
        <v>47400</v>
      </c>
      <c r="F3672" s="25">
        <v>0</v>
      </c>
      <c r="G3672" s="26">
        <v>1</v>
      </c>
      <c r="H3672" s="10" t="str">
        <f t="shared" si="57"/>
        <v>GASTOS</v>
      </c>
      <c r="I3672" s="20">
        <v>2026</v>
      </c>
    </row>
    <row r="3673" spans="1:9" hidden="1" x14ac:dyDescent="0.3">
      <c r="A3673" s="24" t="s">
        <v>248</v>
      </c>
      <c r="B3673" s="24" t="s">
        <v>26</v>
      </c>
      <c r="C3673" s="22">
        <v>2</v>
      </c>
      <c r="D3673" s="25">
        <v>0</v>
      </c>
      <c r="E3673" s="25">
        <v>0</v>
      </c>
      <c r="F3673" s="25">
        <v>0</v>
      </c>
      <c r="G3673" s="26">
        <v>0</v>
      </c>
      <c r="H3673" s="10" t="str">
        <f t="shared" si="57"/>
        <v>GASTOS</v>
      </c>
      <c r="I3673" s="20">
        <v>2026</v>
      </c>
    </row>
    <row r="3674" spans="1:9" hidden="1" x14ac:dyDescent="0.3">
      <c r="A3674" s="24" t="s">
        <v>248</v>
      </c>
      <c r="B3674" s="24" t="s">
        <v>26</v>
      </c>
      <c r="C3674" s="22">
        <v>3</v>
      </c>
      <c r="D3674" s="25">
        <v>2357250</v>
      </c>
      <c r="E3674" s="25">
        <v>2093321</v>
      </c>
      <c r="F3674" s="25">
        <v>-263929</v>
      </c>
      <c r="G3674" s="26">
        <v>0.88803521052073386</v>
      </c>
      <c r="H3674" s="10" t="str">
        <f t="shared" si="57"/>
        <v>GASTOS</v>
      </c>
      <c r="I3674" s="20">
        <v>2026</v>
      </c>
    </row>
    <row r="3675" spans="1:9" hidden="1" x14ac:dyDescent="0.3">
      <c r="A3675" s="23" t="s">
        <v>248</v>
      </c>
      <c r="B3675" s="23" t="s">
        <v>26</v>
      </c>
      <c r="C3675" s="22">
        <v>4</v>
      </c>
      <c r="D3675" s="25">
        <v>957250</v>
      </c>
      <c r="E3675" s="25">
        <v>0</v>
      </c>
      <c r="F3675" s="25">
        <v>-957250</v>
      </c>
      <c r="G3675" s="26">
        <v>0</v>
      </c>
      <c r="H3675" s="10" t="str">
        <f t="shared" si="57"/>
        <v>GASTOS</v>
      </c>
      <c r="I3675" s="20">
        <v>2026</v>
      </c>
    </row>
    <row r="3676" spans="1:9" hidden="1" x14ac:dyDescent="0.3">
      <c r="A3676" s="24" t="s">
        <v>7</v>
      </c>
      <c r="B3676" s="24" t="s">
        <v>27</v>
      </c>
      <c r="C3676" s="22">
        <v>1</v>
      </c>
      <c r="D3676" s="25">
        <v>0</v>
      </c>
      <c r="E3676" s="25">
        <v>0</v>
      </c>
      <c r="F3676" s="25">
        <v>0</v>
      </c>
      <c r="G3676" s="26">
        <v>0</v>
      </c>
      <c r="H3676" s="10" t="str">
        <f t="shared" si="57"/>
        <v>GASTOS</v>
      </c>
      <c r="I3676" s="20">
        <v>2026</v>
      </c>
    </row>
    <row r="3677" spans="1:9" hidden="1" x14ac:dyDescent="0.3">
      <c r="A3677" s="24" t="s">
        <v>7</v>
      </c>
      <c r="B3677" s="24" t="s">
        <v>27</v>
      </c>
      <c r="C3677" s="22">
        <v>2</v>
      </c>
      <c r="D3677" s="25">
        <v>76495</v>
      </c>
      <c r="E3677" s="25">
        <v>76495</v>
      </c>
      <c r="F3677" s="25">
        <v>0</v>
      </c>
      <c r="G3677" s="26">
        <v>1</v>
      </c>
      <c r="H3677" s="10" t="str">
        <f t="shared" si="57"/>
        <v>GASTOS</v>
      </c>
      <c r="I3677" s="20">
        <v>2026</v>
      </c>
    </row>
    <row r="3678" spans="1:9" hidden="1" x14ac:dyDescent="0.3">
      <c r="A3678" s="24" t="s">
        <v>7</v>
      </c>
      <c r="B3678" s="24" t="s">
        <v>27</v>
      </c>
      <c r="C3678" s="22">
        <v>3</v>
      </c>
      <c r="D3678" s="25">
        <v>100936</v>
      </c>
      <c r="E3678" s="25">
        <v>90210</v>
      </c>
      <c r="F3678" s="25">
        <v>-10726</v>
      </c>
      <c r="G3678" s="26">
        <v>0.89373464373464373</v>
      </c>
      <c r="H3678" s="10" t="str">
        <f t="shared" si="57"/>
        <v>GASTOS</v>
      </c>
      <c r="I3678" s="20">
        <v>2026</v>
      </c>
    </row>
    <row r="3679" spans="1:9" hidden="1" x14ac:dyDescent="0.3">
      <c r="A3679" s="23" t="s">
        <v>7</v>
      </c>
      <c r="B3679" s="23" t="s">
        <v>27</v>
      </c>
      <c r="C3679" s="22">
        <v>4</v>
      </c>
      <c r="D3679" s="25">
        <v>100936</v>
      </c>
      <c r="E3679" s="25">
        <v>104978</v>
      </c>
      <c r="F3679" s="25">
        <v>4042</v>
      </c>
      <c r="G3679" s="26">
        <v>1.0400451771419514</v>
      </c>
      <c r="H3679" s="10" t="str">
        <f t="shared" si="57"/>
        <v>GASTOS</v>
      </c>
      <c r="I3679" s="20">
        <v>2026</v>
      </c>
    </row>
    <row r="3680" spans="1:9" hidden="1" x14ac:dyDescent="0.3">
      <c r="A3680" s="24" t="s">
        <v>248</v>
      </c>
      <c r="B3680" s="24" t="s">
        <v>27</v>
      </c>
      <c r="C3680" s="22">
        <v>1</v>
      </c>
      <c r="D3680" s="25">
        <v>0</v>
      </c>
      <c r="E3680" s="25">
        <v>0</v>
      </c>
      <c r="F3680" s="25">
        <v>0</v>
      </c>
      <c r="G3680" s="26">
        <v>0</v>
      </c>
      <c r="H3680" s="10" t="str">
        <f t="shared" si="57"/>
        <v>GASTOS</v>
      </c>
      <c r="I3680" s="20">
        <v>2026</v>
      </c>
    </row>
    <row r="3681" spans="1:9" hidden="1" x14ac:dyDescent="0.3">
      <c r="A3681" s="24" t="s">
        <v>248</v>
      </c>
      <c r="B3681" s="24" t="s">
        <v>27</v>
      </c>
      <c r="C3681" s="22">
        <v>2</v>
      </c>
      <c r="D3681" s="25">
        <v>0</v>
      </c>
      <c r="E3681" s="25">
        <v>0</v>
      </c>
      <c r="F3681" s="25">
        <v>0</v>
      </c>
      <c r="G3681" s="26">
        <v>0</v>
      </c>
      <c r="H3681" s="10" t="str">
        <f t="shared" si="57"/>
        <v>GASTOS</v>
      </c>
      <c r="I3681" s="20">
        <v>2026</v>
      </c>
    </row>
    <row r="3682" spans="1:9" hidden="1" x14ac:dyDescent="0.3">
      <c r="A3682" s="24" t="s">
        <v>248</v>
      </c>
      <c r="B3682" s="24" t="s">
        <v>27</v>
      </c>
      <c r="C3682" s="22">
        <v>3</v>
      </c>
      <c r="D3682" s="25">
        <v>151405</v>
      </c>
      <c r="E3682" s="25">
        <v>90210</v>
      </c>
      <c r="F3682" s="25">
        <v>-61195</v>
      </c>
      <c r="G3682" s="26">
        <v>0.59581916052970507</v>
      </c>
      <c r="H3682" s="10" t="str">
        <f t="shared" si="57"/>
        <v>GASTOS</v>
      </c>
      <c r="I3682" s="20">
        <v>2026</v>
      </c>
    </row>
    <row r="3683" spans="1:9" hidden="1" x14ac:dyDescent="0.3">
      <c r="A3683" s="23" t="s">
        <v>248</v>
      </c>
      <c r="B3683" s="23" t="s">
        <v>27</v>
      </c>
      <c r="C3683" s="22">
        <v>4</v>
      </c>
      <c r="D3683" s="25">
        <v>151405</v>
      </c>
      <c r="E3683" s="25">
        <v>97681</v>
      </c>
      <c r="F3683" s="25">
        <v>-53724</v>
      </c>
      <c r="G3683" s="26">
        <v>0.64516363396189036</v>
      </c>
      <c r="H3683" s="10" t="str">
        <f t="shared" si="57"/>
        <v>GASTOS</v>
      </c>
      <c r="I3683" s="20">
        <v>2026</v>
      </c>
    </row>
    <row r="3684" spans="1:9" hidden="1" x14ac:dyDescent="0.3">
      <c r="A3684" s="24" t="s">
        <v>7</v>
      </c>
      <c r="B3684" s="24" t="s">
        <v>28</v>
      </c>
      <c r="C3684" s="22">
        <v>1</v>
      </c>
      <c r="D3684" s="25">
        <v>50000</v>
      </c>
      <c r="E3684" s="25">
        <v>19551</v>
      </c>
      <c r="F3684" s="25">
        <v>-30449</v>
      </c>
      <c r="G3684" s="26">
        <v>0.39101999999999998</v>
      </c>
      <c r="H3684" s="10" t="str">
        <f t="shared" si="57"/>
        <v>GASTOS</v>
      </c>
      <c r="I3684" s="20">
        <v>2026</v>
      </c>
    </row>
    <row r="3685" spans="1:9" hidden="1" x14ac:dyDescent="0.3">
      <c r="A3685" s="24" t="s">
        <v>7</v>
      </c>
      <c r="B3685" s="24" t="s">
        <v>28</v>
      </c>
      <c r="C3685" s="22">
        <v>2</v>
      </c>
      <c r="D3685" s="25">
        <v>1165720</v>
      </c>
      <c r="E3685" s="25">
        <v>1165720</v>
      </c>
      <c r="F3685" s="25">
        <v>0</v>
      </c>
      <c r="G3685" s="26">
        <v>1</v>
      </c>
      <c r="H3685" s="10" t="str">
        <f t="shared" si="57"/>
        <v>GASTOS</v>
      </c>
      <c r="I3685" s="20">
        <v>2026</v>
      </c>
    </row>
    <row r="3686" spans="1:9" hidden="1" x14ac:dyDescent="0.3">
      <c r="A3686" s="24" t="s">
        <v>7</v>
      </c>
      <c r="B3686" s="24" t="s">
        <v>28</v>
      </c>
      <c r="C3686" s="22">
        <v>3</v>
      </c>
      <c r="D3686" s="25">
        <v>50000</v>
      </c>
      <c r="E3686" s="25">
        <v>77818</v>
      </c>
      <c r="F3686" s="25">
        <v>27818</v>
      </c>
      <c r="G3686" s="26">
        <v>1.55636</v>
      </c>
      <c r="H3686" s="10" t="str">
        <f t="shared" si="57"/>
        <v>GASTOS</v>
      </c>
      <c r="I3686" s="20">
        <v>2026</v>
      </c>
    </row>
    <row r="3687" spans="1:9" hidden="1" x14ac:dyDescent="0.3">
      <c r="A3687" s="23" t="s">
        <v>7</v>
      </c>
      <c r="B3687" s="23" t="s">
        <v>28</v>
      </c>
      <c r="C3687" s="22">
        <v>4</v>
      </c>
      <c r="D3687" s="25">
        <v>50000</v>
      </c>
      <c r="E3687" s="25">
        <v>266045</v>
      </c>
      <c r="F3687" s="25">
        <v>216045</v>
      </c>
      <c r="G3687" s="26">
        <v>5.3209</v>
      </c>
      <c r="H3687" s="10" t="str">
        <f t="shared" si="57"/>
        <v>GASTOS</v>
      </c>
      <c r="I3687" s="20">
        <v>2026</v>
      </c>
    </row>
    <row r="3688" spans="1:9" hidden="1" x14ac:dyDescent="0.3">
      <c r="A3688" s="24" t="s">
        <v>248</v>
      </c>
      <c r="B3688" s="24" t="s">
        <v>28</v>
      </c>
      <c r="C3688" s="22">
        <v>1</v>
      </c>
      <c r="D3688" s="25">
        <v>0</v>
      </c>
      <c r="E3688" s="25">
        <v>0</v>
      </c>
      <c r="F3688" s="25">
        <v>0</v>
      </c>
      <c r="G3688" s="26">
        <v>0</v>
      </c>
      <c r="H3688" s="10" t="str">
        <f t="shared" si="57"/>
        <v>GASTOS</v>
      </c>
      <c r="I3688" s="20">
        <v>2026</v>
      </c>
    </row>
    <row r="3689" spans="1:9" hidden="1" x14ac:dyDescent="0.3">
      <c r="A3689" s="24" t="s">
        <v>248</v>
      </c>
      <c r="B3689" s="24" t="s">
        <v>28</v>
      </c>
      <c r="C3689" s="22">
        <v>2</v>
      </c>
      <c r="D3689" s="25">
        <v>28600</v>
      </c>
      <c r="E3689" s="25">
        <v>28600</v>
      </c>
      <c r="F3689" s="25">
        <v>0</v>
      </c>
      <c r="G3689" s="26">
        <v>1</v>
      </c>
      <c r="H3689" s="10" t="str">
        <f t="shared" si="57"/>
        <v>GASTOS</v>
      </c>
      <c r="I3689" s="20">
        <v>2026</v>
      </c>
    </row>
    <row r="3690" spans="1:9" hidden="1" x14ac:dyDescent="0.3">
      <c r="A3690" s="24" t="s">
        <v>248</v>
      </c>
      <c r="B3690" s="24" t="s">
        <v>28</v>
      </c>
      <c r="C3690" s="22">
        <v>3</v>
      </c>
      <c r="D3690" s="25">
        <v>150000</v>
      </c>
      <c r="E3690" s="25">
        <v>92355</v>
      </c>
      <c r="F3690" s="25">
        <v>-57645</v>
      </c>
      <c r="G3690" s="26">
        <v>0.61570000000000003</v>
      </c>
      <c r="H3690" s="10" t="str">
        <f t="shared" si="57"/>
        <v>GASTOS</v>
      </c>
      <c r="I3690" s="20">
        <v>2026</v>
      </c>
    </row>
    <row r="3691" spans="1:9" hidden="1" x14ac:dyDescent="0.3">
      <c r="A3691" s="23" t="s">
        <v>248</v>
      </c>
      <c r="B3691" s="23" t="s">
        <v>28</v>
      </c>
      <c r="C3691" s="22">
        <v>4</v>
      </c>
      <c r="D3691" s="25">
        <v>150000</v>
      </c>
      <c r="E3691" s="25">
        <v>966001</v>
      </c>
      <c r="F3691" s="25">
        <v>816001</v>
      </c>
      <c r="G3691" s="26">
        <v>6.4400066666666671</v>
      </c>
      <c r="H3691" s="10" t="str">
        <f t="shared" si="57"/>
        <v>GASTOS</v>
      </c>
      <c r="I3691" s="20">
        <v>2026</v>
      </c>
    </row>
    <row r="3692" spans="1:9" hidden="1" x14ac:dyDescent="0.3">
      <c r="A3692" s="24" t="s">
        <v>7</v>
      </c>
      <c r="B3692" s="24" t="s">
        <v>29</v>
      </c>
      <c r="C3692" s="22">
        <v>1</v>
      </c>
      <c r="D3692" s="25">
        <v>709142</v>
      </c>
      <c r="E3692" s="25">
        <v>709142</v>
      </c>
      <c r="F3692" s="25">
        <v>0</v>
      </c>
      <c r="G3692" s="26">
        <v>1</v>
      </c>
      <c r="H3692" s="10" t="str">
        <f t="shared" si="57"/>
        <v>GASTOS</v>
      </c>
      <c r="I3692" s="20">
        <v>2026</v>
      </c>
    </row>
    <row r="3693" spans="1:9" hidden="1" x14ac:dyDescent="0.3">
      <c r="A3693" s="24" t="s">
        <v>7</v>
      </c>
      <c r="B3693" s="24" t="s">
        <v>29</v>
      </c>
      <c r="C3693" s="22">
        <v>2</v>
      </c>
      <c r="D3693" s="25">
        <v>366358</v>
      </c>
      <c r="E3693" s="25">
        <v>366358</v>
      </c>
      <c r="F3693" s="25">
        <v>0</v>
      </c>
      <c r="G3693" s="26">
        <v>1</v>
      </c>
      <c r="H3693" s="10" t="str">
        <f t="shared" si="57"/>
        <v>GASTOS</v>
      </c>
      <c r="I3693" s="20">
        <v>2026</v>
      </c>
    </row>
    <row r="3694" spans="1:9" hidden="1" x14ac:dyDescent="0.3">
      <c r="A3694" s="24" t="s">
        <v>7</v>
      </c>
      <c r="B3694" s="24" t="s">
        <v>29</v>
      </c>
      <c r="C3694" s="22">
        <v>3</v>
      </c>
      <c r="D3694" s="25">
        <v>394195</v>
      </c>
      <c r="E3694" s="25">
        <v>28571</v>
      </c>
      <c r="F3694" s="25">
        <v>-365624</v>
      </c>
      <c r="G3694" s="26">
        <v>7.2479356663580213E-2</v>
      </c>
      <c r="H3694" s="10" t="str">
        <f t="shared" ref="H3694:H3757" si="58">+IF(OR(A3694="ADMINISTRACION",A3694="COMERCIAL",A3694="COMERCIAL-EXPORTACIONES",A3694="LEASING DE LA BODEGA",A3694="LOGISTICA-SALIDA",A3694="OTROS GASTOS",A3694="BODEGA ALQUILADA", A3694="BODEGA CARTOPLAST", A3694="BODEGA CARTOPLAS", A3694= "GESTION HUMANA-OTROS GASTOS",A3694="FAMILIA"),"GASTOS","COSTOS")</f>
        <v>GASTOS</v>
      </c>
      <c r="I3694" s="20">
        <v>2026</v>
      </c>
    </row>
    <row r="3695" spans="1:9" hidden="1" x14ac:dyDescent="0.3">
      <c r="A3695" s="23" t="s">
        <v>7</v>
      </c>
      <c r="B3695" s="23" t="s">
        <v>29</v>
      </c>
      <c r="C3695" s="22">
        <v>4</v>
      </c>
      <c r="D3695" s="25">
        <v>246622</v>
      </c>
      <c r="E3695" s="25">
        <v>674972</v>
      </c>
      <c r="F3695" s="25">
        <v>428350</v>
      </c>
      <c r="G3695" s="26">
        <v>2.7368685680920599</v>
      </c>
      <c r="H3695" s="10" t="str">
        <f t="shared" si="58"/>
        <v>GASTOS</v>
      </c>
      <c r="I3695" s="20">
        <v>2026</v>
      </c>
    </row>
    <row r="3696" spans="1:9" hidden="1" x14ac:dyDescent="0.3">
      <c r="A3696" s="24" t="s">
        <v>56</v>
      </c>
      <c r="B3696" s="24" t="s">
        <v>29</v>
      </c>
      <c r="C3696" s="22">
        <v>4</v>
      </c>
      <c r="D3696" s="25">
        <v>0</v>
      </c>
      <c r="E3696" s="25">
        <v>8524000</v>
      </c>
      <c r="F3696" s="25">
        <v>8524000</v>
      </c>
      <c r="G3696" s="26">
        <v>0</v>
      </c>
      <c r="H3696" s="10" t="str">
        <f t="shared" si="58"/>
        <v>GASTOS</v>
      </c>
      <c r="I3696" s="20">
        <v>2026</v>
      </c>
    </row>
    <row r="3697" spans="1:9" hidden="1" x14ac:dyDescent="0.3">
      <c r="A3697" s="24" t="s">
        <v>248</v>
      </c>
      <c r="B3697" s="24" t="s">
        <v>29</v>
      </c>
      <c r="C3697" s="22">
        <v>1</v>
      </c>
      <c r="D3697" s="25">
        <v>0</v>
      </c>
      <c r="E3697" s="25">
        <v>0</v>
      </c>
      <c r="F3697" s="25">
        <v>0</v>
      </c>
      <c r="G3697" s="26">
        <v>0</v>
      </c>
      <c r="H3697" s="10" t="str">
        <f t="shared" si="58"/>
        <v>GASTOS</v>
      </c>
      <c r="I3697" s="20">
        <v>2026</v>
      </c>
    </row>
    <row r="3698" spans="1:9" hidden="1" x14ac:dyDescent="0.3">
      <c r="A3698" s="24" t="s">
        <v>248</v>
      </c>
      <c r="B3698" s="24" t="s">
        <v>29</v>
      </c>
      <c r="C3698" s="22">
        <v>2</v>
      </c>
      <c r="D3698" s="25">
        <v>0</v>
      </c>
      <c r="E3698" s="25">
        <v>0</v>
      </c>
      <c r="F3698" s="25">
        <v>0</v>
      </c>
      <c r="G3698" s="26">
        <v>0</v>
      </c>
      <c r="H3698" s="10" t="str">
        <f t="shared" si="58"/>
        <v>GASTOS</v>
      </c>
      <c r="I3698" s="20">
        <v>2026</v>
      </c>
    </row>
    <row r="3699" spans="1:9" hidden="1" x14ac:dyDescent="0.3">
      <c r="A3699" s="23" t="s">
        <v>248</v>
      </c>
      <c r="B3699" s="23" t="s">
        <v>29</v>
      </c>
      <c r="C3699" s="22">
        <v>3</v>
      </c>
      <c r="D3699" s="25">
        <v>361884</v>
      </c>
      <c r="E3699" s="25">
        <v>0</v>
      </c>
      <c r="F3699" s="25">
        <v>-361884</v>
      </c>
      <c r="G3699" s="26">
        <v>0</v>
      </c>
      <c r="H3699" s="10" t="str">
        <f t="shared" si="58"/>
        <v>GASTOS</v>
      </c>
      <c r="I3699" s="20">
        <v>2026</v>
      </c>
    </row>
    <row r="3700" spans="1:9" hidden="1" x14ac:dyDescent="0.3">
      <c r="A3700" s="24" t="s">
        <v>248</v>
      </c>
      <c r="B3700" s="24" t="s">
        <v>29</v>
      </c>
      <c r="C3700" s="22">
        <v>4</v>
      </c>
      <c r="D3700" s="25">
        <v>361884</v>
      </c>
      <c r="E3700" s="25">
        <v>158000</v>
      </c>
      <c r="F3700" s="25">
        <v>-203884</v>
      </c>
      <c r="G3700" s="26">
        <v>0.43660399465021943</v>
      </c>
      <c r="H3700" s="10" t="str">
        <f t="shared" si="58"/>
        <v>GASTOS</v>
      </c>
      <c r="I3700" s="20">
        <v>2026</v>
      </c>
    </row>
    <row r="3701" spans="1:9" hidden="1" x14ac:dyDescent="0.3">
      <c r="A3701" s="24" t="s">
        <v>7</v>
      </c>
      <c r="B3701" s="24" t="s">
        <v>224</v>
      </c>
      <c r="C3701" s="22">
        <v>1</v>
      </c>
      <c r="D3701" s="25">
        <v>0</v>
      </c>
      <c r="E3701" s="25">
        <v>0</v>
      </c>
      <c r="F3701" s="25">
        <v>0</v>
      </c>
      <c r="G3701" s="26">
        <v>0</v>
      </c>
      <c r="H3701" s="10" t="str">
        <f t="shared" si="58"/>
        <v>GASTOS</v>
      </c>
      <c r="I3701" s="20">
        <v>2026</v>
      </c>
    </row>
    <row r="3702" spans="1:9" hidden="1" x14ac:dyDescent="0.3">
      <c r="A3702" s="24" t="s">
        <v>7</v>
      </c>
      <c r="B3702" s="24" t="s">
        <v>224</v>
      </c>
      <c r="C3702" s="22">
        <v>2</v>
      </c>
      <c r="D3702" s="25">
        <v>27227</v>
      </c>
      <c r="E3702" s="25">
        <v>27227</v>
      </c>
      <c r="F3702" s="25">
        <v>0</v>
      </c>
      <c r="G3702" s="26">
        <v>1</v>
      </c>
      <c r="H3702" s="10" t="str">
        <f t="shared" si="58"/>
        <v>GASTOS</v>
      </c>
      <c r="I3702" s="20">
        <v>2026</v>
      </c>
    </row>
    <row r="3703" spans="1:9" hidden="1" x14ac:dyDescent="0.3">
      <c r="A3703" s="23" t="s">
        <v>7</v>
      </c>
      <c r="B3703" s="23" t="s">
        <v>224</v>
      </c>
      <c r="C3703" s="22">
        <v>3</v>
      </c>
      <c r="D3703" s="25">
        <v>0</v>
      </c>
      <c r="E3703" s="25">
        <v>6800</v>
      </c>
      <c r="F3703" s="25">
        <v>6800</v>
      </c>
      <c r="G3703" s="26">
        <v>0</v>
      </c>
      <c r="H3703" s="10" t="str">
        <f t="shared" si="58"/>
        <v>GASTOS</v>
      </c>
      <c r="I3703" s="20">
        <v>2026</v>
      </c>
    </row>
    <row r="3704" spans="1:9" hidden="1" x14ac:dyDescent="0.3">
      <c r="A3704" s="24" t="s">
        <v>7</v>
      </c>
      <c r="B3704" s="24" t="s">
        <v>224</v>
      </c>
      <c r="C3704" s="22">
        <v>4</v>
      </c>
      <c r="D3704" s="25">
        <v>0</v>
      </c>
      <c r="E3704" s="25">
        <v>0</v>
      </c>
      <c r="F3704" s="25">
        <v>0</v>
      </c>
      <c r="G3704" s="26">
        <v>0</v>
      </c>
      <c r="H3704" s="10" t="str">
        <f t="shared" si="58"/>
        <v>GASTOS</v>
      </c>
      <c r="I3704" s="20">
        <v>2026</v>
      </c>
    </row>
    <row r="3705" spans="1:9" hidden="1" x14ac:dyDescent="0.3">
      <c r="A3705" s="24" t="s">
        <v>7</v>
      </c>
      <c r="B3705" s="24" t="s">
        <v>239</v>
      </c>
      <c r="C3705" s="22">
        <v>1</v>
      </c>
      <c r="D3705" s="25">
        <v>0</v>
      </c>
      <c r="E3705" s="25">
        <v>0</v>
      </c>
      <c r="F3705" s="25">
        <v>0</v>
      </c>
      <c r="G3705" s="26">
        <v>0</v>
      </c>
      <c r="H3705" s="10" t="str">
        <f t="shared" si="58"/>
        <v>GASTOS</v>
      </c>
      <c r="I3705" s="20">
        <v>2026</v>
      </c>
    </row>
    <row r="3706" spans="1:9" hidden="1" x14ac:dyDescent="0.3">
      <c r="A3706" s="24" t="s">
        <v>7</v>
      </c>
      <c r="B3706" s="24" t="s">
        <v>239</v>
      </c>
      <c r="C3706" s="22">
        <v>2</v>
      </c>
      <c r="D3706" s="25">
        <v>2000000</v>
      </c>
      <c r="E3706" s="25">
        <v>2000000</v>
      </c>
      <c r="F3706" s="25">
        <v>0</v>
      </c>
      <c r="G3706" s="26">
        <v>1</v>
      </c>
      <c r="H3706" s="10" t="str">
        <f t="shared" si="58"/>
        <v>GASTOS</v>
      </c>
      <c r="I3706" s="20">
        <v>2026</v>
      </c>
    </row>
    <row r="3707" spans="1:9" hidden="1" x14ac:dyDescent="0.3">
      <c r="A3707" s="23" t="s">
        <v>7</v>
      </c>
      <c r="B3707" s="23" t="s">
        <v>239</v>
      </c>
      <c r="C3707" s="22">
        <v>3</v>
      </c>
      <c r="D3707" s="25">
        <v>0</v>
      </c>
      <c r="E3707" s="25">
        <v>0</v>
      </c>
      <c r="F3707" s="25">
        <v>0</v>
      </c>
      <c r="G3707" s="26">
        <v>0</v>
      </c>
      <c r="H3707" s="10" t="str">
        <f t="shared" si="58"/>
        <v>GASTOS</v>
      </c>
      <c r="I3707" s="20">
        <v>2026</v>
      </c>
    </row>
    <row r="3708" spans="1:9" hidden="1" x14ac:dyDescent="0.3">
      <c r="A3708" s="24" t="s">
        <v>7</v>
      </c>
      <c r="B3708" s="24" t="s">
        <v>239</v>
      </c>
      <c r="C3708" s="22">
        <v>4</v>
      </c>
      <c r="D3708" s="25">
        <v>0</v>
      </c>
      <c r="E3708" s="25">
        <v>0</v>
      </c>
      <c r="F3708" s="25">
        <v>0</v>
      </c>
      <c r="G3708" s="26">
        <v>0</v>
      </c>
      <c r="H3708" s="10" t="str">
        <f t="shared" si="58"/>
        <v>GASTOS</v>
      </c>
      <c r="I3708" s="20">
        <v>2026</v>
      </c>
    </row>
    <row r="3709" spans="1:9" hidden="1" x14ac:dyDescent="0.3">
      <c r="A3709" s="24" t="s">
        <v>43</v>
      </c>
      <c r="B3709" s="24" t="s">
        <v>46</v>
      </c>
      <c r="C3709" s="22">
        <v>1</v>
      </c>
      <c r="D3709" s="25">
        <v>4000000</v>
      </c>
      <c r="E3709" s="25">
        <v>0</v>
      </c>
      <c r="F3709" s="25">
        <v>-4000000</v>
      </c>
      <c r="G3709" s="26">
        <v>0</v>
      </c>
      <c r="H3709" s="10" t="str">
        <f t="shared" si="58"/>
        <v>GASTOS</v>
      </c>
      <c r="I3709" s="20">
        <v>2026</v>
      </c>
    </row>
    <row r="3710" spans="1:9" hidden="1" x14ac:dyDescent="0.3">
      <c r="A3710" s="24" t="s">
        <v>43</v>
      </c>
      <c r="B3710" s="24" t="s">
        <v>46</v>
      </c>
      <c r="C3710" s="22">
        <v>2</v>
      </c>
      <c r="D3710" s="25">
        <v>6000000</v>
      </c>
      <c r="E3710" s="25">
        <v>7018519</v>
      </c>
      <c r="F3710" s="25">
        <v>1018519</v>
      </c>
      <c r="G3710" s="26">
        <v>1.1697531666666667</v>
      </c>
      <c r="H3710" s="10" t="str">
        <f t="shared" si="58"/>
        <v>GASTOS</v>
      </c>
      <c r="I3710" s="20">
        <v>2026</v>
      </c>
    </row>
    <row r="3711" spans="1:9" hidden="1" x14ac:dyDescent="0.3">
      <c r="A3711" s="23" t="s">
        <v>43</v>
      </c>
      <c r="B3711" s="23" t="s">
        <v>46</v>
      </c>
      <c r="C3711" s="22">
        <v>3</v>
      </c>
      <c r="D3711" s="25">
        <v>13000000</v>
      </c>
      <c r="E3711" s="25">
        <v>6613372</v>
      </c>
      <c r="F3711" s="25">
        <v>-6386628</v>
      </c>
      <c r="G3711" s="26">
        <v>0.50872092307692307</v>
      </c>
      <c r="H3711" s="10" t="str">
        <f t="shared" si="58"/>
        <v>GASTOS</v>
      </c>
      <c r="I3711" s="20">
        <v>2026</v>
      </c>
    </row>
    <row r="3712" spans="1:9" hidden="1" x14ac:dyDescent="0.3">
      <c r="A3712" s="24" t="s">
        <v>43</v>
      </c>
      <c r="B3712" s="24" t="s">
        <v>46</v>
      </c>
      <c r="C3712" s="22">
        <v>4</v>
      </c>
      <c r="D3712" s="25">
        <v>0</v>
      </c>
      <c r="E3712" s="25">
        <v>8420603</v>
      </c>
      <c r="F3712" s="25">
        <v>8420603</v>
      </c>
      <c r="G3712" s="26">
        <v>0</v>
      </c>
      <c r="H3712" s="10" t="str">
        <f t="shared" si="58"/>
        <v>GASTOS</v>
      </c>
      <c r="I3712" s="20">
        <v>2026</v>
      </c>
    </row>
    <row r="3713" spans="1:9" hidden="1" x14ac:dyDescent="0.3">
      <c r="A3713" s="24" t="s">
        <v>99</v>
      </c>
      <c r="B3713" s="24" t="s">
        <v>46</v>
      </c>
      <c r="C3713" s="22">
        <v>1</v>
      </c>
      <c r="D3713" s="25">
        <v>0</v>
      </c>
      <c r="E3713" s="25">
        <v>0</v>
      </c>
      <c r="F3713" s="25">
        <v>0</v>
      </c>
      <c r="G3713" s="26">
        <v>0</v>
      </c>
      <c r="H3713" s="10" t="str">
        <f t="shared" si="58"/>
        <v>GASTOS</v>
      </c>
      <c r="I3713" s="20">
        <v>2026</v>
      </c>
    </row>
    <row r="3714" spans="1:9" hidden="1" x14ac:dyDescent="0.3">
      <c r="A3714" s="24" t="s">
        <v>99</v>
      </c>
      <c r="B3714" s="24" t="s">
        <v>46</v>
      </c>
      <c r="C3714" s="22">
        <v>2</v>
      </c>
      <c r="D3714" s="25">
        <v>0</v>
      </c>
      <c r="E3714" s="25">
        <v>0</v>
      </c>
      <c r="F3714" s="25">
        <v>0</v>
      </c>
      <c r="G3714" s="26">
        <v>0</v>
      </c>
      <c r="H3714" s="10" t="str">
        <f t="shared" si="58"/>
        <v>GASTOS</v>
      </c>
      <c r="I3714" s="20">
        <v>2026</v>
      </c>
    </row>
    <row r="3715" spans="1:9" hidden="1" x14ac:dyDescent="0.3">
      <c r="A3715" s="23" t="s">
        <v>99</v>
      </c>
      <c r="B3715" s="23" t="s">
        <v>46</v>
      </c>
      <c r="C3715" s="22">
        <v>3</v>
      </c>
      <c r="D3715" s="25">
        <v>0</v>
      </c>
      <c r="E3715" s="25">
        <v>0</v>
      </c>
      <c r="F3715" s="25">
        <v>0</v>
      </c>
      <c r="G3715" s="26">
        <v>0</v>
      </c>
      <c r="H3715" s="10" t="str">
        <f t="shared" si="58"/>
        <v>GASTOS</v>
      </c>
      <c r="I3715" s="20">
        <v>2026</v>
      </c>
    </row>
    <row r="3716" spans="1:9" hidden="1" x14ac:dyDescent="0.3">
      <c r="A3716" s="24" t="s">
        <v>99</v>
      </c>
      <c r="B3716" s="24" t="s">
        <v>46</v>
      </c>
      <c r="C3716" s="22">
        <v>4</v>
      </c>
      <c r="D3716" s="25">
        <v>0</v>
      </c>
      <c r="E3716" s="25">
        <v>0</v>
      </c>
      <c r="F3716" s="25">
        <v>0</v>
      </c>
      <c r="G3716" s="26">
        <v>0</v>
      </c>
      <c r="H3716" s="10" t="str">
        <f t="shared" si="58"/>
        <v>GASTOS</v>
      </c>
      <c r="I3716" s="20">
        <v>2026</v>
      </c>
    </row>
    <row r="3717" spans="1:9" hidden="1" x14ac:dyDescent="0.3">
      <c r="A3717" s="24" t="s">
        <v>43</v>
      </c>
      <c r="B3717" s="24" t="s">
        <v>47</v>
      </c>
      <c r="C3717" s="22">
        <v>1</v>
      </c>
      <c r="D3717" s="25">
        <v>3600000</v>
      </c>
      <c r="E3717" s="25">
        <v>0</v>
      </c>
      <c r="F3717" s="25">
        <v>-3600000</v>
      </c>
      <c r="G3717" s="26">
        <v>0</v>
      </c>
      <c r="H3717" s="10" t="str">
        <f t="shared" si="58"/>
        <v>GASTOS</v>
      </c>
      <c r="I3717" s="20">
        <v>2026</v>
      </c>
    </row>
    <row r="3718" spans="1:9" hidden="1" x14ac:dyDescent="0.3">
      <c r="A3718" s="24" t="s">
        <v>43</v>
      </c>
      <c r="B3718" s="24" t="s">
        <v>47</v>
      </c>
      <c r="C3718" s="22">
        <v>2</v>
      </c>
      <c r="D3718" s="25">
        <v>2400000</v>
      </c>
      <c r="E3718" s="25">
        <v>2281400</v>
      </c>
      <c r="F3718" s="25">
        <v>-118600</v>
      </c>
      <c r="G3718" s="26">
        <v>0.95058333333333334</v>
      </c>
      <c r="H3718" s="10" t="str">
        <f t="shared" si="58"/>
        <v>GASTOS</v>
      </c>
      <c r="I3718" s="20">
        <v>2026</v>
      </c>
    </row>
    <row r="3719" spans="1:9" hidden="1" x14ac:dyDescent="0.3">
      <c r="A3719" s="23" t="s">
        <v>43</v>
      </c>
      <c r="B3719" s="23" t="s">
        <v>47</v>
      </c>
      <c r="C3719" s="22">
        <v>3</v>
      </c>
      <c r="D3719" s="25">
        <v>1000000</v>
      </c>
      <c r="E3719" s="25">
        <v>1847000</v>
      </c>
      <c r="F3719" s="25">
        <v>847000</v>
      </c>
      <c r="G3719" s="26">
        <v>1.847</v>
      </c>
      <c r="H3719" s="10" t="str">
        <f t="shared" si="58"/>
        <v>GASTOS</v>
      </c>
      <c r="I3719" s="20">
        <v>2026</v>
      </c>
    </row>
    <row r="3720" spans="1:9" hidden="1" x14ac:dyDescent="0.3">
      <c r="A3720" s="24" t="s">
        <v>43</v>
      </c>
      <c r="B3720" s="24" t="s">
        <v>47</v>
      </c>
      <c r="C3720" s="22">
        <v>4</v>
      </c>
      <c r="D3720" s="25">
        <v>0</v>
      </c>
      <c r="E3720" s="25">
        <v>2484366</v>
      </c>
      <c r="F3720" s="25">
        <v>2484366</v>
      </c>
      <c r="G3720" s="26">
        <v>0</v>
      </c>
      <c r="H3720" s="10" t="str">
        <f t="shared" si="58"/>
        <v>GASTOS</v>
      </c>
      <c r="I3720" s="20">
        <v>2026</v>
      </c>
    </row>
    <row r="3721" spans="1:9" hidden="1" x14ac:dyDescent="0.3">
      <c r="A3721" s="24" t="s">
        <v>99</v>
      </c>
      <c r="B3721" s="24" t="s">
        <v>47</v>
      </c>
      <c r="C3721" s="22">
        <v>1</v>
      </c>
      <c r="D3721" s="25">
        <v>0</v>
      </c>
      <c r="E3721" s="25">
        <v>0</v>
      </c>
      <c r="F3721" s="25">
        <v>0</v>
      </c>
      <c r="G3721" s="26">
        <v>0</v>
      </c>
      <c r="H3721" s="10" t="str">
        <f t="shared" si="58"/>
        <v>GASTOS</v>
      </c>
      <c r="I3721" s="20">
        <v>2026</v>
      </c>
    </row>
    <row r="3722" spans="1:9" hidden="1" x14ac:dyDescent="0.3">
      <c r="A3722" s="24" t="s">
        <v>99</v>
      </c>
      <c r="B3722" s="24" t="s">
        <v>47</v>
      </c>
      <c r="C3722" s="22">
        <v>2</v>
      </c>
      <c r="D3722" s="25">
        <v>0</v>
      </c>
      <c r="E3722" s="25">
        <v>0</v>
      </c>
      <c r="F3722" s="25">
        <v>0</v>
      </c>
      <c r="G3722" s="26">
        <v>0</v>
      </c>
      <c r="H3722" s="10" t="str">
        <f t="shared" si="58"/>
        <v>GASTOS</v>
      </c>
      <c r="I3722" s="20">
        <v>2026</v>
      </c>
    </row>
    <row r="3723" spans="1:9" hidden="1" x14ac:dyDescent="0.3">
      <c r="A3723" s="23" t="s">
        <v>99</v>
      </c>
      <c r="B3723" s="23" t="s">
        <v>47</v>
      </c>
      <c r="C3723" s="22">
        <v>3</v>
      </c>
      <c r="D3723" s="25">
        <v>6000000</v>
      </c>
      <c r="E3723" s="25">
        <v>0</v>
      </c>
      <c r="F3723" s="25">
        <v>-6000000</v>
      </c>
      <c r="G3723" s="26">
        <v>0</v>
      </c>
      <c r="H3723" s="10" t="str">
        <f t="shared" si="58"/>
        <v>GASTOS</v>
      </c>
      <c r="I3723" s="20">
        <v>2026</v>
      </c>
    </row>
    <row r="3724" spans="1:9" hidden="1" x14ac:dyDescent="0.3">
      <c r="A3724" s="24" t="s">
        <v>99</v>
      </c>
      <c r="B3724" s="24" t="s">
        <v>47</v>
      </c>
      <c r="C3724" s="22">
        <v>4</v>
      </c>
      <c r="D3724" s="25">
        <v>0</v>
      </c>
      <c r="E3724" s="25">
        <v>0</v>
      </c>
      <c r="F3724" s="25">
        <v>0</v>
      </c>
      <c r="G3724" s="26">
        <v>0</v>
      </c>
      <c r="H3724" s="10" t="str">
        <f t="shared" si="58"/>
        <v>GASTOS</v>
      </c>
      <c r="I3724" s="20">
        <v>2026</v>
      </c>
    </row>
    <row r="3725" spans="1:9" hidden="1" x14ac:dyDescent="0.3">
      <c r="A3725" s="24" t="s">
        <v>43</v>
      </c>
      <c r="B3725" s="24" t="s">
        <v>48</v>
      </c>
      <c r="C3725" s="22">
        <v>1</v>
      </c>
      <c r="D3725" s="25">
        <v>3000000</v>
      </c>
      <c r="E3725" s="25">
        <v>0</v>
      </c>
      <c r="F3725" s="25">
        <v>-3000000</v>
      </c>
      <c r="G3725" s="26">
        <v>0</v>
      </c>
      <c r="H3725" s="10" t="str">
        <f t="shared" si="58"/>
        <v>GASTOS</v>
      </c>
      <c r="I3725" s="20">
        <v>2026</v>
      </c>
    </row>
    <row r="3726" spans="1:9" hidden="1" x14ac:dyDescent="0.3">
      <c r="A3726" s="24" t="s">
        <v>43</v>
      </c>
      <c r="B3726" s="24" t="s">
        <v>48</v>
      </c>
      <c r="C3726" s="22">
        <v>2</v>
      </c>
      <c r="D3726" s="25">
        <v>3000000</v>
      </c>
      <c r="E3726" s="25">
        <v>2477818</v>
      </c>
      <c r="F3726" s="25">
        <v>-522182</v>
      </c>
      <c r="G3726" s="26">
        <v>0.82593933333333336</v>
      </c>
      <c r="H3726" s="10" t="str">
        <f t="shared" si="58"/>
        <v>GASTOS</v>
      </c>
      <c r="I3726" s="20">
        <v>2026</v>
      </c>
    </row>
    <row r="3727" spans="1:9" hidden="1" x14ac:dyDescent="0.3">
      <c r="A3727" s="23" t="s">
        <v>43</v>
      </c>
      <c r="B3727" s="23" t="s">
        <v>48</v>
      </c>
      <c r="C3727" s="22">
        <v>3</v>
      </c>
      <c r="D3727" s="25">
        <v>3000000</v>
      </c>
      <c r="E3727" s="25">
        <v>3555323</v>
      </c>
      <c r="F3727" s="25">
        <v>555323</v>
      </c>
      <c r="G3727" s="26">
        <v>1.1851076666666667</v>
      </c>
      <c r="H3727" s="10" t="str">
        <f t="shared" si="58"/>
        <v>GASTOS</v>
      </c>
      <c r="I3727" s="20">
        <v>2026</v>
      </c>
    </row>
    <row r="3728" spans="1:9" hidden="1" x14ac:dyDescent="0.3">
      <c r="A3728" s="24" t="s">
        <v>43</v>
      </c>
      <c r="B3728" s="24" t="s">
        <v>48</v>
      </c>
      <c r="C3728" s="22">
        <v>4</v>
      </c>
      <c r="D3728" s="25">
        <v>0</v>
      </c>
      <c r="E3728" s="25">
        <v>2775656</v>
      </c>
      <c r="F3728" s="25">
        <v>2775656</v>
      </c>
      <c r="G3728" s="26">
        <v>0</v>
      </c>
      <c r="H3728" s="10" t="str">
        <f t="shared" si="58"/>
        <v>GASTOS</v>
      </c>
      <c r="I3728" s="20">
        <v>2026</v>
      </c>
    </row>
    <row r="3729" spans="1:9" hidden="1" x14ac:dyDescent="0.3">
      <c r="A3729" s="24" t="s">
        <v>43</v>
      </c>
      <c r="B3729" s="24" t="s">
        <v>23</v>
      </c>
      <c r="C3729" s="22">
        <v>1</v>
      </c>
      <c r="D3729" s="25">
        <v>934485</v>
      </c>
      <c r="E3729" s="25">
        <v>934485</v>
      </c>
      <c r="F3729" s="25">
        <v>0</v>
      </c>
      <c r="G3729" s="26">
        <v>1</v>
      </c>
      <c r="H3729" s="10" t="str">
        <f t="shared" si="58"/>
        <v>GASTOS</v>
      </c>
      <c r="I3729" s="20">
        <v>2026</v>
      </c>
    </row>
    <row r="3730" spans="1:9" hidden="1" x14ac:dyDescent="0.3">
      <c r="A3730" s="23" t="s">
        <v>43</v>
      </c>
      <c r="B3730" s="23" t="s">
        <v>23</v>
      </c>
      <c r="C3730" s="22">
        <v>2</v>
      </c>
      <c r="D3730" s="25">
        <v>934485</v>
      </c>
      <c r="E3730" s="25">
        <v>934485</v>
      </c>
      <c r="F3730" s="25">
        <v>0</v>
      </c>
      <c r="G3730" s="26">
        <v>1</v>
      </c>
      <c r="H3730" s="10" t="str">
        <f t="shared" si="58"/>
        <v>GASTOS</v>
      </c>
      <c r="I3730" s="20">
        <v>2026</v>
      </c>
    </row>
    <row r="3731" spans="1:9" hidden="1" x14ac:dyDescent="0.3">
      <c r="A3731" s="24" t="s">
        <v>43</v>
      </c>
      <c r="B3731" s="24" t="s">
        <v>23</v>
      </c>
      <c r="C3731" s="22">
        <v>3</v>
      </c>
      <c r="D3731" s="25">
        <v>934485</v>
      </c>
      <c r="E3731" s="25">
        <v>934485</v>
      </c>
      <c r="F3731" s="25">
        <v>0</v>
      </c>
      <c r="G3731" s="26">
        <v>1</v>
      </c>
      <c r="H3731" s="10" t="str">
        <f t="shared" si="58"/>
        <v>GASTOS</v>
      </c>
      <c r="I3731" s="20">
        <v>2026</v>
      </c>
    </row>
    <row r="3732" spans="1:9" hidden="1" x14ac:dyDescent="0.3">
      <c r="A3732" s="24" t="s">
        <v>43</v>
      </c>
      <c r="B3732" s="24" t="s">
        <v>23</v>
      </c>
      <c r="C3732" s="22">
        <v>4</v>
      </c>
      <c r="D3732" s="25">
        <v>934485</v>
      </c>
      <c r="E3732" s="25">
        <v>934485</v>
      </c>
      <c r="F3732" s="25">
        <v>0</v>
      </c>
      <c r="G3732" s="26">
        <v>1</v>
      </c>
      <c r="H3732" s="10" t="str">
        <f t="shared" si="58"/>
        <v>GASTOS</v>
      </c>
      <c r="I3732" s="20">
        <v>2026</v>
      </c>
    </row>
    <row r="3733" spans="1:9" hidden="1" x14ac:dyDescent="0.3">
      <c r="A3733" s="24" t="s">
        <v>43</v>
      </c>
      <c r="B3733" s="24" t="s">
        <v>24</v>
      </c>
      <c r="C3733" s="22">
        <v>1</v>
      </c>
      <c r="D3733" s="25">
        <v>171814</v>
      </c>
      <c r="E3733" s="25">
        <v>171814</v>
      </c>
      <c r="F3733" s="25">
        <v>0</v>
      </c>
      <c r="G3733" s="26">
        <v>1</v>
      </c>
      <c r="H3733" s="10" t="str">
        <f t="shared" si="58"/>
        <v>GASTOS</v>
      </c>
      <c r="I3733" s="20">
        <v>2026</v>
      </c>
    </row>
    <row r="3734" spans="1:9" hidden="1" x14ac:dyDescent="0.3">
      <c r="A3734" s="23" t="s">
        <v>43</v>
      </c>
      <c r="B3734" s="23" t="s">
        <v>24</v>
      </c>
      <c r="C3734" s="22">
        <v>2</v>
      </c>
      <c r="D3734" s="25">
        <v>171814</v>
      </c>
      <c r="E3734" s="25">
        <v>171814</v>
      </c>
      <c r="F3734" s="25">
        <v>0</v>
      </c>
      <c r="G3734" s="26">
        <v>1</v>
      </c>
      <c r="H3734" s="10" t="str">
        <f t="shared" si="58"/>
        <v>GASTOS</v>
      </c>
      <c r="I3734" s="20">
        <v>2026</v>
      </c>
    </row>
    <row r="3735" spans="1:9" hidden="1" x14ac:dyDescent="0.3">
      <c r="A3735" s="24" t="s">
        <v>43</v>
      </c>
      <c r="B3735" s="24" t="s">
        <v>24</v>
      </c>
      <c r="C3735" s="22">
        <v>3</v>
      </c>
      <c r="D3735" s="25">
        <v>171814</v>
      </c>
      <c r="E3735" s="25">
        <v>171814</v>
      </c>
      <c r="F3735" s="25">
        <v>0</v>
      </c>
      <c r="G3735" s="26">
        <v>1</v>
      </c>
      <c r="H3735" s="10" t="str">
        <f t="shared" si="58"/>
        <v>GASTOS</v>
      </c>
      <c r="I3735" s="20">
        <v>2026</v>
      </c>
    </row>
    <row r="3736" spans="1:9" hidden="1" x14ac:dyDescent="0.3">
      <c r="A3736" s="24" t="s">
        <v>43</v>
      </c>
      <c r="B3736" s="24" t="s">
        <v>24</v>
      </c>
      <c r="C3736" s="22">
        <v>4</v>
      </c>
      <c r="D3736" s="25">
        <v>171814</v>
      </c>
      <c r="E3736" s="25">
        <v>171814</v>
      </c>
      <c r="F3736" s="25">
        <v>0</v>
      </c>
      <c r="G3736" s="26">
        <v>1</v>
      </c>
      <c r="H3736" s="10" t="str">
        <f t="shared" si="58"/>
        <v>GASTOS</v>
      </c>
      <c r="I3736" s="20">
        <v>2026</v>
      </c>
    </row>
    <row r="3737" spans="1:9" hidden="1" x14ac:dyDescent="0.3">
      <c r="A3737" s="24" t="s">
        <v>43</v>
      </c>
      <c r="B3737" s="24" t="s">
        <v>42</v>
      </c>
      <c r="C3737" s="22">
        <v>1</v>
      </c>
      <c r="D3737" s="25">
        <v>1000000</v>
      </c>
      <c r="E3737" s="25">
        <v>311106</v>
      </c>
      <c r="F3737" s="25">
        <v>-688894</v>
      </c>
      <c r="G3737" s="26">
        <v>0.31110599999999999</v>
      </c>
      <c r="H3737" s="10" t="str">
        <f t="shared" si="58"/>
        <v>GASTOS</v>
      </c>
      <c r="I3737" s="20">
        <v>2026</v>
      </c>
    </row>
    <row r="3738" spans="1:9" hidden="1" x14ac:dyDescent="0.3">
      <c r="A3738" s="23" t="s">
        <v>43</v>
      </c>
      <c r="B3738" s="23" t="s">
        <v>42</v>
      </c>
      <c r="C3738" s="22">
        <v>2</v>
      </c>
      <c r="D3738" s="25">
        <v>1000000</v>
      </c>
      <c r="E3738" s="25">
        <v>311106</v>
      </c>
      <c r="F3738" s="25">
        <v>-688894</v>
      </c>
      <c r="G3738" s="26">
        <v>0.31110599999999999</v>
      </c>
      <c r="H3738" s="10" t="str">
        <f t="shared" si="58"/>
        <v>GASTOS</v>
      </c>
      <c r="I3738" s="20">
        <v>2026</v>
      </c>
    </row>
    <row r="3739" spans="1:9" hidden="1" x14ac:dyDescent="0.3">
      <c r="A3739" s="24" t="s">
        <v>43</v>
      </c>
      <c r="B3739" s="24" t="s">
        <v>42</v>
      </c>
      <c r="C3739" s="22">
        <v>3</v>
      </c>
      <c r="D3739" s="25">
        <v>1000000</v>
      </c>
      <c r="E3739" s="25">
        <v>311106</v>
      </c>
      <c r="F3739" s="25">
        <v>-688894</v>
      </c>
      <c r="G3739" s="26">
        <v>0.31110599999999999</v>
      </c>
      <c r="H3739" s="10" t="str">
        <f t="shared" si="58"/>
        <v>GASTOS</v>
      </c>
      <c r="I3739" s="20">
        <v>2026</v>
      </c>
    </row>
    <row r="3740" spans="1:9" hidden="1" x14ac:dyDescent="0.3">
      <c r="A3740" s="24" t="s">
        <v>43</v>
      </c>
      <c r="B3740" s="24" t="s">
        <v>42</v>
      </c>
      <c r="C3740" s="22">
        <v>4</v>
      </c>
      <c r="D3740" s="25">
        <v>1000000</v>
      </c>
      <c r="E3740" s="25">
        <v>311106</v>
      </c>
      <c r="F3740" s="25">
        <v>-688894</v>
      </c>
      <c r="G3740" s="26">
        <v>0.31110599999999999</v>
      </c>
      <c r="H3740" s="10" t="str">
        <f t="shared" si="58"/>
        <v>GASTOS</v>
      </c>
      <c r="I3740" s="20">
        <v>2026</v>
      </c>
    </row>
    <row r="3741" spans="1:9" hidden="1" x14ac:dyDescent="0.3">
      <c r="A3741" s="24" t="s">
        <v>68</v>
      </c>
      <c r="B3741" s="24" t="s">
        <v>42</v>
      </c>
      <c r="C3741" s="22">
        <v>1</v>
      </c>
      <c r="D3741" s="25">
        <v>0</v>
      </c>
      <c r="E3741" s="25">
        <v>0</v>
      </c>
      <c r="F3741" s="25">
        <v>0</v>
      </c>
      <c r="G3741" s="26">
        <v>0</v>
      </c>
      <c r="H3741" s="10" t="str">
        <f t="shared" si="58"/>
        <v>GASTOS</v>
      </c>
      <c r="I3741" s="20">
        <v>2026</v>
      </c>
    </row>
    <row r="3742" spans="1:9" hidden="1" x14ac:dyDescent="0.3">
      <c r="A3742" s="23" t="s">
        <v>68</v>
      </c>
      <c r="B3742" s="23" t="s">
        <v>42</v>
      </c>
      <c r="C3742" s="22">
        <v>2</v>
      </c>
      <c r="D3742" s="25">
        <v>0</v>
      </c>
      <c r="E3742" s="25">
        <v>0</v>
      </c>
      <c r="F3742" s="25">
        <v>0</v>
      </c>
      <c r="G3742" s="26">
        <v>0</v>
      </c>
      <c r="H3742" s="10" t="str">
        <f t="shared" si="58"/>
        <v>GASTOS</v>
      </c>
      <c r="I3742" s="20">
        <v>2026</v>
      </c>
    </row>
    <row r="3743" spans="1:9" hidden="1" x14ac:dyDescent="0.3">
      <c r="A3743" s="24" t="s">
        <v>68</v>
      </c>
      <c r="B3743" s="24" t="s">
        <v>42</v>
      </c>
      <c r="C3743" s="22">
        <v>3</v>
      </c>
      <c r="D3743" s="25">
        <v>0</v>
      </c>
      <c r="E3743" s="25">
        <v>0</v>
      </c>
      <c r="F3743" s="25">
        <v>0</v>
      </c>
      <c r="G3743" s="26">
        <v>0</v>
      </c>
      <c r="H3743" s="10" t="str">
        <f t="shared" si="58"/>
        <v>GASTOS</v>
      </c>
      <c r="I3743" s="20">
        <v>2026</v>
      </c>
    </row>
    <row r="3744" spans="1:9" hidden="1" x14ac:dyDescent="0.3">
      <c r="A3744" s="24" t="s">
        <v>68</v>
      </c>
      <c r="B3744" s="24" t="s">
        <v>42</v>
      </c>
      <c r="C3744" s="22">
        <v>4</v>
      </c>
      <c r="D3744" s="25">
        <v>0</v>
      </c>
      <c r="E3744" s="25">
        <v>0</v>
      </c>
      <c r="F3744" s="25">
        <v>0</v>
      </c>
      <c r="G3744" s="26">
        <v>0</v>
      </c>
      <c r="H3744" s="10" t="str">
        <f t="shared" si="58"/>
        <v>GASTOS</v>
      </c>
      <c r="I3744" s="20">
        <v>2026</v>
      </c>
    </row>
    <row r="3745" spans="1:9" hidden="1" x14ac:dyDescent="0.3">
      <c r="A3745" s="23" t="s">
        <v>68</v>
      </c>
      <c r="B3745" s="23" t="s">
        <v>25</v>
      </c>
      <c r="C3745" s="22">
        <v>1</v>
      </c>
      <c r="D3745" s="25">
        <v>754584</v>
      </c>
      <c r="E3745" s="25">
        <v>754584</v>
      </c>
      <c r="F3745" s="25">
        <v>0</v>
      </c>
      <c r="G3745" s="26">
        <v>1</v>
      </c>
      <c r="H3745" s="10" t="str">
        <f t="shared" si="58"/>
        <v>GASTOS</v>
      </c>
      <c r="I3745" s="20">
        <v>2026</v>
      </c>
    </row>
    <row r="3746" spans="1:9" hidden="1" x14ac:dyDescent="0.3">
      <c r="A3746" s="24" t="s">
        <v>68</v>
      </c>
      <c r="B3746" s="24" t="s">
        <v>25</v>
      </c>
      <c r="C3746" s="22">
        <v>2</v>
      </c>
      <c r="D3746" s="25">
        <v>754584</v>
      </c>
      <c r="E3746" s="25">
        <v>754584</v>
      </c>
      <c r="F3746" s="25">
        <v>0</v>
      </c>
      <c r="G3746" s="26">
        <v>1</v>
      </c>
      <c r="H3746" s="10" t="str">
        <f t="shared" si="58"/>
        <v>GASTOS</v>
      </c>
      <c r="I3746" s="20">
        <v>2026</v>
      </c>
    </row>
    <row r="3747" spans="1:9" hidden="1" x14ac:dyDescent="0.3">
      <c r="A3747" s="24" t="s">
        <v>68</v>
      </c>
      <c r="B3747" s="24" t="s">
        <v>25</v>
      </c>
      <c r="C3747" s="22">
        <v>3</v>
      </c>
      <c r="D3747" s="25">
        <v>754584</v>
      </c>
      <c r="E3747" s="25">
        <v>754584</v>
      </c>
      <c r="F3747" s="25">
        <v>0</v>
      </c>
      <c r="G3747" s="26">
        <v>1</v>
      </c>
      <c r="H3747" s="10" t="str">
        <f t="shared" si="58"/>
        <v>GASTOS</v>
      </c>
      <c r="I3747" s="20">
        <v>2026</v>
      </c>
    </row>
    <row r="3748" spans="1:9" hidden="1" x14ac:dyDescent="0.3">
      <c r="A3748" s="24" t="s">
        <v>68</v>
      </c>
      <c r="B3748" s="24" t="s">
        <v>25</v>
      </c>
      <c r="C3748" s="22">
        <v>4</v>
      </c>
      <c r="D3748" s="25">
        <v>754584</v>
      </c>
      <c r="E3748" s="25">
        <v>754584</v>
      </c>
      <c r="F3748" s="25">
        <v>0</v>
      </c>
      <c r="G3748" s="26">
        <v>1</v>
      </c>
      <c r="H3748" s="10" t="str">
        <f t="shared" si="58"/>
        <v>GASTOS</v>
      </c>
      <c r="I3748" s="20">
        <v>2026</v>
      </c>
    </row>
    <row r="3749" spans="1:9" hidden="1" x14ac:dyDescent="0.3">
      <c r="A3749" s="23" t="s">
        <v>43</v>
      </c>
      <c r="B3749" s="23" t="s">
        <v>26</v>
      </c>
      <c r="C3749" s="22">
        <v>1</v>
      </c>
      <c r="D3749" s="25">
        <v>0</v>
      </c>
      <c r="E3749" s="25">
        <v>0</v>
      </c>
      <c r="F3749" s="25">
        <v>0</v>
      </c>
      <c r="G3749" s="26">
        <v>0</v>
      </c>
      <c r="H3749" s="10" t="str">
        <f t="shared" si="58"/>
        <v>GASTOS</v>
      </c>
      <c r="I3749" s="20">
        <v>2026</v>
      </c>
    </row>
    <row r="3750" spans="1:9" hidden="1" x14ac:dyDescent="0.3">
      <c r="A3750" s="24" t="s">
        <v>43</v>
      </c>
      <c r="B3750" s="24" t="s">
        <v>26</v>
      </c>
      <c r="C3750" s="22">
        <v>2</v>
      </c>
      <c r="D3750" s="25">
        <v>0</v>
      </c>
      <c r="E3750" s="25">
        <v>0</v>
      </c>
      <c r="F3750" s="25">
        <v>0</v>
      </c>
      <c r="G3750" s="26">
        <v>0</v>
      </c>
      <c r="H3750" s="10" t="str">
        <f t="shared" si="58"/>
        <v>GASTOS</v>
      </c>
      <c r="I3750" s="20">
        <v>2026</v>
      </c>
    </row>
    <row r="3751" spans="1:9" hidden="1" x14ac:dyDescent="0.3">
      <c r="A3751" s="24" t="s">
        <v>43</v>
      </c>
      <c r="B3751" s="24" t="s">
        <v>26</v>
      </c>
      <c r="C3751" s="22">
        <v>3</v>
      </c>
      <c r="D3751" s="25">
        <v>0</v>
      </c>
      <c r="E3751" s="25">
        <v>0</v>
      </c>
      <c r="F3751" s="25">
        <v>0</v>
      </c>
      <c r="G3751" s="26">
        <v>0</v>
      </c>
      <c r="H3751" s="10" t="str">
        <f t="shared" si="58"/>
        <v>GASTOS</v>
      </c>
      <c r="I3751" s="20">
        <v>2026</v>
      </c>
    </row>
    <row r="3752" spans="1:9" hidden="1" x14ac:dyDescent="0.3">
      <c r="A3752" s="23" t="s">
        <v>43</v>
      </c>
      <c r="B3752" s="23" t="s">
        <v>26</v>
      </c>
      <c r="C3752" s="22">
        <v>4</v>
      </c>
      <c r="D3752" s="25">
        <v>0</v>
      </c>
      <c r="E3752" s="25">
        <v>0</v>
      </c>
      <c r="F3752" s="25">
        <v>0</v>
      </c>
      <c r="G3752" s="26">
        <v>0</v>
      </c>
      <c r="H3752" s="10" t="str">
        <f t="shared" si="58"/>
        <v>GASTOS</v>
      </c>
      <c r="I3752" s="20">
        <v>2026</v>
      </c>
    </row>
    <row r="3753" spans="1:9" hidden="1" x14ac:dyDescent="0.3">
      <c r="A3753" s="24" t="s">
        <v>43</v>
      </c>
      <c r="B3753" s="24" t="s">
        <v>27</v>
      </c>
      <c r="C3753" s="22">
        <v>1</v>
      </c>
      <c r="D3753" s="25">
        <v>117759</v>
      </c>
      <c r="E3753" s="25">
        <v>0</v>
      </c>
      <c r="F3753" s="25">
        <v>-117759</v>
      </c>
      <c r="G3753" s="26">
        <v>0</v>
      </c>
      <c r="H3753" s="10" t="str">
        <f t="shared" si="58"/>
        <v>GASTOS</v>
      </c>
      <c r="I3753" s="20">
        <v>2026</v>
      </c>
    </row>
    <row r="3754" spans="1:9" hidden="1" x14ac:dyDescent="0.3">
      <c r="A3754" s="24" t="s">
        <v>43</v>
      </c>
      <c r="B3754" s="24" t="s">
        <v>27</v>
      </c>
      <c r="C3754" s="22">
        <v>2</v>
      </c>
      <c r="D3754" s="25">
        <v>117759</v>
      </c>
      <c r="E3754" s="25">
        <v>42033</v>
      </c>
      <c r="F3754" s="25">
        <v>-75726</v>
      </c>
      <c r="G3754" s="26">
        <v>0.35694087076147046</v>
      </c>
      <c r="H3754" s="10" t="str">
        <f t="shared" si="58"/>
        <v>GASTOS</v>
      </c>
      <c r="I3754" s="20">
        <v>2026</v>
      </c>
    </row>
    <row r="3755" spans="1:9" hidden="1" x14ac:dyDescent="0.3">
      <c r="A3755" s="24" t="s">
        <v>43</v>
      </c>
      <c r="B3755" s="24" t="s">
        <v>27</v>
      </c>
      <c r="C3755" s="22">
        <v>3</v>
      </c>
      <c r="D3755" s="25">
        <v>117759</v>
      </c>
      <c r="E3755" s="25">
        <v>60140</v>
      </c>
      <c r="F3755" s="25">
        <v>-57619</v>
      </c>
      <c r="G3755" s="26">
        <v>0.51070406508207444</v>
      </c>
      <c r="H3755" s="10" t="str">
        <f t="shared" si="58"/>
        <v>GASTOS</v>
      </c>
      <c r="I3755" s="20">
        <v>2026</v>
      </c>
    </row>
    <row r="3756" spans="1:9" hidden="1" x14ac:dyDescent="0.3">
      <c r="A3756" s="23" t="s">
        <v>43</v>
      </c>
      <c r="B3756" s="23" t="s">
        <v>27</v>
      </c>
      <c r="C3756" s="22">
        <v>4</v>
      </c>
      <c r="D3756" s="25">
        <v>117759</v>
      </c>
      <c r="E3756" s="25">
        <v>65120</v>
      </c>
      <c r="F3756" s="25">
        <v>-52639</v>
      </c>
      <c r="G3756" s="26">
        <v>0.55299382637420502</v>
      </c>
      <c r="H3756" s="10" t="str">
        <f t="shared" si="58"/>
        <v>GASTOS</v>
      </c>
      <c r="I3756" s="20">
        <v>2026</v>
      </c>
    </row>
    <row r="3757" spans="1:9" hidden="1" x14ac:dyDescent="0.3">
      <c r="A3757" s="24" t="s">
        <v>68</v>
      </c>
      <c r="B3757" s="24" t="s">
        <v>27</v>
      </c>
      <c r="C3757" s="22">
        <v>1</v>
      </c>
      <c r="D3757" s="25">
        <v>168227</v>
      </c>
      <c r="E3757" s="25">
        <v>0</v>
      </c>
      <c r="F3757" s="25">
        <v>-168227</v>
      </c>
      <c r="G3757" s="26">
        <v>0</v>
      </c>
      <c r="H3757" s="10" t="str">
        <f t="shared" si="58"/>
        <v>GASTOS</v>
      </c>
      <c r="I3757" s="20">
        <v>2026</v>
      </c>
    </row>
    <row r="3758" spans="1:9" hidden="1" x14ac:dyDescent="0.3">
      <c r="A3758" s="24" t="s">
        <v>68</v>
      </c>
      <c r="B3758" s="24" t="s">
        <v>27</v>
      </c>
      <c r="C3758" s="22">
        <v>2</v>
      </c>
      <c r="D3758" s="25">
        <v>168227</v>
      </c>
      <c r="E3758" s="25">
        <v>105083</v>
      </c>
      <c r="F3758" s="25">
        <v>-63144</v>
      </c>
      <c r="G3758" s="26">
        <v>0.62465002645235312</v>
      </c>
      <c r="H3758" s="10" t="str">
        <f t="shared" ref="H3758:H3802" si="59">+IF(OR(A3758="ADMINISTRACION",A3758="COMERCIAL",A3758="COMERCIAL-EXPORTACIONES",A3758="LEASING DE LA BODEGA",A3758="LOGISTICA-SALIDA",A3758="OTROS GASTOS",A3758="BODEGA ALQUILADA", A3758="BODEGA CARTOPLAST", A3758="BODEGA CARTOPLAS", A3758= "GESTION HUMANA-OTROS GASTOS",A3758="FAMILIA"),"GASTOS","COSTOS")</f>
        <v>GASTOS</v>
      </c>
      <c r="I3758" s="20">
        <v>2026</v>
      </c>
    </row>
    <row r="3759" spans="1:9" hidden="1" x14ac:dyDescent="0.3">
      <c r="A3759" s="24" t="s">
        <v>68</v>
      </c>
      <c r="B3759" s="24" t="s">
        <v>27</v>
      </c>
      <c r="C3759" s="22">
        <v>3</v>
      </c>
      <c r="D3759" s="25">
        <v>168227</v>
      </c>
      <c r="E3759" s="25">
        <v>150351</v>
      </c>
      <c r="F3759" s="25">
        <v>-17876</v>
      </c>
      <c r="G3759" s="26">
        <v>0.89373881719343506</v>
      </c>
      <c r="H3759" s="10" t="str">
        <f t="shared" si="59"/>
        <v>GASTOS</v>
      </c>
      <c r="I3759" s="20">
        <v>2026</v>
      </c>
    </row>
    <row r="3760" spans="1:9" hidden="1" x14ac:dyDescent="0.3">
      <c r="A3760" s="23" t="s">
        <v>68</v>
      </c>
      <c r="B3760" s="23" t="s">
        <v>27</v>
      </c>
      <c r="C3760" s="22">
        <v>4</v>
      </c>
      <c r="D3760" s="25">
        <v>168227</v>
      </c>
      <c r="E3760" s="25">
        <v>162801</v>
      </c>
      <c r="F3760" s="25">
        <v>-5426</v>
      </c>
      <c r="G3760" s="26">
        <v>0.96774596230093868</v>
      </c>
      <c r="H3760" s="10" t="str">
        <f t="shared" si="59"/>
        <v>GASTOS</v>
      </c>
      <c r="I3760" s="20">
        <v>2026</v>
      </c>
    </row>
    <row r="3761" spans="1:9" hidden="1" x14ac:dyDescent="0.3">
      <c r="A3761" s="24" t="s">
        <v>43</v>
      </c>
      <c r="B3761" s="24" t="s">
        <v>28</v>
      </c>
      <c r="C3761" s="22">
        <v>1</v>
      </c>
      <c r="D3761" s="25">
        <v>2000000</v>
      </c>
      <c r="E3761" s="25">
        <v>2573347</v>
      </c>
      <c r="F3761" s="25">
        <v>573347</v>
      </c>
      <c r="G3761" s="26">
        <v>1.2866735</v>
      </c>
      <c r="H3761" s="10" t="str">
        <f t="shared" si="59"/>
        <v>GASTOS</v>
      </c>
      <c r="I3761" s="20">
        <v>2026</v>
      </c>
    </row>
    <row r="3762" spans="1:9" hidden="1" x14ac:dyDescent="0.3">
      <c r="A3762" s="24" t="s">
        <v>43</v>
      </c>
      <c r="B3762" s="24" t="s">
        <v>28</v>
      </c>
      <c r="C3762" s="22">
        <v>2</v>
      </c>
      <c r="D3762" s="25">
        <v>4000000</v>
      </c>
      <c r="E3762" s="25">
        <v>6524520</v>
      </c>
      <c r="F3762" s="25">
        <v>2524520</v>
      </c>
      <c r="G3762" s="26">
        <v>1.63113</v>
      </c>
      <c r="H3762" s="10" t="str">
        <f t="shared" si="59"/>
        <v>GASTOS</v>
      </c>
      <c r="I3762" s="20">
        <v>2026</v>
      </c>
    </row>
    <row r="3763" spans="1:9" hidden="1" x14ac:dyDescent="0.3">
      <c r="A3763" s="23" t="s">
        <v>43</v>
      </c>
      <c r="B3763" s="23" t="s">
        <v>28</v>
      </c>
      <c r="C3763" s="22">
        <v>3</v>
      </c>
      <c r="D3763" s="25">
        <v>2000000</v>
      </c>
      <c r="E3763" s="25">
        <v>350708</v>
      </c>
      <c r="F3763" s="25">
        <v>-1649292</v>
      </c>
      <c r="G3763" s="26">
        <v>0.17535400000000001</v>
      </c>
      <c r="H3763" s="10" t="str">
        <f t="shared" si="59"/>
        <v>GASTOS</v>
      </c>
      <c r="I3763" s="20">
        <v>2026</v>
      </c>
    </row>
    <row r="3764" spans="1:9" hidden="1" x14ac:dyDescent="0.3">
      <c r="A3764" s="24" t="s">
        <v>43</v>
      </c>
      <c r="B3764" s="24" t="s">
        <v>28</v>
      </c>
      <c r="C3764" s="22">
        <v>4</v>
      </c>
      <c r="D3764" s="25">
        <v>2000000</v>
      </c>
      <c r="E3764" s="25">
        <v>2167056</v>
      </c>
      <c r="F3764" s="25">
        <v>167056</v>
      </c>
      <c r="G3764" s="26">
        <v>1.083528</v>
      </c>
      <c r="H3764" s="10" t="str">
        <f t="shared" si="59"/>
        <v>GASTOS</v>
      </c>
      <c r="I3764" s="20">
        <v>2026</v>
      </c>
    </row>
    <row r="3765" spans="1:9" hidden="1" x14ac:dyDescent="0.3">
      <c r="A3765" s="24" t="s">
        <v>68</v>
      </c>
      <c r="B3765" s="24" t="s">
        <v>28</v>
      </c>
      <c r="C3765" s="22">
        <v>1</v>
      </c>
      <c r="D3765" s="25">
        <v>280008</v>
      </c>
      <c r="E3765" s="25">
        <v>589365</v>
      </c>
      <c r="F3765" s="25">
        <v>309357</v>
      </c>
      <c r="G3765" s="26">
        <v>2.104814862432502</v>
      </c>
      <c r="H3765" s="10" t="str">
        <f t="shared" si="59"/>
        <v>GASTOS</v>
      </c>
      <c r="I3765" s="20">
        <v>2026</v>
      </c>
    </row>
    <row r="3766" spans="1:9" hidden="1" x14ac:dyDescent="0.3">
      <c r="A3766" s="24" t="s">
        <v>68</v>
      </c>
      <c r="B3766" s="24" t="s">
        <v>28</v>
      </c>
      <c r="C3766" s="22">
        <v>2</v>
      </c>
      <c r="D3766" s="25">
        <v>280008</v>
      </c>
      <c r="E3766" s="25">
        <v>11440</v>
      </c>
      <c r="F3766" s="25">
        <v>-268568</v>
      </c>
      <c r="G3766" s="26">
        <v>4.0855975543555897E-2</v>
      </c>
      <c r="H3766" s="10" t="str">
        <f t="shared" si="59"/>
        <v>GASTOS</v>
      </c>
      <c r="I3766" s="20">
        <v>2026</v>
      </c>
    </row>
    <row r="3767" spans="1:9" hidden="1" x14ac:dyDescent="0.3">
      <c r="A3767" s="23" t="s">
        <v>68</v>
      </c>
      <c r="B3767" s="23" t="s">
        <v>28</v>
      </c>
      <c r="C3767" s="22">
        <v>3</v>
      </c>
      <c r="D3767" s="25">
        <v>280008</v>
      </c>
      <c r="E3767" s="25">
        <v>615094</v>
      </c>
      <c r="F3767" s="25">
        <v>335086</v>
      </c>
      <c r="G3767" s="26">
        <v>2.1967015228136342</v>
      </c>
      <c r="H3767" s="10" t="str">
        <f t="shared" si="59"/>
        <v>GASTOS</v>
      </c>
      <c r="I3767" s="20">
        <v>2026</v>
      </c>
    </row>
    <row r="3768" spans="1:9" hidden="1" x14ac:dyDescent="0.3">
      <c r="A3768" s="24" t="s">
        <v>68</v>
      </c>
      <c r="B3768" s="24" t="s">
        <v>28</v>
      </c>
      <c r="C3768" s="22">
        <v>4</v>
      </c>
      <c r="D3768" s="25">
        <v>280008</v>
      </c>
      <c r="E3768" s="25">
        <v>18400</v>
      </c>
      <c r="F3768" s="25">
        <v>-261608</v>
      </c>
      <c r="G3768" s="26">
        <v>6.5712408216908089E-2</v>
      </c>
      <c r="H3768" s="10" t="str">
        <f t="shared" si="59"/>
        <v>GASTOS</v>
      </c>
      <c r="I3768" s="20">
        <v>2026</v>
      </c>
    </row>
    <row r="3769" spans="1:9" hidden="1" x14ac:dyDescent="0.3">
      <c r="A3769" s="24" t="s">
        <v>43</v>
      </c>
      <c r="B3769" s="24" t="s">
        <v>52</v>
      </c>
      <c r="C3769" s="22">
        <v>2</v>
      </c>
      <c r="D3769" s="25">
        <v>0</v>
      </c>
      <c r="E3769" s="25">
        <v>343620</v>
      </c>
      <c r="F3769" s="25">
        <v>343620</v>
      </c>
      <c r="G3769" s="26">
        <v>0</v>
      </c>
      <c r="H3769" s="10" t="str">
        <f t="shared" si="59"/>
        <v>GASTOS</v>
      </c>
      <c r="I3769" s="20">
        <v>2026</v>
      </c>
    </row>
    <row r="3770" spans="1:9" hidden="1" x14ac:dyDescent="0.3">
      <c r="A3770" s="24" t="s">
        <v>43</v>
      </c>
      <c r="B3770" s="24" t="s">
        <v>52</v>
      </c>
      <c r="C3770" s="22">
        <v>3</v>
      </c>
      <c r="D3770" s="25">
        <v>0</v>
      </c>
      <c r="E3770" s="25">
        <v>77000</v>
      </c>
      <c r="F3770" s="25">
        <v>77000</v>
      </c>
      <c r="G3770" s="26">
        <v>0</v>
      </c>
      <c r="H3770" s="10" t="str">
        <f t="shared" si="59"/>
        <v>GASTOS</v>
      </c>
      <c r="I3770" s="20">
        <v>2026</v>
      </c>
    </row>
    <row r="3771" spans="1:9" hidden="1" x14ac:dyDescent="0.3">
      <c r="A3771" s="23" t="s">
        <v>43</v>
      </c>
      <c r="B3771" s="23" t="s">
        <v>52</v>
      </c>
      <c r="C3771" s="22">
        <v>4</v>
      </c>
      <c r="D3771" s="25">
        <v>0</v>
      </c>
      <c r="E3771" s="25">
        <v>855635</v>
      </c>
      <c r="F3771" s="25">
        <v>855635</v>
      </c>
      <c r="G3771" s="26">
        <v>0</v>
      </c>
      <c r="H3771" s="10" t="str">
        <f t="shared" si="59"/>
        <v>GASTOS</v>
      </c>
      <c r="I3771" s="20">
        <v>2026</v>
      </c>
    </row>
    <row r="3772" spans="1:9" hidden="1" x14ac:dyDescent="0.3">
      <c r="A3772" s="24" t="s">
        <v>68</v>
      </c>
      <c r="B3772" s="24" t="s">
        <v>52</v>
      </c>
      <c r="C3772" s="22">
        <v>1</v>
      </c>
      <c r="D3772" s="25">
        <v>511123</v>
      </c>
      <c r="E3772" s="25">
        <v>670743</v>
      </c>
      <c r="F3772" s="25">
        <v>159620</v>
      </c>
      <c r="G3772" s="26">
        <v>1.3122927357994065</v>
      </c>
      <c r="H3772" s="10" t="str">
        <f t="shared" si="59"/>
        <v>GASTOS</v>
      </c>
      <c r="I3772" s="20">
        <v>2026</v>
      </c>
    </row>
    <row r="3773" spans="1:9" hidden="1" x14ac:dyDescent="0.3">
      <c r="A3773" s="24" t="s">
        <v>68</v>
      </c>
      <c r="B3773" s="24" t="s">
        <v>52</v>
      </c>
      <c r="C3773" s="22">
        <v>2</v>
      </c>
      <c r="D3773" s="25">
        <v>511123</v>
      </c>
      <c r="E3773" s="25">
        <v>340012</v>
      </c>
      <c r="F3773" s="25">
        <v>-171111</v>
      </c>
      <c r="G3773" s="26">
        <v>0.66522539584405327</v>
      </c>
      <c r="H3773" s="10" t="str">
        <f t="shared" si="59"/>
        <v>GASTOS</v>
      </c>
      <c r="I3773" s="20">
        <v>2026</v>
      </c>
    </row>
    <row r="3774" spans="1:9" hidden="1" x14ac:dyDescent="0.3">
      <c r="A3774" s="24" t="s">
        <v>68</v>
      </c>
      <c r="B3774" s="24" t="s">
        <v>52</v>
      </c>
      <c r="C3774" s="22">
        <v>3</v>
      </c>
      <c r="D3774" s="25">
        <v>511123</v>
      </c>
      <c r="E3774" s="25">
        <v>480063</v>
      </c>
      <c r="F3774" s="25">
        <v>-31060</v>
      </c>
      <c r="G3774" s="26">
        <v>0.93923184830265904</v>
      </c>
      <c r="H3774" s="10" t="str">
        <f t="shared" si="59"/>
        <v>GASTOS</v>
      </c>
      <c r="I3774" s="20">
        <v>2026</v>
      </c>
    </row>
    <row r="3775" spans="1:9" hidden="1" x14ac:dyDescent="0.3">
      <c r="A3775" s="23" t="s">
        <v>68</v>
      </c>
      <c r="B3775" s="23" t="s">
        <v>52</v>
      </c>
      <c r="C3775" s="22">
        <v>4</v>
      </c>
      <c r="D3775" s="25">
        <v>511123</v>
      </c>
      <c r="E3775" s="25">
        <v>529968</v>
      </c>
      <c r="F3775" s="25">
        <v>18845</v>
      </c>
      <c r="G3775" s="26">
        <v>1.036869794550431</v>
      </c>
      <c r="H3775" s="10" t="str">
        <f t="shared" si="59"/>
        <v>GASTOS</v>
      </c>
      <c r="I3775" s="20">
        <v>2026</v>
      </c>
    </row>
    <row r="3776" spans="1:9" hidden="1" x14ac:dyDescent="0.3">
      <c r="A3776" s="24" t="s">
        <v>43</v>
      </c>
      <c r="B3776" s="24" t="s">
        <v>29</v>
      </c>
      <c r="C3776" s="22">
        <v>1</v>
      </c>
      <c r="D3776" s="25">
        <v>800000</v>
      </c>
      <c r="E3776" s="25">
        <v>1220478</v>
      </c>
      <c r="F3776" s="25">
        <v>420478</v>
      </c>
      <c r="G3776" s="26">
        <v>1.5255974999999999</v>
      </c>
      <c r="H3776" s="10" t="str">
        <f t="shared" si="59"/>
        <v>GASTOS</v>
      </c>
      <c r="I3776" s="20">
        <v>2026</v>
      </c>
    </row>
    <row r="3777" spans="1:9" hidden="1" x14ac:dyDescent="0.3">
      <c r="A3777" s="24" t="s">
        <v>43</v>
      </c>
      <c r="B3777" s="24" t="s">
        <v>29</v>
      </c>
      <c r="C3777" s="22">
        <v>2</v>
      </c>
      <c r="D3777" s="25">
        <v>1800000</v>
      </c>
      <c r="E3777" s="25">
        <v>3105456</v>
      </c>
      <c r="F3777" s="25">
        <v>1305456</v>
      </c>
      <c r="G3777" s="26">
        <v>1.7252533333333333</v>
      </c>
      <c r="H3777" s="10" t="str">
        <f t="shared" si="59"/>
        <v>GASTOS</v>
      </c>
      <c r="I3777" s="20">
        <v>2026</v>
      </c>
    </row>
    <row r="3778" spans="1:9" hidden="1" x14ac:dyDescent="0.3">
      <c r="A3778" s="23" t="s">
        <v>43</v>
      </c>
      <c r="B3778" s="23" t="s">
        <v>29</v>
      </c>
      <c r="C3778" s="22">
        <v>3</v>
      </c>
      <c r="D3778" s="25">
        <v>1800000</v>
      </c>
      <c r="E3778" s="25">
        <v>3333046</v>
      </c>
      <c r="F3778" s="25">
        <v>1533046</v>
      </c>
      <c r="G3778" s="26">
        <v>1.8516922222222223</v>
      </c>
      <c r="H3778" s="10" t="str">
        <f t="shared" si="59"/>
        <v>GASTOS</v>
      </c>
      <c r="I3778" s="20">
        <v>2026</v>
      </c>
    </row>
    <row r="3779" spans="1:9" hidden="1" x14ac:dyDescent="0.3">
      <c r="A3779" s="24" t="s">
        <v>43</v>
      </c>
      <c r="B3779" s="24" t="s">
        <v>29</v>
      </c>
      <c r="C3779" s="22">
        <v>4</v>
      </c>
      <c r="D3779" s="25">
        <v>1800000</v>
      </c>
      <c r="E3779" s="25">
        <v>2043114</v>
      </c>
      <c r="F3779" s="25">
        <v>243114</v>
      </c>
      <c r="G3779" s="26">
        <v>1.1350633333333333</v>
      </c>
      <c r="H3779" s="10" t="str">
        <f t="shared" si="59"/>
        <v>GASTOS</v>
      </c>
      <c r="I3779" s="20">
        <v>2026</v>
      </c>
    </row>
    <row r="3780" spans="1:9" hidden="1" x14ac:dyDescent="0.3">
      <c r="A3780" s="24" t="s">
        <v>68</v>
      </c>
      <c r="B3780" s="24" t="s">
        <v>29</v>
      </c>
      <c r="C3780" s="22">
        <v>1</v>
      </c>
      <c r="D3780" s="25">
        <v>158596</v>
      </c>
      <c r="E3780" s="25">
        <v>55000</v>
      </c>
      <c r="F3780" s="25">
        <v>-103596</v>
      </c>
      <c r="G3780" s="26">
        <v>0.34679310953617998</v>
      </c>
      <c r="H3780" s="10" t="str">
        <f t="shared" si="59"/>
        <v>GASTOS</v>
      </c>
      <c r="I3780" s="20">
        <v>2026</v>
      </c>
    </row>
    <row r="3781" spans="1:9" hidden="1" x14ac:dyDescent="0.3">
      <c r="A3781" s="24" t="s">
        <v>68</v>
      </c>
      <c r="B3781" s="24" t="s">
        <v>29</v>
      </c>
      <c r="C3781" s="22">
        <v>2</v>
      </c>
      <c r="D3781" s="25">
        <v>158596</v>
      </c>
      <c r="E3781" s="25">
        <v>33500</v>
      </c>
      <c r="F3781" s="25">
        <v>-125096</v>
      </c>
      <c r="G3781" s="26">
        <v>0.21122853035385508</v>
      </c>
      <c r="H3781" s="10" t="str">
        <f t="shared" si="59"/>
        <v>GASTOS</v>
      </c>
      <c r="I3781" s="20">
        <v>2026</v>
      </c>
    </row>
    <row r="3782" spans="1:9" hidden="1" x14ac:dyDescent="0.3">
      <c r="A3782" s="23" t="s">
        <v>68</v>
      </c>
      <c r="B3782" s="23" t="s">
        <v>29</v>
      </c>
      <c r="C3782" s="22">
        <v>3</v>
      </c>
      <c r="D3782" s="25">
        <v>158596</v>
      </c>
      <c r="E3782" s="25">
        <v>176000</v>
      </c>
      <c r="F3782" s="25">
        <v>17404</v>
      </c>
      <c r="G3782" s="26">
        <v>1.1097379505157758</v>
      </c>
      <c r="H3782" s="10" t="str">
        <f t="shared" si="59"/>
        <v>GASTOS</v>
      </c>
      <c r="I3782" s="20">
        <v>2026</v>
      </c>
    </row>
    <row r="3783" spans="1:9" hidden="1" x14ac:dyDescent="0.3">
      <c r="A3783" s="24" t="s">
        <v>68</v>
      </c>
      <c r="B3783" s="24" t="s">
        <v>29</v>
      </c>
      <c r="C3783" s="22">
        <v>4</v>
      </c>
      <c r="D3783" s="25">
        <v>158596</v>
      </c>
      <c r="E3783" s="25">
        <v>81000</v>
      </c>
      <c r="F3783" s="25">
        <v>-77596</v>
      </c>
      <c r="G3783" s="26">
        <v>0.51073167040782874</v>
      </c>
      <c r="H3783" s="10" t="str">
        <f t="shared" si="59"/>
        <v>GASTOS</v>
      </c>
      <c r="I3783" s="20">
        <v>2026</v>
      </c>
    </row>
    <row r="3784" spans="1:9" hidden="1" x14ac:dyDescent="0.3">
      <c r="A3784" s="24" t="s">
        <v>43</v>
      </c>
      <c r="B3784" s="24" t="s">
        <v>224</v>
      </c>
      <c r="C3784" s="22">
        <v>2</v>
      </c>
      <c r="D3784" s="25">
        <v>0</v>
      </c>
      <c r="E3784" s="25">
        <v>11765</v>
      </c>
      <c r="F3784" s="25">
        <v>11765</v>
      </c>
      <c r="G3784" s="26">
        <v>0</v>
      </c>
      <c r="H3784" s="10" t="str">
        <f t="shared" si="59"/>
        <v>GASTOS</v>
      </c>
      <c r="I3784" s="20">
        <v>2026</v>
      </c>
    </row>
    <row r="3785" spans="1:9" hidden="1" x14ac:dyDescent="0.3">
      <c r="A3785" s="24" t="s">
        <v>43</v>
      </c>
      <c r="B3785" s="24" t="s">
        <v>224</v>
      </c>
      <c r="C3785" s="22">
        <v>3</v>
      </c>
      <c r="D3785" s="25">
        <v>0</v>
      </c>
      <c r="E3785" s="25">
        <v>0</v>
      </c>
      <c r="F3785" s="25">
        <v>0</v>
      </c>
      <c r="G3785" s="26">
        <v>0</v>
      </c>
      <c r="H3785" s="10" t="str">
        <f t="shared" si="59"/>
        <v>GASTOS</v>
      </c>
      <c r="I3785" s="20">
        <v>2026</v>
      </c>
    </row>
    <row r="3786" spans="1:9" hidden="1" x14ac:dyDescent="0.3">
      <c r="A3786" s="23" t="s">
        <v>43</v>
      </c>
      <c r="B3786" s="23" t="s">
        <v>224</v>
      </c>
      <c r="C3786" s="22">
        <v>4</v>
      </c>
      <c r="D3786" s="25">
        <v>0</v>
      </c>
      <c r="E3786" s="25">
        <v>0</v>
      </c>
      <c r="F3786" s="25">
        <v>0</v>
      </c>
      <c r="G3786" s="26">
        <v>0</v>
      </c>
      <c r="H3786" s="10" t="str">
        <f t="shared" si="59"/>
        <v>GASTOS</v>
      </c>
      <c r="I3786" s="20">
        <v>2026</v>
      </c>
    </row>
    <row r="3787" spans="1:9" hidden="1" x14ac:dyDescent="0.3">
      <c r="A3787" s="24" t="s">
        <v>43</v>
      </c>
      <c r="B3787" s="24" t="s">
        <v>49</v>
      </c>
      <c r="C3787" s="22">
        <v>1</v>
      </c>
      <c r="D3787" s="25">
        <v>5000000</v>
      </c>
      <c r="E3787" s="25">
        <v>630000</v>
      </c>
      <c r="F3787" s="25">
        <v>-4370000</v>
      </c>
      <c r="G3787" s="26">
        <v>0.126</v>
      </c>
      <c r="H3787" s="10" t="str">
        <f t="shared" si="59"/>
        <v>GASTOS</v>
      </c>
      <c r="I3787" s="20">
        <v>2026</v>
      </c>
    </row>
    <row r="3788" spans="1:9" hidden="1" x14ac:dyDescent="0.3">
      <c r="A3788" s="24" t="s">
        <v>43</v>
      </c>
      <c r="B3788" s="24" t="s">
        <v>49</v>
      </c>
      <c r="C3788" s="22">
        <v>2</v>
      </c>
      <c r="D3788" s="25">
        <v>10000000</v>
      </c>
      <c r="E3788" s="25">
        <v>540000</v>
      </c>
      <c r="F3788" s="25">
        <v>-9460000</v>
      </c>
      <c r="G3788" s="26">
        <v>5.3999999999999999E-2</v>
      </c>
      <c r="H3788" s="10" t="str">
        <f t="shared" si="59"/>
        <v>GASTOS</v>
      </c>
      <c r="I3788" s="20">
        <v>2026</v>
      </c>
    </row>
    <row r="3789" spans="1:9" hidden="1" x14ac:dyDescent="0.3">
      <c r="A3789" s="24" t="s">
        <v>43</v>
      </c>
      <c r="B3789" s="24" t="s">
        <v>49</v>
      </c>
      <c r="C3789" s="22">
        <v>3</v>
      </c>
      <c r="D3789" s="25">
        <v>10000000</v>
      </c>
      <c r="E3789" s="25">
        <v>4480000</v>
      </c>
      <c r="F3789" s="25">
        <v>-5520000</v>
      </c>
      <c r="G3789" s="26">
        <v>0.44800000000000001</v>
      </c>
      <c r="H3789" s="10" t="str">
        <f t="shared" si="59"/>
        <v>GASTOS</v>
      </c>
      <c r="I3789" s="20">
        <v>2026</v>
      </c>
    </row>
    <row r="3790" spans="1:9" hidden="1" x14ac:dyDescent="0.3">
      <c r="A3790" s="23" t="s">
        <v>43</v>
      </c>
      <c r="B3790" s="23" t="s">
        <v>49</v>
      </c>
      <c r="C3790" s="22">
        <v>4</v>
      </c>
      <c r="D3790" s="25">
        <v>8000000</v>
      </c>
      <c r="E3790" s="25">
        <v>7550000</v>
      </c>
      <c r="F3790" s="25">
        <v>-450000</v>
      </c>
      <c r="G3790" s="26">
        <v>0.94374999999999998</v>
      </c>
      <c r="H3790" s="10" t="str">
        <f t="shared" si="59"/>
        <v>GASTOS</v>
      </c>
      <c r="I3790" s="20">
        <v>2026</v>
      </c>
    </row>
    <row r="3791" spans="1:9" hidden="1" x14ac:dyDescent="0.3">
      <c r="A3791" s="23" t="s">
        <v>43</v>
      </c>
      <c r="B3791" s="23" t="s">
        <v>50</v>
      </c>
      <c r="C3791" s="22">
        <v>1</v>
      </c>
      <c r="D3791" s="25">
        <v>3000000</v>
      </c>
      <c r="E3791" s="25">
        <v>8674892.8000000007</v>
      </c>
      <c r="F3791" s="25">
        <v>5674892.7999999998</v>
      </c>
      <c r="G3791" s="26">
        <v>2.8916309333333334</v>
      </c>
      <c r="H3791" s="10" t="str">
        <f t="shared" si="59"/>
        <v>GASTOS</v>
      </c>
      <c r="I3791" s="20">
        <v>2026</v>
      </c>
    </row>
    <row r="3792" spans="1:9" hidden="1" x14ac:dyDescent="0.3">
      <c r="A3792" s="24" t="s">
        <v>43</v>
      </c>
      <c r="B3792" s="24" t="s">
        <v>50</v>
      </c>
      <c r="C3792" s="22">
        <v>2</v>
      </c>
      <c r="D3792" s="25">
        <v>5000000</v>
      </c>
      <c r="E3792" s="25">
        <v>701799</v>
      </c>
      <c r="F3792" s="25">
        <v>-4298201</v>
      </c>
      <c r="G3792" s="26">
        <v>0.14035980000000001</v>
      </c>
      <c r="H3792" s="10" t="str">
        <f t="shared" si="59"/>
        <v>GASTOS</v>
      </c>
      <c r="I3792" s="20">
        <v>2026</v>
      </c>
    </row>
    <row r="3793" spans="1:9" hidden="1" x14ac:dyDescent="0.3">
      <c r="A3793" s="24" t="s">
        <v>43</v>
      </c>
      <c r="B3793" s="24" t="s">
        <v>50</v>
      </c>
      <c r="C3793" s="22">
        <v>3</v>
      </c>
      <c r="D3793" s="25">
        <v>12000000</v>
      </c>
      <c r="E3793" s="25">
        <v>26848714</v>
      </c>
      <c r="F3793" s="25">
        <v>14848714</v>
      </c>
      <c r="G3793" s="26">
        <v>2.2373928333333333</v>
      </c>
      <c r="H3793" s="10" t="str">
        <f t="shared" si="59"/>
        <v>GASTOS</v>
      </c>
      <c r="I3793" s="20">
        <v>2026</v>
      </c>
    </row>
    <row r="3794" spans="1:9" hidden="1" x14ac:dyDescent="0.3">
      <c r="A3794" s="23" t="s">
        <v>43</v>
      </c>
      <c r="B3794" s="23" t="s">
        <v>50</v>
      </c>
      <c r="C3794" s="22">
        <v>4</v>
      </c>
      <c r="D3794" s="25">
        <v>3500000</v>
      </c>
      <c r="E3794" s="25">
        <v>16940025.170000002</v>
      </c>
      <c r="F3794" s="25">
        <v>13440025.17</v>
      </c>
      <c r="G3794" s="26">
        <v>4.8400071914285716</v>
      </c>
      <c r="H3794" s="10" t="str">
        <f t="shared" si="59"/>
        <v>GASTOS</v>
      </c>
      <c r="I3794" s="20">
        <v>2026</v>
      </c>
    </row>
    <row r="3795" spans="1:9" hidden="1" x14ac:dyDescent="0.3">
      <c r="A3795" s="24" t="s">
        <v>43</v>
      </c>
      <c r="B3795" s="24" t="s">
        <v>247</v>
      </c>
      <c r="C3795" s="22">
        <v>1</v>
      </c>
      <c r="D3795" s="25">
        <v>0</v>
      </c>
      <c r="E3795" s="25">
        <v>0</v>
      </c>
      <c r="F3795" s="25">
        <v>0</v>
      </c>
      <c r="G3795" s="26">
        <v>0</v>
      </c>
      <c r="H3795" s="10" t="str">
        <f t="shared" si="59"/>
        <v>GASTOS</v>
      </c>
      <c r="I3795" s="20">
        <v>2026</v>
      </c>
    </row>
    <row r="3796" spans="1:9" hidden="1" x14ac:dyDescent="0.3">
      <c r="A3796" s="24" t="s">
        <v>43</v>
      </c>
      <c r="B3796" s="24" t="s">
        <v>247</v>
      </c>
      <c r="C3796" s="22">
        <v>2</v>
      </c>
      <c r="D3796" s="25">
        <v>3000000</v>
      </c>
      <c r="E3796" s="25">
        <v>0</v>
      </c>
      <c r="F3796" s="25">
        <v>-3000000</v>
      </c>
      <c r="G3796" s="26">
        <v>0</v>
      </c>
      <c r="H3796" s="10" t="str">
        <f t="shared" si="59"/>
        <v>GASTOS</v>
      </c>
      <c r="I3796" s="20">
        <v>2026</v>
      </c>
    </row>
    <row r="3797" spans="1:9" hidden="1" x14ac:dyDescent="0.3">
      <c r="A3797" s="24" t="s">
        <v>43</v>
      </c>
      <c r="B3797" s="24" t="s">
        <v>247</v>
      </c>
      <c r="C3797" s="22">
        <v>3</v>
      </c>
      <c r="D3797" s="25">
        <v>0</v>
      </c>
      <c r="E3797" s="25">
        <v>0</v>
      </c>
      <c r="F3797" s="25">
        <v>0</v>
      </c>
      <c r="G3797" s="26">
        <v>0</v>
      </c>
      <c r="H3797" s="10" t="str">
        <f t="shared" si="59"/>
        <v>GASTOS</v>
      </c>
      <c r="I3797" s="20">
        <v>2026</v>
      </c>
    </row>
    <row r="3798" spans="1:9" hidden="1" x14ac:dyDescent="0.3">
      <c r="A3798" s="23" t="s">
        <v>43</v>
      </c>
      <c r="B3798" s="23" t="s">
        <v>247</v>
      </c>
      <c r="C3798" s="22">
        <v>4</v>
      </c>
      <c r="D3798" s="25">
        <v>3000000</v>
      </c>
      <c r="E3798" s="25">
        <v>0</v>
      </c>
      <c r="F3798" s="25">
        <v>-3000000</v>
      </c>
      <c r="G3798" s="26">
        <v>0</v>
      </c>
      <c r="H3798" s="10" t="str">
        <f t="shared" si="59"/>
        <v>GASTOS</v>
      </c>
      <c r="I3798" s="20">
        <v>2026</v>
      </c>
    </row>
    <row r="3799" spans="1:9" hidden="1" x14ac:dyDescent="0.3">
      <c r="A3799" s="23" t="s">
        <v>43</v>
      </c>
      <c r="B3799" s="23" t="s">
        <v>233</v>
      </c>
      <c r="C3799" s="22">
        <v>1</v>
      </c>
      <c r="D3799" s="25">
        <v>0</v>
      </c>
      <c r="E3799" s="25">
        <v>0</v>
      </c>
      <c r="F3799" s="25">
        <v>0</v>
      </c>
      <c r="G3799" s="26">
        <v>0</v>
      </c>
      <c r="H3799" s="10" t="str">
        <f t="shared" si="59"/>
        <v>GASTOS</v>
      </c>
      <c r="I3799" s="20">
        <v>2026</v>
      </c>
    </row>
    <row r="3800" spans="1:9" hidden="1" x14ac:dyDescent="0.3">
      <c r="A3800" s="24" t="s">
        <v>43</v>
      </c>
      <c r="B3800" s="24" t="s">
        <v>233</v>
      </c>
      <c r="C3800" s="22">
        <v>2</v>
      </c>
      <c r="D3800" s="25">
        <v>0</v>
      </c>
      <c r="E3800" s="25">
        <v>0</v>
      </c>
      <c r="F3800" s="25">
        <v>0</v>
      </c>
      <c r="G3800" s="26">
        <v>0</v>
      </c>
      <c r="H3800" s="10" t="str">
        <f t="shared" si="59"/>
        <v>GASTOS</v>
      </c>
      <c r="I3800" s="20">
        <v>2026</v>
      </c>
    </row>
    <row r="3801" spans="1:9" hidden="1" x14ac:dyDescent="0.3">
      <c r="A3801" s="24" t="s">
        <v>43</v>
      </c>
      <c r="B3801" s="24" t="s">
        <v>233</v>
      </c>
      <c r="C3801" s="22">
        <v>3</v>
      </c>
      <c r="D3801" s="25">
        <v>0</v>
      </c>
      <c r="E3801" s="25">
        <v>0</v>
      </c>
      <c r="F3801" s="25">
        <v>0</v>
      </c>
      <c r="G3801" s="26">
        <v>0</v>
      </c>
      <c r="H3801" s="10" t="str">
        <f t="shared" si="59"/>
        <v>GASTOS</v>
      </c>
      <c r="I3801" s="20">
        <v>2026</v>
      </c>
    </row>
    <row r="3802" spans="1:9" hidden="1" x14ac:dyDescent="0.3">
      <c r="A3802" s="21" t="s">
        <v>43</v>
      </c>
      <c r="B3802" s="21" t="s">
        <v>233</v>
      </c>
      <c r="C3802" s="22">
        <v>4</v>
      </c>
      <c r="D3802" s="25">
        <v>0</v>
      </c>
      <c r="E3802" s="25">
        <v>0</v>
      </c>
      <c r="F3802" s="25">
        <v>0</v>
      </c>
      <c r="G3802" s="26">
        <v>0</v>
      </c>
      <c r="H3802" s="10" t="str">
        <f t="shared" si="59"/>
        <v>GASTOS</v>
      </c>
      <c r="I3802" s="20">
        <v>2026</v>
      </c>
    </row>
  </sheetData>
  <autoFilter ref="A1:I3802" xr:uid="{F6E16C90-96F0-455B-B0C6-22F349FBE6D8}">
    <filterColumn colId="0">
      <filters>
        <filter val="MANT - AIRE ACONDICIONADO"/>
        <filter val="MANT - ALARMAS"/>
        <filter val="MANT - COMPRESORES"/>
        <filter val="MANT - COSTOS DE PERSONAL"/>
        <filter val="MANT - ELEVADORES MALACATES"/>
        <filter val="MANT - FRESADORA"/>
        <filter val="MANT - HERRAMIENTAS - INY Y MT"/>
        <filter val="MANT - INY - INYECTORA #1"/>
        <filter val="MANT - INY - INYECTORA #2"/>
        <filter val="MANT - INY - INYECTORA #3"/>
        <filter val="MANT - INY - INYECTORA #4"/>
        <filter val="MANT - INY - INYECTORA #5"/>
        <filter val="MANT - INY - INYECTORA #6"/>
        <filter val="MANT - INY - INYECTORA #7"/>
        <filter val="MANT - INY - MOLDES"/>
        <filter val="MANT - INY - MOLINO"/>
        <filter val="MANT - INY - PIGMENTADOR"/>
        <filter val="MANT - INY - POLIPASTOS"/>
        <filter val="MANT - INY - REFRIGERACION"/>
        <filter val="MANT - INY - SUBCIONADORES"/>
        <filter val="MANT - INY-ATEMPERADOR"/>
        <filter val="MANT - INY-DESHUMIFICADORES"/>
        <filter val="MANT - INY-ENSAMBLE DE ADAPTADOR 1/2 Y 3/4"/>
        <filter val="MANT - LOCATIVOS"/>
        <filter val="MANT - LUBRICANTES"/>
        <filter val="MANT - MT -  DOBLADORAS"/>
        <filter val="MANT - MT - ATORNILLADORES"/>
        <filter val="MANT - MT - ENSAMBLE INTERIORES"/>
        <filter val="MANT - MT - ENSAMBLE PT"/>
        <filter val="MANT - MT - HORNO"/>
        <filter val="MANT - MT - LAVADO"/>
        <filter val="MANT - MT - PINTURA"/>
        <filter val="MANT - MT - PUNZONADORAS"/>
        <filter val="MANT - MT - SOLDADOR DE PUNTO"/>
        <filter val="MANT - MT - SOLDADOR MIG"/>
        <filter val="MANT - MT - TROQUELADORAS"/>
        <filter val="MANT - MT - TROQUELES"/>
        <filter val="MANT - MT - ZUNCHADORAS"/>
        <filter val="MANT - MT-CIZALLAS"/>
        <filter val="MANT - RECTIFICADORA"/>
      </filters>
    </filterColumn>
    <filterColumn colId="8">
      <filters>
        <filter val="202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0C32-CA73-4FFA-ACE5-C652E63D96BE}">
  <dimension ref="A1:G91"/>
  <sheetViews>
    <sheetView tabSelected="1" topLeftCell="A25" workbookViewId="0">
      <selection activeCell="D7" sqref="D7"/>
    </sheetView>
  </sheetViews>
  <sheetFormatPr baseColWidth="10" defaultRowHeight="14.4" x14ac:dyDescent="0.3"/>
  <cols>
    <col min="1" max="1" width="43" bestFit="1" customWidth="1"/>
    <col min="2" max="2" width="15.109375" bestFit="1" customWidth="1"/>
    <col min="6" max="6" width="33.33203125" bestFit="1" customWidth="1"/>
  </cols>
  <sheetData>
    <row r="1" spans="1:7" x14ac:dyDescent="0.3">
      <c r="A1" s="1" t="s">
        <v>80</v>
      </c>
      <c r="B1" s="1" t="s">
        <v>81</v>
      </c>
    </row>
    <row r="2" spans="1:7" x14ac:dyDescent="0.3">
      <c r="A2" s="2" t="s">
        <v>7</v>
      </c>
      <c r="B2" s="2" t="s">
        <v>7</v>
      </c>
      <c r="F2" s="23"/>
      <c r="G2" s="10" t="str">
        <f t="shared" ref="G2:G34" si="0">+IF(OR(F2="ADMINISTRACION",F2="COMERCIAL",F2="COMERCIAL-EXPORTACIONES",F2="LEASING DE LA BODEGA",F2="LOGISTICA-SALIDA",F2="OTROS GASTOS",F2="BODEGA ALQUILADA", F2="BODEGA CARTOPLAST", F2="BODEGA CARTOPLAS", F2= "GESTION HUMANA-OTROS GASTOS"),"GASTOS","COSTOS")</f>
        <v>COSTOS</v>
      </c>
    </row>
    <row r="3" spans="1:7" x14ac:dyDescent="0.3">
      <c r="A3" s="2" t="s">
        <v>87</v>
      </c>
      <c r="B3" s="2" t="s">
        <v>82</v>
      </c>
      <c r="F3" s="24"/>
      <c r="G3" s="10" t="str">
        <f t="shared" si="0"/>
        <v>COSTOS</v>
      </c>
    </row>
    <row r="4" spans="1:7" x14ac:dyDescent="0.3">
      <c r="A4" s="2" t="s">
        <v>88</v>
      </c>
      <c r="B4" s="2" t="s">
        <v>82</v>
      </c>
      <c r="F4" s="24"/>
      <c r="G4" s="10" t="str">
        <f t="shared" si="0"/>
        <v>COSTOS</v>
      </c>
    </row>
    <row r="5" spans="1:7" x14ac:dyDescent="0.3">
      <c r="A5" s="2" t="s">
        <v>89</v>
      </c>
      <c r="B5" s="2" t="s">
        <v>82</v>
      </c>
      <c r="F5" s="24"/>
      <c r="G5" s="10" t="str">
        <f t="shared" si="0"/>
        <v>COSTOS</v>
      </c>
    </row>
    <row r="6" spans="1:7" x14ac:dyDescent="0.3">
      <c r="A6" s="2" t="s">
        <v>90</v>
      </c>
      <c r="B6" s="2" t="s">
        <v>77</v>
      </c>
      <c r="F6" s="23"/>
      <c r="G6" s="10" t="str">
        <f t="shared" si="0"/>
        <v>COSTOS</v>
      </c>
    </row>
    <row r="7" spans="1:7" x14ac:dyDescent="0.3">
      <c r="A7" s="2" t="s">
        <v>91</v>
      </c>
      <c r="B7" s="2" t="s">
        <v>77</v>
      </c>
      <c r="F7" s="24"/>
      <c r="G7" s="10" t="str">
        <f t="shared" si="0"/>
        <v>COSTOS</v>
      </c>
    </row>
    <row r="8" spans="1:7" x14ac:dyDescent="0.3">
      <c r="A8" s="2" t="s">
        <v>92</v>
      </c>
      <c r="B8" s="2" t="s">
        <v>77</v>
      </c>
      <c r="F8" s="24"/>
      <c r="G8" s="10" t="str">
        <f t="shared" si="0"/>
        <v>COSTOS</v>
      </c>
    </row>
    <row r="9" spans="1:7" x14ac:dyDescent="0.3">
      <c r="A9" s="2" t="s">
        <v>93</v>
      </c>
      <c r="B9" s="2" t="s">
        <v>77</v>
      </c>
      <c r="F9" s="24"/>
      <c r="G9" s="10" t="str">
        <f t="shared" si="0"/>
        <v>COSTOS</v>
      </c>
    </row>
    <row r="10" spans="1:7" x14ac:dyDescent="0.3">
      <c r="A10" s="2" t="s">
        <v>95</v>
      </c>
      <c r="B10" s="2" t="s">
        <v>77</v>
      </c>
      <c r="F10" s="23"/>
      <c r="G10" s="10" t="str">
        <f t="shared" si="0"/>
        <v>COSTOS</v>
      </c>
    </row>
    <row r="11" spans="1:7" x14ac:dyDescent="0.3">
      <c r="A11" s="2" t="s">
        <v>96</v>
      </c>
      <c r="B11" s="2" t="s">
        <v>77</v>
      </c>
      <c r="F11" s="24"/>
      <c r="G11" s="10" t="str">
        <f t="shared" si="0"/>
        <v>COSTOS</v>
      </c>
    </row>
    <row r="12" spans="1:7" x14ac:dyDescent="0.3">
      <c r="A12" s="2" t="s">
        <v>43</v>
      </c>
      <c r="B12" s="2" t="s">
        <v>43</v>
      </c>
      <c r="F12" s="24"/>
      <c r="G12" s="10" t="str">
        <f t="shared" si="0"/>
        <v>COSTOS</v>
      </c>
    </row>
    <row r="13" spans="1:7" x14ac:dyDescent="0.3">
      <c r="A13" s="3" t="s">
        <v>99</v>
      </c>
      <c r="B13" s="3" t="s">
        <v>173</v>
      </c>
      <c r="F13" s="24"/>
      <c r="G13" s="10" t="str">
        <f t="shared" si="0"/>
        <v>COSTOS</v>
      </c>
    </row>
    <row r="14" spans="1:7" x14ac:dyDescent="0.3">
      <c r="A14" s="2" t="s">
        <v>101</v>
      </c>
      <c r="B14" s="3" t="s">
        <v>76</v>
      </c>
      <c r="F14" s="24"/>
      <c r="G14" s="10" t="str">
        <f t="shared" si="0"/>
        <v>COSTOS</v>
      </c>
    </row>
    <row r="15" spans="1:7" x14ac:dyDescent="0.3">
      <c r="A15" s="2" t="s">
        <v>53</v>
      </c>
      <c r="B15" s="2" t="s">
        <v>83</v>
      </c>
      <c r="F15" s="24"/>
      <c r="G15" s="10" t="str">
        <f t="shared" si="0"/>
        <v>COSTOS</v>
      </c>
    </row>
    <row r="16" spans="1:7" x14ac:dyDescent="0.3">
      <c r="A16" s="3" t="s">
        <v>83</v>
      </c>
      <c r="B16" s="3" t="s">
        <v>83</v>
      </c>
      <c r="F16" s="24"/>
      <c r="G16" s="10" t="str">
        <f t="shared" si="0"/>
        <v>COSTOS</v>
      </c>
    </row>
    <row r="17" spans="1:7" x14ac:dyDescent="0.3">
      <c r="A17" s="2" t="s">
        <v>56</v>
      </c>
      <c r="B17" s="2" t="s">
        <v>56</v>
      </c>
      <c r="F17" s="23"/>
      <c r="G17" s="10" t="str">
        <f t="shared" si="0"/>
        <v>COSTOS</v>
      </c>
    </row>
    <row r="18" spans="1:7" x14ac:dyDescent="0.3">
      <c r="A18" s="2" t="s">
        <v>103</v>
      </c>
      <c r="B18" s="3" t="s">
        <v>76</v>
      </c>
      <c r="F18" s="24"/>
      <c r="G18" s="10" t="str">
        <f t="shared" si="0"/>
        <v>COSTOS</v>
      </c>
    </row>
    <row r="19" spans="1:7" x14ac:dyDescent="0.3">
      <c r="A19" s="2" t="s">
        <v>104</v>
      </c>
      <c r="B19" s="2" t="s">
        <v>79</v>
      </c>
      <c r="F19" s="24"/>
      <c r="G19" s="10" t="str">
        <f t="shared" si="0"/>
        <v>COSTOS</v>
      </c>
    </row>
    <row r="20" spans="1:7" x14ac:dyDescent="0.3">
      <c r="A20" s="2" t="s">
        <v>105</v>
      </c>
      <c r="B20" s="2" t="s">
        <v>79</v>
      </c>
      <c r="F20" s="24"/>
      <c r="G20" s="10" t="str">
        <f t="shared" si="0"/>
        <v>COSTOS</v>
      </c>
    </row>
    <row r="21" spans="1:7" x14ac:dyDescent="0.3">
      <c r="A21" s="2" t="s">
        <v>107</v>
      </c>
      <c r="B21" s="2" t="s">
        <v>79</v>
      </c>
      <c r="F21" s="23"/>
      <c r="G21" s="10" t="str">
        <f t="shared" si="0"/>
        <v>COSTOS</v>
      </c>
    </row>
    <row r="22" spans="1:7" x14ac:dyDescent="0.3">
      <c r="A22" s="2" t="s">
        <v>108</v>
      </c>
      <c r="B22" s="2" t="s">
        <v>79</v>
      </c>
      <c r="F22" s="24"/>
      <c r="G22" s="10" t="str">
        <f t="shared" si="0"/>
        <v>COSTOS</v>
      </c>
    </row>
    <row r="23" spans="1:7" x14ac:dyDescent="0.3">
      <c r="A23" s="2" t="s">
        <v>64</v>
      </c>
      <c r="B23" s="3" t="s">
        <v>76</v>
      </c>
      <c r="F23" s="24"/>
      <c r="G23" s="10" t="str">
        <f t="shared" si="0"/>
        <v>COSTOS</v>
      </c>
    </row>
    <row r="24" spans="1:7" x14ac:dyDescent="0.3">
      <c r="A24" s="4" t="s">
        <v>219</v>
      </c>
      <c r="B24" s="3" t="s">
        <v>219</v>
      </c>
      <c r="F24" s="24"/>
      <c r="G24" s="10" t="str">
        <f t="shared" si="0"/>
        <v>COSTOS</v>
      </c>
    </row>
    <row r="25" spans="1:7" x14ac:dyDescent="0.3">
      <c r="A25" s="2" t="s">
        <v>65</v>
      </c>
      <c r="B25" s="3" t="s">
        <v>219</v>
      </c>
      <c r="F25" s="23"/>
      <c r="G25" s="10" t="str">
        <f t="shared" si="0"/>
        <v>COSTOS</v>
      </c>
    </row>
    <row r="26" spans="1:7" x14ac:dyDescent="0.3">
      <c r="A26" s="2" t="s">
        <v>67</v>
      </c>
      <c r="B26" s="2" t="s">
        <v>78</v>
      </c>
      <c r="F26" s="24"/>
      <c r="G26" s="10" t="str">
        <f t="shared" si="0"/>
        <v>COSTOS</v>
      </c>
    </row>
    <row r="27" spans="1:7" x14ac:dyDescent="0.3">
      <c r="A27" s="2" t="s">
        <v>68</v>
      </c>
      <c r="B27" s="2" t="s">
        <v>78</v>
      </c>
      <c r="F27" s="24"/>
      <c r="G27" s="10" t="str">
        <f t="shared" si="0"/>
        <v>COSTOS</v>
      </c>
    </row>
    <row r="28" spans="1:7" x14ac:dyDescent="0.3">
      <c r="A28" s="2" t="s">
        <v>110</v>
      </c>
      <c r="B28" s="2" t="s">
        <v>75</v>
      </c>
      <c r="F28" s="24"/>
      <c r="G28" s="10" t="str">
        <f t="shared" si="0"/>
        <v>COSTOS</v>
      </c>
    </row>
    <row r="29" spans="1:7" x14ac:dyDescent="0.3">
      <c r="A29" s="2" t="s">
        <v>111</v>
      </c>
      <c r="B29" s="2" t="s">
        <v>75</v>
      </c>
      <c r="F29" s="23"/>
      <c r="G29" s="10" t="str">
        <f t="shared" si="0"/>
        <v>COSTOS</v>
      </c>
    </row>
    <row r="30" spans="1:7" x14ac:dyDescent="0.3">
      <c r="A30" s="2" t="s">
        <v>112</v>
      </c>
      <c r="B30" s="2" t="s">
        <v>75</v>
      </c>
      <c r="F30" s="24"/>
      <c r="G30" s="10" t="str">
        <f t="shared" si="0"/>
        <v>COSTOS</v>
      </c>
    </row>
    <row r="31" spans="1:7" x14ac:dyDescent="0.3">
      <c r="A31" s="2" t="s">
        <v>113</v>
      </c>
      <c r="B31" s="2" t="s">
        <v>75</v>
      </c>
      <c r="F31" s="24"/>
      <c r="G31" s="10" t="str">
        <f t="shared" si="0"/>
        <v>COSTOS</v>
      </c>
    </row>
    <row r="32" spans="1:7" x14ac:dyDescent="0.3">
      <c r="A32" s="2" t="s">
        <v>114</v>
      </c>
      <c r="B32" s="2" t="s">
        <v>75</v>
      </c>
      <c r="F32" s="24"/>
      <c r="G32" s="10" t="str">
        <f t="shared" si="0"/>
        <v>COSTOS</v>
      </c>
    </row>
    <row r="33" spans="1:7" x14ac:dyDescent="0.3">
      <c r="A33" s="2" t="s">
        <v>115</v>
      </c>
      <c r="B33" s="2" t="s">
        <v>75</v>
      </c>
      <c r="F33" s="23"/>
      <c r="G33" s="10" t="str">
        <f t="shared" si="0"/>
        <v>COSTOS</v>
      </c>
    </row>
    <row r="34" spans="1:7" x14ac:dyDescent="0.3">
      <c r="A34" s="2" t="s">
        <v>116</v>
      </c>
      <c r="B34" s="2" t="s">
        <v>75</v>
      </c>
      <c r="F34" s="24"/>
      <c r="G34" s="10" t="str">
        <f t="shared" si="0"/>
        <v>COSTOS</v>
      </c>
    </row>
    <row r="35" spans="1:7" x14ac:dyDescent="0.3">
      <c r="A35" s="2" t="s">
        <v>117</v>
      </c>
      <c r="B35" s="2" t="s">
        <v>75</v>
      </c>
      <c r="F35" s="24"/>
      <c r="G35" s="10" t="str">
        <f>+IF(OR(F35="ADMINISTRACION",F35="COMERCIAL",F35="COMERCIAL-EXPORTACIONES",F35="LEASING DE LA BODEGA",F35="LOGISTICA-SALIDA",F35="OTROS GASTOS",F35="BODEGA ALQUILADA", F35="BODEGA CARTOPLAST", F35="BODEGA CARTOPLAS", F35= "GESTION HUMANA-OTROS GASTOS",F35="FAMILIA"),"GASTOS","COSTOS")</f>
        <v>COSTOS</v>
      </c>
    </row>
    <row r="36" spans="1:7" x14ac:dyDescent="0.3">
      <c r="A36" s="2" t="s">
        <v>118</v>
      </c>
      <c r="B36" s="2" t="s">
        <v>75</v>
      </c>
      <c r="F36" s="24"/>
      <c r="G36" s="10" t="str">
        <f t="shared" ref="G36:G71" si="1">+IF(OR(F36="ADMINISTRACION",F36="COMERCIAL",F36="COMERCIAL-EXPORTACIONES",F36="LEASING DE LA BODEGA",F36="LOGISTICA-SALIDA",F36="OTROS GASTOS",F36="BODEGA ALQUILADA", F36="BODEGA CARTOPLAST", F36="BODEGA CARTOPLAS", F36= "GESTION HUMANA-OTROS GASTOS"),"GASTOS","COSTOS")</f>
        <v>COSTOS</v>
      </c>
    </row>
    <row r="37" spans="1:7" x14ac:dyDescent="0.3">
      <c r="A37" s="2" t="s">
        <v>119</v>
      </c>
      <c r="B37" s="2" t="s">
        <v>75</v>
      </c>
      <c r="F37" s="23"/>
      <c r="G37" s="10" t="str">
        <f t="shared" si="1"/>
        <v>COSTOS</v>
      </c>
    </row>
    <row r="38" spans="1:7" x14ac:dyDescent="0.3">
      <c r="A38" s="2" t="s">
        <v>120</v>
      </c>
      <c r="B38" s="2" t="s">
        <v>75</v>
      </c>
      <c r="F38" s="24"/>
      <c r="G38" s="10" t="str">
        <f t="shared" si="1"/>
        <v>COSTOS</v>
      </c>
    </row>
    <row r="39" spans="1:7" x14ac:dyDescent="0.3">
      <c r="A39" s="2" t="s">
        <v>121</v>
      </c>
      <c r="B39" s="2" t="s">
        <v>75</v>
      </c>
      <c r="F39" s="24"/>
      <c r="G39" s="10" t="str">
        <f t="shared" si="1"/>
        <v>COSTOS</v>
      </c>
    </row>
    <row r="40" spans="1:7" x14ac:dyDescent="0.3">
      <c r="A40" s="2" t="s">
        <v>122</v>
      </c>
      <c r="B40" s="2" t="s">
        <v>75</v>
      </c>
      <c r="F40" s="24"/>
      <c r="G40" s="10" t="str">
        <f t="shared" si="1"/>
        <v>COSTOS</v>
      </c>
    </row>
    <row r="41" spans="1:7" x14ac:dyDescent="0.3">
      <c r="A41" s="2" t="s">
        <v>123</v>
      </c>
      <c r="B41" s="2" t="s">
        <v>75</v>
      </c>
      <c r="F41" s="21"/>
      <c r="G41" s="10" t="str">
        <f t="shared" si="1"/>
        <v>COSTOS</v>
      </c>
    </row>
    <row r="42" spans="1:7" x14ac:dyDescent="0.3">
      <c r="A42" s="2" t="s">
        <v>124</v>
      </c>
      <c r="B42" s="2" t="s">
        <v>75</v>
      </c>
      <c r="F42" s="23"/>
      <c r="G42" s="10" t="str">
        <f t="shared" si="1"/>
        <v>COSTOS</v>
      </c>
    </row>
    <row r="43" spans="1:7" x14ac:dyDescent="0.3">
      <c r="A43" s="2" t="s">
        <v>125</v>
      </c>
      <c r="B43" s="2" t="s">
        <v>75</v>
      </c>
      <c r="F43" s="24"/>
      <c r="G43" s="10" t="str">
        <f t="shared" si="1"/>
        <v>COSTOS</v>
      </c>
    </row>
    <row r="44" spans="1:7" x14ac:dyDescent="0.3">
      <c r="A44" s="2" t="s">
        <v>126</v>
      </c>
      <c r="B44" s="2" t="s">
        <v>75</v>
      </c>
      <c r="F44" s="24"/>
      <c r="G44" s="10" t="str">
        <f t="shared" si="1"/>
        <v>COSTOS</v>
      </c>
    </row>
    <row r="45" spans="1:7" x14ac:dyDescent="0.3">
      <c r="A45" s="2" t="s">
        <v>127</v>
      </c>
      <c r="B45" s="2" t="s">
        <v>75</v>
      </c>
      <c r="F45" s="24"/>
      <c r="G45" s="10" t="str">
        <f t="shared" si="1"/>
        <v>COSTOS</v>
      </c>
    </row>
    <row r="46" spans="1:7" x14ac:dyDescent="0.3">
      <c r="A46" s="2" t="s">
        <v>128</v>
      </c>
      <c r="B46" s="2" t="s">
        <v>75</v>
      </c>
      <c r="F46" s="23"/>
      <c r="G46" s="10" t="str">
        <f t="shared" si="1"/>
        <v>COSTOS</v>
      </c>
    </row>
    <row r="47" spans="1:7" x14ac:dyDescent="0.3">
      <c r="A47" s="2" t="s">
        <v>129</v>
      </c>
      <c r="B47" s="2" t="s">
        <v>75</v>
      </c>
      <c r="F47" s="24"/>
      <c r="G47" s="10" t="str">
        <f t="shared" si="1"/>
        <v>COSTOS</v>
      </c>
    </row>
    <row r="48" spans="1:7" x14ac:dyDescent="0.3">
      <c r="A48" s="2" t="s">
        <v>131</v>
      </c>
      <c r="B48" s="2" t="s">
        <v>75</v>
      </c>
      <c r="F48" s="24"/>
      <c r="G48" s="10" t="str">
        <f t="shared" si="1"/>
        <v>COSTOS</v>
      </c>
    </row>
    <row r="49" spans="1:7" x14ac:dyDescent="0.3">
      <c r="A49" s="2" t="s">
        <v>132</v>
      </c>
      <c r="B49" s="2" t="s">
        <v>75</v>
      </c>
      <c r="F49" s="24"/>
      <c r="G49" s="10" t="str">
        <f t="shared" si="1"/>
        <v>COSTOS</v>
      </c>
    </row>
    <row r="50" spans="1:7" x14ac:dyDescent="0.3">
      <c r="A50" s="2" t="s">
        <v>133</v>
      </c>
      <c r="B50" s="2" t="s">
        <v>75</v>
      </c>
      <c r="F50" s="23"/>
      <c r="G50" s="10" t="str">
        <f t="shared" si="1"/>
        <v>COSTOS</v>
      </c>
    </row>
    <row r="51" spans="1:7" x14ac:dyDescent="0.3">
      <c r="A51" s="2" t="s">
        <v>134</v>
      </c>
      <c r="B51" s="2" t="s">
        <v>75</v>
      </c>
      <c r="F51" s="24"/>
      <c r="G51" s="10" t="str">
        <f t="shared" si="1"/>
        <v>COSTOS</v>
      </c>
    </row>
    <row r="52" spans="1:7" x14ac:dyDescent="0.3">
      <c r="A52" s="2" t="s">
        <v>135</v>
      </c>
      <c r="B52" s="2" t="s">
        <v>75</v>
      </c>
      <c r="F52" s="24"/>
      <c r="G52" s="10" t="str">
        <f t="shared" si="1"/>
        <v>COSTOS</v>
      </c>
    </row>
    <row r="53" spans="1:7" x14ac:dyDescent="0.3">
      <c r="A53" s="2" t="s">
        <v>136</v>
      </c>
      <c r="B53" s="2" t="s">
        <v>75</v>
      </c>
      <c r="F53" s="24"/>
      <c r="G53" s="10" t="str">
        <f t="shared" si="1"/>
        <v>COSTOS</v>
      </c>
    </row>
    <row r="54" spans="1:7" x14ac:dyDescent="0.3">
      <c r="A54" s="2" t="s">
        <v>137</v>
      </c>
      <c r="B54" s="2" t="s">
        <v>75</v>
      </c>
      <c r="F54" s="23"/>
      <c r="G54" s="10" t="str">
        <f t="shared" si="1"/>
        <v>COSTOS</v>
      </c>
    </row>
    <row r="55" spans="1:7" x14ac:dyDescent="0.3">
      <c r="A55" s="2" t="s">
        <v>138</v>
      </c>
      <c r="B55" s="2" t="s">
        <v>75</v>
      </c>
      <c r="F55" s="24"/>
      <c r="G55" s="10" t="str">
        <f t="shared" si="1"/>
        <v>COSTOS</v>
      </c>
    </row>
    <row r="56" spans="1:7" x14ac:dyDescent="0.3">
      <c r="A56" s="2" t="s">
        <v>139</v>
      </c>
      <c r="B56" s="2" t="s">
        <v>75</v>
      </c>
      <c r="F56" s="24"/>
      <c r="G56" s="10" t="str">
        <f t="shared" si="1"/>
        <v>COSTOS</v>
      </c>
    </row>
    <row r="57" spans="1:7" x14ac:dyDescent="0.3">
      <c r="A57" s="2" t="s">
        <v>140</v>
      </c>
      <c r="B57" s="2" t="s">
        <v>75</v>
      </c>
      <c r="F57" s="24"/>
      <c r="G57" s="10" t="str">
        <f t="shared" si="1"/>
        <v>COSTOS</v>
      </c>
    </row>
    <row r="58" spans="1:7" x14ac:dyDescent="0.3">
      <c r="A58" s="2" t="s">
        <v>141</v>
      </c>
      <c r="B58" s="2" t="s">
        <v>75</v>
      </c>
      <c r="F58" s="24"/>
      <c r="G58" s="10" t="str">
        <f t="shared" si="1"/>
        <v>COSTOS</v>
      </c>
    </row>
    <row r="59" spans="1:7" x14ac:dyDescent="0.3">
      <c r="A59" s="2" t="s">
        <v>142</v>
      </c>
      <c r="B59" s="2" t="s">
        <v>75</v>
      </c>
      <c r="F59" s="24"/>
      <c r="G59" s="10" t="str">
        <f t="shared" si="1"/>
        <v>COSTOS</v>
      </c>
    </row>
    <row r="60" spans="1:7" x14ac:dyDescent="0.3">
      <c r="A60" s="2" t="s">
        <v>143</v>
      </c>
      <c r="B60" s="2" t="s">
        <v>75</v>
      </c>
      <c r="F60" s="24"/>
      <c r="G60" s="10" t="str">
        <f t="shared" si="1"/>
        <v>COSTOS</v>
      </c>
    </row>
    <row r="61" spans="1:7" x14ac:dyDescent="0.3">
      <c r="A61" s="2" t="s">
        <v>144</v>
      </c>
      <c r="B61" s="2" t="s">
        <v>75</v>
      </c>
      <c r="F61" s="23"/>
      <c r="G61" s="10" t="str">
        <f t="shared" si="1"/>
        <v>COSTOS</v>
      </c>
    </row>
    <row r="62" spans="1:7" x14ac:dyDescent="0.3">
      <c r="A62" s="2" t="s">
        <v>145</v>
      </c>
      <c r="B62" s="2" t="s">
        <v>75</v>
      </c>
      <c r="F62" s="24"/>
      <c r="G62" s="10" t="str">
        <f t="shared" si="1"/>
        <v>COSTOS</v>
      </c>
    </row>
    <row r="63" spans="1:7" x14ac:dyDescent="0.3">
      <c r="A63" s="2" t="s">
        <v>175</v>
      </c>
      <c r="B63" s="2" t="s">
        <v>75</v>
      </c>
      <c r="F63" s="24"/>
      <c r="G63" s="10" t="str">
        <f t="shared" si="1"/>
        <v>COSTOS</v>
      </c>
    </row>
    <row r="64" spans="1:7" x14ac:dyDescent="0.3">
      <c r="A64" s="4" t="s">
        <v>222</v>
      </c>
      <c r="B64" s="2" t="s">
        <v>75</v>
      </c>
      <c r="F64" s="24"/>
      <c r="G64" s="10" t="str">
        <f t="shared" si="1"/>
        <v>COSTOS</v>
      </c>
    </row>
    <row r="65" spans="1:7" x14ac:dyDescent="0.3">
      <c r="A65" s="2" t="s">
        <v>146</v>
      </c>
      <c r="B65" s="2" t="s">
        <v>76</v>
      </c>
      <c r="F65" s="23"/>
      <c r="G65" s="10" t="str">
        <f t="shared" si="1"/>
        <v>COSTOS</v>
      </c>
    </row>
    <row r="66" spans="1:7" x14ac:dyDescent="0.3">
      <c r="A66" s="2" t="s">
        <v>147</v>
      </c>
      <c r="B66" s="2" t="s">
        <v>76</v>
      </c>
      <c r="F66" s="24"/>
      <c r="G66" s="10" t="str">
        <f t="shared" si="1"/>
        <v>COSTOS</v>
      </c>
    </row>
    <row r="67" spans="1:7" x14ac:dyDescent="0.3">
      <c r="A67" s="2" t="s">
        <v>151</v>
      </c>
      <c r="B67" s="2" t="s">
        <v>82</v>
      </c>
      <c r="F67" s="24"/>
      <c r="G67" s="10" t="str">
        <f t="shared" si="1"/>
        <v>COSTOS</v>
      </c>
    </row>
    <row r="68" spans="1:7" x14ac:dyDescent="0.3">
      <c r="A68" s="2" t="s">
        <v>152</v>
      </c>
      <c r="B68" s="2" t="s">
        <v>82</v>
      </c>
      <c r="F68" s="24"/>
      <c r="G68" s="10" t="str">
        <f t="shared" si="1"/>
        <v>COSTOS</v>
      </c>
    </row>
    <row r="69" spans="1:7" x14ac:dyDescent="0.3">
      <c r="A69" s="2" t="s">
        <v>154</v>
      </c>
      <c r="B69" s="2" t="s">
        <v>75</v>
      </c>
      <c r="F69" s="23"/>
      <c r="G69" s="10" t="str">
        <f t="shared" si="1"/>
        <v>COSTOS</v>
      </c>
    </row>
    <row r="70" spans="1:7" x14ac:dyDescent="0.3">
      <c r="A70" s="2" t="s">
        <v>155</v>
      </c>
      <c r="B70" s="2" t="s">
        <v>166</v>
      </c>
      <c r="F70" s="24"/>
      <c r="G70" s="10" t="str">
        <f t="shared" si="1"/>
        <v>COSTOS</v>
      </c>
    </row>
    <row r="71" spans="1:7" x14ac:dyDescent="0.3">
      <c r="A71" s="2" t="s">
        <v>157</v>
      </c>
      <c r="B71" s="2" t="s">
        <v>77</v>
      </c>
      <c r="F71" s="24"/>
      <c r="G71" s="10" t="str">
        <f t="shared" si="1"/>
        <v>COSTOS</v>
      </c>
    </row>
    <row r="72" spans="1:7" x14ac:dyDescent="0.3">
      <c r="A72" s="2" t="s">
        <v>158</v>
      </c>
      <c r="B72" s="2" t="s">
        <v>77</v>
      </c>
    </row>
    <row r="73" spans="1:7" x14ac:dyDescent="0.3">
      <c r="A73" s="13" t="s">
        <v>167</v>
      </c>
      <c r="B73" s="13" t="s">
        <v>75</v>
      </c>
    </row>
    <row r="74" spans="1:7" x14ac:dyDescent="0.3">
      <c r="A74" s="14" t="s">
        <v>223</v>
      </c>
      <c r="B74" s="12" t="s">
        <v>242</v>
      </c>
    </row>
    <row r="75" spans="1:7" x14ac:dyDescent="0.3">
      <c r="A75" s="14" t="s">
        <v>75</v>
      </c>
      <c r="B75" s="12" t="s">
        <v>75</v>
      </c>
    </row>
    <row r="76" spans="1:7" x14ac:dyDescent="0.3">
      <c r="A76" s="14" t="s">
        <v>226</v>
      </c>
      <c r="B76" s="12" t="s">
        <v>82</v>
      </c>
    </row>
    <row r="77" spans="1:7" x14ac:dyDescent="0.3">
      <c r="A77" s="14" t="s">
        <v>229</v>
      </c>
      <c r="B77" s="12" t="s">
        <v>77</v>
      </c>
    </row>
    <row r="78" spans="1:7" x14ac:dyDescent="0.3">
      <c r="A78" s="14" t="s">
        <v>230</v>
      </c>
      <c r="B78" s="12" t="s">
        <v>77</v>
      </c>
    </row>
    <row r="79" spans="1:7" x14ac:dyDescent="0.3">
      <c r="A79" s="14" t="s">
        <v>231</v>
      </c>
      <c r="B79" s="12" t="s">
        <v>77</v>
      </c>
    </row>
    <row r="80" spans="1:7" x14ac:dyDescent="0.3">
      <c r="A80" s="14" t="s">
        <v>237</v>
      </c>
      <c r="B80" s="12" t="s">
        <v>79</v>
      </c>
    </row>
    <row r="81" spans="1:2" x14ac:dyDescent="0.3">
      <c r="A81" s="14" t="s">
        <v>240</v>
      </c>
      <c r="B81" s="12" t="s">
        <v>82</v>
      </c>
    </row>
    <row r="82" spans="1:2" x14ac:dyDescent="0.3">
      <c r="A82" s="14" t="s">
        <v>241</v>
      </c>
      <c r="B82" s="12" t="s">
        <v>82</v>
      </c>
    </row>
    <row r="83" spans="1:2" x14ac:dyDescent="0.3">
      <c r="A83" s="14" t="s">
        <v>242</v>
      </c>
      <c r="B83" s="12" t="s">
        <v>242</v>
      </c>
    </row>
    <row r="84" spans="1:2" x14ac:dyDescent="0.3">
      <c r="A84" s="14" t="s">
        <v>243</v>
      </c>
      <c r="B84" s="12" t="s">
        <v>77</v>
      </c>
    </row>
    <row r="85" spans="1:2" x14ac:dyDescent="0.3">
      <c r="A85" s="14" t="s">
        <v>244</v>
      </c>
      <c r="B85" s="12" t="s">
        <v>77</v>
      </c>
    </row>
    <row r="86" spans="1:2" x14ac:dyDescent="0.3">
      <c r="A86" s="14" t="s">
        <v>245</v>
      </c>
      <c r="B86" s="12" t="s">
        <v>77</v>
      </c>
    </row>
    <row r="87" spans="1:2" x14ac:dyDescent="0.3">
      <c r="A87" s="14" t="s">
        <v>246</v>
      </c>
      <c r="B87" s="12" t="s">
        <v>77</v>
      </c>
    </row>
    <row r="88" spans="1:2" x14ac:dyDescent="0.3">
      <c r="A88" s="14" t="s">
        <v>248</v>
      </c>
      <c r="B88" s="12" t="s">
        <v>252</v>
      </c>
    </row>
    <row r="89" spans="1:2" x14ac:dyDescent="0.3">
      <c r="A89" s="14" t="s">
        <v>250</v>
      </c>
      <c r="B89" s="12" t="s">
        <v>75</v>
      </c>
    </row>
    <row r="90" spans="1:2" x14ac:dyDescent="0.3">
      <c r="A90" s="14" t="s">
        <v>251</v>
      </c>
      <c r="B90" s="12" t="s">
        <v>75</v>
      </c>
    </row>
    <row r="91" spans="1:2" x14ac:dyDescent="0.3">
      <c r="A91" s="27" t="s">
        <v>255</v>
      </c>
      <c r="B91" s="12" t="s">
        <v>75</v>
      </c>
    </row>
  </sheetData>
  <autoFilter ref="A1:B90" xr:uid="{488A0C32-CA73-4FFA-ACE5-C652E63D96BE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Laboral</vt:lpstr>
      <vt:lpstr>Otros costos y gastos</vt:lpstr>
      <vt:lpstr>Maestra CCostos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Cesar Cuartas</cp:lastModifiedBy>
  <dcterms:created xsi:type="dcterms:W3CDTF">2025-03-30T16:54:56Z</dcterms:created>
  <dcterms:modified xsi:type="dcterms:W3CDTF">2026-05-28T13:54:24Z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18.2.6.0</vt:lpwstr>
  </property>
</Properties>
</file>